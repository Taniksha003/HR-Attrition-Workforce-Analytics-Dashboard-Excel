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tanik\Desktop\Employee Attrition Excel\"/>
    </mc:Choice>
  </mc:AlternateContent>
  <xr:revisionPtr revIDLastSave="0" documentId="8_{0F2E9636-9077-4E4E-A42B-8CCD1D98555B}" xr6:coauthVersionLast="47" xr6:coauthVersionMax="47" xr10:uidLastSave="{00000000-0000-0000-0000-000000000000}"/>
  <bookViews>
    <workbookView xWindow="-108" yWindow="-108" windowWidth="23256" windowHeight="12456" tabRatio="830" activeTab="4" xr2:uid="{F9FEFF35-017A-4FA0-8B0D-BA4BEBEB1FDE}"/>
  </bookViews>
  <sheets>
    <sheet name="raw_data" sheetId="2" r:id="rId1"/>
    <sheet name="cleaned_data" sheetId="3" r:id="rId2"/>
    <sheet name="calculation" sheetId="5" r:id="rId3"/>
    <sheet name="pivot_summary" sheetId="7" r:id="rId4"/>
    <sheet name="dashboard" sheetId="9" r:id="rId5"/>
  </sheets>
  <definedNames>
    <definedName name="ExternalData_1" localSheetId="1" hidden="1">'cleaned_data'!$A$1:$AA$1471</definedName>
    <definedName name="ExternalData_1" localSheetId="0" hidden="1">'raw_data'!$A$1:$AI$1471</definedName>
    <definedName name="Slicer_BusinessTravel">#N/A</definedName>
    <definedName name="Slicer_Department">#N/A</definedName>
    <definedName name="Slicer_EnvironmentSatisfaction">#N/A</definedName>
    <definedName name="Slicer_Gender">#N/A</definedName>
    <definedName name="Slicer_Gender1">#N/A</definedName>
    <definedName name="Slicer_MaritalStatus">#N/A</definedName>
    <definedName name="Slicer_MaritalStatus1">#N/A</definedName>
    <definedName name="Slicer_OverTime">#N/A</definedName>
    <definedName name="Slicer_OverTim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5" l="1"/>
  <c r="E6" i="5"/>
  <c r="E8" i="5" s="1"/>
  <c r="E10" i="5"/>
  <c r="E12" i="5"/>
  <c r="E14" i="5"/>
  <c r="E16" i="5"/>
  <c r="X16" i="9"/>
  <c r="AB2" i="3" a="1"/>
  <c r="AB2" i="3" s="1"/>
  <c r="AB3" i="3" a="1"/>
  <c r="AB3" i="3" s="1"/>
  <c r="AB4" i="3" a="1"/>
  <c r="AB4" i="3" s="1"/>
  <c r="AB5" i="3" a="1"/>
  <c r="AB5" i="3" s="1"/>
  <c r="AB6" i="3" a="1"/>
  <c r="AB6" i="3" s="1"/>
  <c r="AB7" i="3" a="1"/>
  <c r="AB7" i="3" s="1"/>
  <c r="AB8" i="3" a="1"/>
  <c r="AB8" i="3" s="1"/>
  <c r="AB9" i="3" a="1"/>
  <c r="AB9" i="3" s="1"/>
  <c r="AB10" i="3" a="1"/>
  <c r="AB10" i="3" s="1"/>
  <c r="AB11" i="3" a="1"/>
  <c r="AB11" i="3" s="1"/>
  <c r="AB12" i="3" a="1"/>
  <c r="AB12" i="3" s="1"/>
  <c r="AB13" i="3" a="1"/>
  <c r="AB13" i="3" s="1"/>
  <c r="AB14" i="3" a="1"/>
  <c r="AB14" i="3" s="1"/>
  <c r="AB15" i="3" a="1"/>
  <c r="AB15" i="3" s="1"/>
  <c r="AB16" i="3" a="1"/>
  <c r="AB16" i="3" s="1"/>
  <c r="AB17" i="3" a="1"/>
  <c r="AB17" i="3" s="1"/>
  <c r="AB18" i="3" a="1"/>
  <c r="AB18" i="3" s="1"/>
  <c r="AB19" i="3" a="1"/>
  <c r="AB19" i="3" s="1"/>
  <c r="AB20" i="3" a="1"/>
  <c r="AB20" i="3" s="1"/>
  <c r="AB21" i="3" a="1"/>
  <c r="AB21" i="3" s="1"/>
  <c r="AB22" i="3" a="1"/>
  <c r="AB22" i="3" s="1"/>
  <c r="AB23" i="3" a="1"/>
  <c r="AB23" i="3" s="1"/>
  <c r="AB24" i="3" a="1"/>
  <c r="AB24" i="3" s="1"/>
  <c r="AB25" i="3" a="1"/>
  <c r="AB25" i="3" s="1"/>
  <c r="AB26" i="3" a="1"/>
  <c r="AB26" i="3" s="1"/>
  <c r="AB27" i="3" a="1"/>
  <c r="AB27" i="3" s="1"/>
  <c r="AB28" i="3" a="1"/>
  <c r="AB28" i="3" s="1"/>
  <c r="AB29" i="3" a="1"/>
  <c r="AB29" i="3" s="1"/>
  <c r="AB30" i="3" a="1"/>
  <c r="AB30" i="3" s="1"/>
  <c r="AB31" i="3" a="1"/>
  <c r="AB31" i="3" s="1"/>
  <c r="AB32" i="3" a="1"/>
  <c r="AB32" i="3" s="1"/>
  <c r="AB33" i="3" a="1"/>
  <c r="AB33" i="3" s="1"/>
  <c r="AB34" i="3" a="1"/>
  <c r="AB34" i="3" s="1"/>
  <c r="AB35" i="3" a="1"/>
  <c r="AB35" i="3" s="1"/>
  <c r="AB36" i="3" a="1"/>
  <c r="AB36" i="3" s="1"/>
  <c r="AB37" i="3" a="1"/>
  <c r="AB37" i="3" s="1"/>
  <c r="AB38" i="3" a="1"/>
  <c r="AB38" i="3" s="1"/>
  <c r="AB39" i="3" a="1"/>
  <c r="AB39" i="3" s="1"/>
  <c r="AB40" i="3" a="1"/>
  <c r="AB40" i="3" s="1"/>
  <c r="AB41" i="3" a="1"/>
  <c r="AB41" i="3" s="1"/>
  <c r="AB42" i="3" a="1"/>
  <c r="AB42" i="3" s="1"/>
  <c r="AB43" i="3" a="1"/>
  <c r="AB43" i="3" s="1"/>
  <c r="AB44" i="3" a="1"/>
  <c r="AB44" i="3" s="1"/>
  <c r="AB45" i="3" a="1"/>
  <c r="AB45" i="3" s="1"/>
  <c r="AB46" i="3" a="1"/>
  <c r="AB46" i="3" s="1"/>
  <c r="AB47" i="3" a="1"/>
  <c r="AB47" i="3" s="1"/>
  <c r="AB48" i="3" a="1"/>
  <c r="AB48" i="3" s="1"/>
  <c r="AB49" i="3" a="1"/>
  <c r="AB49" i="3" s="1"/>
  <c r="AB50" i="3" a="1"/>
  <c r="AB50" i="3" s="1"/>
  <c r="AB51" i="3" a="1"/>
  <c r="AB51" i="3" s="1"/>
  <c r="AB52" i="3" a="1"/>
  <c r="AB52" i="3" s="1"/>
  <c r="AB53" i="3" a="1"/>
  <c r="AB53" i="3" s="1"/>
  <c r="AB54" i="3" a="1"/>
  <c r="AB54" i="3" s="1"/>
  <c r="AB55" i="3" a="1"/>
  <c r="AB55" i="3" s="1"/>
  <c r="AB56" i="3" a="1"/>
  <c r="AB56" i="3" s="1"/>
  <c r="AB57" i="3" a="1"/>
  <c r="AB57" i="3" s="1"/>
  <c r="AB58" i="3" a="1"/>
  <c r="AB58" i="3" s="1"/>
  <c r="AB59" i="3" a="1"/>
  <c r="AB59" i="3" s="1"/>
  <c r="AB60" i="3" a="1"/>
  <c r="AB60" i="3" s="1"/>
  <c r="AB61" i="3" a="1"/>
  <c r="AB61" i="3" s="1"/>
  <c r="AB62" i="3" a="1"/>
  <c r="AB62" i="3" s="1"/>
  <c r="AB63" i="3" a="1"/>
  <c r="AB63" i="3" s="1"/>
  <c r="AB64" i="3" a="1"/>
  <c r="AB64" i="3" s="1"/>
  <c r="AB65" i="3" a="1"/>
  <c r="AB65" i="3" s="1"/>
  <c r="AB66" i="3" a="1"/>
  <c r="AB66" i="3"/>
  <c r="AB67" i="3" a="1"/>
  <c r="AB67" i="3" s="1"/>
  <c r="AB68" i="3" a="1"/>
  <c r="AB68" i="3" s="1"/>
  <c r="AB69" i="3" a="1"/>
  <c r="AB69" i="3" s="1"/>
  <c r="AB70" i="3" a="1"/>
  <c r="AB70" i="3" s="1"/>
  <c r="AB71" i="3" a="1"/>
  <c r="AB71" i="3" s="1"/>
  <c r="AB72" i="3" a="1"/>
  <c r="AB72" i="3" s="1"/>
  <c r="AB73" i="3" a="1"/>
  <c r="AB73" i="3" s="1"/>
  <c r="AB74" i="3" a="1"/>
  <c r="AB74" i="3" s="1"/>
  <c r="AB75" i="3" a="1"/>
  <c r="AB75" i="3" s="1"/>
  <c r="AB76" i="3" a="1"/>
  <c r="AB76" i="3"/>
  <c r="AB77" i="3" a="1"/>
  <c r="AB77" i="3" s="1"/>
  <c r="AB78" i="3" a="1"/>
  <c r="AB78" i="3" s="1"/>
  <c r="AB79" i="3" a="1"/>
  <c r="AB79" i="3" s="1"/>
  <c r="AB80" i="3" a="1"/>
  <c r="AB80" i="3" s="1"/>
  <c r="AB81" i="3" a="1"/>
  <c r="AB81" i="3" s="1"/>
  <c r="AB82" i="3" a="1"/>
  <c r="AB82" i="3" s="1"/>
  <c r="AB83" i="3" a="1"/>
  <c r="AB83" i="3" s="1"/>
  <c r="AB84" i="3" a="1"/>
  <c r="AB84" i="3" s="1"/>
  <c r="AB85" i="3" a="1"/>
  <c r="AB85" i="3" s="1"/>
  <c r="AB86" i="3" a="1"/>
  <c r="AB86" i="3" s="1"/>
  <c r="AB87" i="3" a="1"/>
  <c r="AB87" i="3" s="1"/>
  <c r="AB88" i="3" a="1"/>
  <c r="AB88" i="3" s="1"/>
  <c r="AB89" i="3" a="1"/>
  <c r="AB89" i="3" s="1"/>
  <c r="AB90" i="3" a="1"/>
  <c r="AB90" i="3" s="1"/>
  <c r="AB91" i="3" a="1"/>
  <c r="AB91" i="3" s="1"/>
  <c r="AB92" i="3" a="1"/>
  <c r="AB92" i="3"/>
  <c r="AB93" i="3" a="1"/>
  <c r="AB93" i="3" s="1"/>
  <c r="AB94" i="3" a="1"/>
  <c r="AB94" i="3" s="1"/>
  <c r="AB95" i="3" a="1"/>
  <c r="AB95" i="3" s="1"/>
  <c r="AB96" i="3" a="1"/>
  <c r="AB96" i="3" s="1"/>
  <c r="AB97" i="3" a="1"/>
  <c r="AB97" i="3" s="1"/>
  <c r="AB98" i="3" a="1"/>
  <c r="AB98" i="3" s="1"/>
  <c r="AB99" i="3" a="1"/>
  <c r="AB99" i="3" s="1"/>
  <c r="AB100" i="3" a="1"/>
  <c r="AB100" i="3" s="1"/>
  <c r="AB101" i="3" a="1"/>
  <c r="AB101" i="3" s="1"/>
  <c r="AB102" i="3" a="1"/>
  <c r="AB102" i="3" s="1"/>
  <c r="AB103" i="3" a="1"/>
  <c r="AB103" i="3" s="1"/>
  <c r="AB104" i="3" a="1"/>
  <c r="AB104" i="3" s="1"/>
  <c r="AB105" i="3" a="1"/>
  <c r="AB105" i="3" s="1"/>
  <c r="AB106" i="3" a="1"/>
  <c r="AB106" i="3" s="1"/>
  <c r="AB107" i="3" a="1"/>
  <c r="AB107" i="3" s="1"/>
  <c r="AB108" i="3" a="1"/>
  <c r="AB108" i="3" s="1"/>
  <c r="AB109" i="3" a="1"/>
  <c r="AB109" i="3" s="1"/>
  <c r="AB110" i="3" a="1"/>
  <c r="AB110" i="3" s="1"/>
  <c r="AB111" i="3" a="1"/>
  <c r="AB111" i="3" s="1"/>
  <c r="AB112" i="3" a="1"/>
  <c r="AB112" i="3" s="1"/>
  <c r="AB113" i="3" a="1"/>
  <c r="AB113" i="3" s="1"/>
  <c r="AB114" i="3" a="1"/>
  <c r="AB114" i="3" s="1"/>
  <c r="AB115" i="3" a="1"/>
  <c r="AB115" i="3" s="1"/>
  <c r="AB116" i="3" a="1"/>
  <c r="AB116" i="3" s="1"/>
  <c r="AB117" i="3" a="1"/>
  <c r="AB117" i="3" s="1"/>
  <c r="AB118" i="3" a="1"/>
  <c r="AB118" i="3" s="1"/>
  <c r="AB119" i="3" a="1"/>
  <c r="AB119" i="3" s="1"/>
  <c r="AB120" i="3" a="1"/>
  <c r="AB120" i="3" s="1"/>
  <c r="AB121" i="3" a="1"/>
  <c r="AB121" i="3" s="1"/>
  <c r="AB122" i="3" a="1"/>
  <c r="AB122" i="3" s="1"/>
  <c r="AB123" i="3" a="1"/>
  <c r="AB123" i="3" s="1"/>
  <c r="AB124" i="3" a="1"/>
  <c r="AB124" i="3" s="1"/>
  <c r="AB125" i="3" a="1"/>
  <c r="AB125" i="3" s="1"/>
  <c r="AB126" i="3" a="1"/>
  <c r="AB126" i="3" s="1"/>
  <c r="AB127" i="3" a="1"/>
  <c r="AB127" i="3" s="1"/>
  <c r="AB128" i="3" a="1"/>
  <c r="AB128" i="3" s="1"/>
  <c r="AB129" i="3" a="1"/>
  <c r="AB129" i="3" s="1"/>
  <c r="AB130" i="3" a="1"/>
  <c r="AB130" i="3"/>
  <c r="AB131" i="3" a="1"/>
  <c r="AB131" i="3" s="1"/>
  <c r="AB132" i="3" a="1"/>
  <c r="AB132" i="3" s="1"/>
  <c r="AB133" i="3" a="1"/>
  <c r="AB133" i="3" s="1"/>
  <c r="AB134" i="3" a="1"/>
  <c r="AB134" i="3" s="1"/>
  <c r="AB135" i="3" a="1"/>
  <c r="AB135" i="3" s="1"/>
  <c r="AB136" i="3" a="1"/>
  <c r="AB136" i="3" s="1"/>
  <c r="AB137" i="3" a="1"/>
  <c r="AB137" i="3" s="1"/>
  <c r="AB138" i="3" a="1"/>
  <c r="AB138" i="3" s="1"/>
  <c r="AB139" i="3" a="1"/>
  <c r="AB139" i="3" s="1"/>
  <c r="AB140" i="3" a="1"/>
  <c r="AB140" i="3" s="1"/>
  <c r="AB141" i="3" a="1"/>
  <c r="AB141" i="3" s="1"/>
  <c r="AB142" i="3" a="1"/>
  <c r="AB142" i="3" s="1"/>
  <c r="AB143" i="3" a="1"/>
  <c r="AB143" i="3" s="1"/>
  <c r="AB144" i="3" a="1"/>
  <c r="AB144" i="3" s="1"/>
  <c r="AB145" i="3" a="1"/>
  <c r="AB145" i="3" s="1"/>
  <c r="AB146" i="3" a="1"/>
  <c r="AB146" i="3" s="1"/>
  <c r="AB147" i="3" a="1"/>
  <c r="AB147" i="3" s="1"/>
  <c r="AB148" i="3" a="1"/>
  <c r="AB148" i="3" s="1"/>
  <c r="AB149" i="3" a="1"/>
  <c r="AB149" i="3" s="1"/>
  <c r="AB150" i="3" a="1"/>
  <c r="AB150" i="3" s="1"/>
  <c r="AB151" i="3" a="1"/>
  <c r="AB151" i="3" s="1"/>
  <c r="AB152" i="3" a="1"/>
  <c r="AB152" i="3" s="1"/>
  <c r="AB153" i="3" a="1"/>
  <c r="AB153" i="3"/>
  <c r="AB154" i="3" a="1"/>
  <c r="AB154" i="3" s="1"/>
  <c r="AB155" i="3" a="1"/>
  <c r="AB155" i="3" s="1"/>
  <c r="AB156" i="3" a="1"/>
  <c r="AB156" i="3" s="1"/>
  <c r="AB157" i="3" a="1"/>
  <c r="AB157" i="3" s="1"/>
  <c r="AB158" i="3" a="1"/>
  <c r="AB158" i="3" s="1"/>
  <c r="AB159" i="3" a="1"/>
  <c r="AB159" i="3" s="1"/>
  <c r="AB160" i="3" a="1"/>
  <c r="AB160" i="3" s="1"/>
  <c r="AB161" i="3" a="1"/>
  <c r="AB161" i="3" s="1"/>
  <c r="AB162" i="3" a="1"/>
  <c r="AB162" i="3" s="1"/>
  <c r="AB163" i="3" a="1"/>
  <c r="AB163" i="3" s="1"/>
  <c r="AB164" i="3" a="1"/>
  <c r="AB164" i="3" s="1"/>
  <c r="AB165" i="3" a="1"/>
  <c r="AB165" i="3" s="1"/>
  <c r="AB166" i="3" a="1"/>
  <c r="AB166" i="3" s="1"/>
  <c r="AB167" i="3" a="1"/>
  <c r="AB167" i="3" s="1"/>
  <c r="AB168" i="3" a="1"/>
  <c r="AB168" i="3" s="1"/>
  <c r="AB169" i="3" a="1"/>
  <c r="AB169" i="3" s="1"/>
  <c r="AB170" i="3" a="1"/>
  <c r="AB170" i="3" s="1"/>
  <c r="AB171" i="3" a="1"/>
  <c r="AB171" i="3" s="1"/>
  <c r="AB172" i="3" a="1"/>
  <c r="AB172" i="3"/>
  <c r="AB173" i="3" a="1"/>
  <c r="AB173" i="3" s="1"/>
  <c r="AB174" i="3" a="1"/>
  <c r="AB174" i="3" s="1"/>
  <c r="AB175" i="3" a="1"/>
  <c r="AB175" i="3" s="1"/>
  <c r="AB176" i="3" a="1"/>
  <c r="AB176" i="3" s="1"/>
  <c r="AB177" i="3" a="1"/>
  <c r="AB177" i="3" s="1"/>
  <c r="AB178" i="3" a="1"/>
  <c r="AB178" i="3" s="1"/>
  <c r="AB179" i="3" a="1"/>
  <c r="AB179" i="3" s="1"/>
  <c r="AB180" i="3" a="1"/>
  <c r="AB180" i="3" s="1"/>
  <c r="AB181" i="3" a="1"/>
  <c r="AB181" i="3" s="1"/>
  <c r="AB182" i="3" a="1"/>
  <c r="AB182" i="3" s="1"/>
  <c r="AB183" i="3" a="1"/>
  <c r="AB183" i="3" s="1"/>
  <c r="AB184" i="3" a="1"/>
  <c r="AB184" i="3" s="1"/>
  <c r="AB185" i="3" a="1"/>
  <c r="AB185" i="3" s="1"/>
  <c r="AB186" i="3" a="1"/>
  <c r="AB186" i="3" s="1"/>
  <c r="AB187" i="3" a="1"/>
  <c r="AB187" i="3" s="1"/>
  <c r="AB188" i="3" a="1"/>
  <c r="AB188" i="3" s="1"/>
  <c r="AB189" i="3" a="1"/>
  <c r="AB189" i="3" s="1"/>
  <c r="AB190" i="3" a="1"/>
  <c r="AB190" i="3" s="1"/>
  <c r="AB191" i="3" a="1"/>
  <c r="AB191" i="3" s="1"/>
  <c r="AB192" i="3" a="1"/>
  <c r="AB192" i="3" s="1"/>
  <c r="AB193" i="3" a="1"/>
  <c r="AB193" i="3" s="1"/>
  <c r="AB194" i="3" a="1"/>
  <c r="AB194" i="3" s="1"/>
  <c r="AB195" i="3" a="1"/>
  <c r="AB195" i="3" s="1"/>
  <c r="AB196" i="3" a="1"/>
  <c r="AB196" i="3" s="1"/>
  <c r="AB197" i="3" a="1"/>
  <c r="AB197" i="3" s="1"/>
  <c r="AB198" i="3" a="1"/>
  <c r="AB198" i="3" s="1"/>
  <c r="AB199" i="3" a="1"/>
  <c r="AB199" i="3" s="1"/>
  <c r="AB200" i="3" a="1"/>
  <c r="AB200" i="3" s="1"/>
  <c r="AB201" i="3" a="1"/>
  <c r="AB201" i="3" s="1"/>
  <c r="AB202" i="3" a="1"/>
  <c r="AB202" i="3" s="1"/>
  <c r="AB203" i="3" a="1"/>
  <c r="AB203" i="3" s="1"/>
  <c r="AB204" i="3" a="1"/>
  <c r="AB204" i="3" s="1"/>
  <c r="AB205" i="3" a="1"/>
  <c r="AB205" i="3" s="1"/>
  <c r="AB206" i="3" a="1"/>
  <c r="AB206" i="3" s="1"/>
  <c r="AB207" i="3" a="1"/>
  <c r="AB207" i="3" s="1"/>
  <c r="AB208" i="3" a="1"/>
  <c r="AB208" i="3" s="1"/>
  <c r="AB209" i="3" a="1"/>
  <c r="AB209" i="3" s="1"/>
  <c r="AB210" i="3" a="1"/>
  <c r="AB210" i="3" s="1"/>
  <c r="AB211" i="3" a="1"/>
  <c r="AB211" i="3" s="1"/>
  <c r="AB212" i="3" a="1"/>
  <c r="AB212" i="3" s="1"/>
  <c r="AB213" i="3" a="1"/>
  <c r="AB213" i="3" s="1"/>
  <c r="AB214" i="3" a="1"/>
  <c r="AB214" i="3" s="1"/>
  <c r="AB215" i="3" a="1"/>
  <c r="AB215" i="3" s="1"/>
  <c r="AB216" i="3" a="1"/>
  <c r="AB216" i="3" s="1"/>
  <c r="AB217" i="3" a="1"/>
  <c r="AB217" i="3" s="1"/>
  <c r="AB218" i="3" a="1"/>
  <c r="AB218" i="3" s="1"/>
  <c r="AB219" i="3" a="1"/>
  <c r="AB219" i="3" s="1"/>
  <c r="AB220" i="3" a="1"/>
  <c r="AB220" i="3" s="1"/>
  <c r="AB221" i="3" a="1"/>
  <c r="AB221" i="3" s="1"/>
  <c r="AB222" i="3" a="1"/>
  <c r="AB222" i="3"/>
  <c r="AB223" i="3" a="1"/>
  <c r="AB223" i="3" s="1"/>
  <c r="AB224" i="3" a="1"/>
  <c r="AB224" i="3" s="1"/>
  <c r="AB225" i="3" a="1"/>
  <c r="AB225" i="3" s="1"/>
  <c r="AB226" i="3" a="1"/>
  <c r="AB226" i="3" s="1"/>
  <c r="AB227" i="3" a="1"/>
  <c r="AB227" i="3" s="1"/>
  <c r="AB228" i="3" a="1"/>
  <c r="AB228" i="3" s="1"/>
  <c r="AB229" i="3" a="1"/>
  <c r="AB229" i="3" s="1"/>
  <c r="AB230" i="3" a="1"/>
  <c r="AB230" i="3" s="1"/>
  <c r="AB231" i="3" a="1"/>
  <c r="AB231" i="3" s="1"/>
  <c r="AB232" i="3" a="1"/>
  <c r="AB232" i="3" s="1"/>
  <c r="AB233" i="3" a="1"/>
  <c r="AB233" i="3" s="1"/>
  <c r="AB234" i="3" a="1"/>
  <c r="AB234" i="3" s="1"/>
  <c r="AB235" i="3" a="1"/>
  <c r="AB235" i="3" s="1"/>
  <c r="AB236" i="3" a="1"/>
  <c r="AB236" i="3" s="1"/>
  <c r="AB237" i="3" a="1"/>
  <c r="AB237" i="3"/>
  <c r="AB238" i="3" a="1"/>
  <c r="AB238" i="3" s="1"/>
  <c r="AB239" i="3" a="1"/>
  <c r="AB239" i="3" s="1"/>
  <c r="AB240" i="3" a="1"/>
  <c r="AB240" i="3" s="1"/>
  <c r="AB241" i="3" a="1"/>
  <c r="AB241" i="3" s="1"/>
  <c r="AB242" i="3" a="1"/>
  <c r="AB242" i="3" s="1"/>
  <c r="AB243" i="3" a="1"/>
  <c r="AB243" i="3" s="1"/>
  <c r="AB244" i="3" a="1"/>
  <c r="AB244" i="3" s="1"/>
  <c r="AB245" i="3" a="1"/>
  <c r="AB245" i="3" s="1"/>
  <c r="AB246" i="3" a="1"/>
  <c r="AB246" i="3" s="1"/>
  <c r="AB247" i="3" a="1"/>
  <c r="AB247" i="3" s="1"/>
  <c r="AB248" i="3" a="1"/>
  <c r="AB248" i="3" s="1"/>
  <c r="AB249" i="3" a="1"/>
  <c r="AB249" i="3" s="1"/>
  <c r="AB250" i="3" a="1"/>
  <c r="AB250" i="3" s="1"/>
  <c r="AB251" i="3" a="1"/>
  <c r="AB251" i="3" s="1"/>
  <c r="AB252" i="3" a="1"/>
  <c r="AB252" i="3" s="1"/>
  <c r="AB253" i="3" a="1"/>
  <c r="AB253" i="3" s="1"/>
  <c r="AB254" i="3" a="1"/>
  <c r="AB254" i="3" s="1"/>
  <c r="AB255" i="3" a="1"/>
  <c r="AB255" i="3" s="1"/>
  <c r="AB256" i="3" a="1"/>
  <c r="AB256" i="3" s="1"/>
  <c r="AB257" i="3" a="1"/>
  <c r="AB257" i="3" s="1"/>
  <c r="AB258" i="3" a="1"/>
  <c r="AB258" i="3" s="1"/>
  <c r="AB259" i="3" a="1"/>
  <c r="AB259" i="3" s="1"/>
  <c r="AB260" i="3" a="1"/>
  <c r="AB260" i="3" s="1"/>
  <c r="AB261" i="3" a="1"/>
  <c r="AB261" i="3" s="1"/>
  <c r="AB262" i="3" a="1"/>
  <c r="AB262" i="3" s="1"/>
  <c r="AB263" i="3" a="1"/>
  <c r="AB263" i="3" s="1"/>
  <c r="AB264" i="3" a="1"/>
  <c r="AB264" i="3" s="1"/>
  <c r="AB265" i="3" a="1"/>
  <c r="AB265" i="3" s="1"/>
  <c r="AB266" i="3" a="1"/>
  <c r="AB266" i="3" s="1"/>
  <c r="AB267" i="3" a="1"/>
  <c r="AB267" i="3" s="1"/>
  <c r="AB268" i="3" a="1"/>
  <c r="AB268" i="3" s="1"/>
  <c r="AB269" i="3" a="1"/>
  <c r="AB269" i="3" s="1"/>
  <c r="AB270" i="3" a="1"/>
  <c r="AB270" i="3"/>
  <c r="AB271" i="3" a="1"/>
  <c r="AB271" i="3" s="1"/>
  <c r="AB272" i="3" a="1"/>
  <c r="AB272" i="3" s="1"/>
  <c r="AB273" i="3" a="1"/>
  <c r="AB273" i="3" s="1"/>
  <c r="AB274" i="3" a="1"/>
  <c r="AB274" i="3" s="1"/>
  <c r="AB275" i="3" a="1"/>
  <c r="AB275" i="3" s="1"/>
  <c r="AB276" i="3" a="1"/>
  <c r="AB276" i="3" s="1"/>
  <c r="AB277" i="3" a="1"/>
  <c r="AB277" i="3" s="1"/>
  <c r="AB278" i="3" a="1"/>
  <c r="AB278" i="3" s="1"/>
  <c r="AB279" i="3" a="1"/>
  <c r="AB279" i="3" s="1"/>
  <c r="AB280" i="3" a="1"/>
  <c r="AB280" i="3" s="1"/>
  <c r="AB281" i="3" a="1"/>
  <c r="AB281" i="3" s="1"/>
  <c r="AB282" i="3" a="1"/>
  <c r="AB282" i="3" s="1"/>
  <c r="AB283" i="3" a="1"/>
  <c r="AB283" i="3" s="1"/>
  <c r="AB284" i="3" a="1"/>
  <c r="AB284" i="3" s="1"/>
  <c r="AB285" i="3" a="1"/>
  <c r="AB285" i="3" s="1"/>
  <c r="AB286" i="3" a="1"/>
  <c r="AB286" i="3" s="1"/>
  <c r="AB287" i="3" a="1"/>
  <c r="AB287" i="3" s="1"/>
  <c r="AB288" i="3" a="1"/>
  <c r="AB288" i="3" s="1"/>
  <c r="AB289" i="3" a="1"/>
  <c r="AB289" i="3" s="1"/>
  <c r="AB290" i="3" a="1"/>
  <c r="AB290" i="3" s="1"/>
  <c r="AB291" i="3" a="1"/>
  <c r="AB291" i="3" s="1"/>
  <c r="AB292" i="3" a="1"/>
  <c r="AB292" i="3" s="1"/>
  <c r="AB293" i="3" a="1"/>
  <c r="AB293" i="3" s="1"/>
  <c r="AB294" i="3" a="1"/>
  <c r="AB294" i="3" s="1"/>
  <c r="AB295" i="3" a="1"/>
  <c r="AB295" i="3" s="1"/>
  <c r="AB296" i="3" a="1"/>
  <c r="AB296" i="3" s="1"/>
  <c r="AB297" i="3" a="1"/>
  <c r="AB297" i="3" s="1"/>
  <c r="AB298" i="3" a="1"/>
  <c r="AB298" i="3" s="1"/>
  <c r="AB299" i="3" a="1"/>
  <c r="AB299" i="3" s="1"/>
  <c r="AB300" i="3" a="1"/>
  <c r="AB300" i="3" s="1"/>
  <c r="AB301" i="3" a="1"/>
  <c r="AB301" i="3" s="1"/>
  <c r="AB302" i="3" a="1"/>
  <c r="AB302" i="3" s="1"/>
  <c r="AB303" i="3" a="1"/>
  <c r="AB303" i="3" s="1"/>
  <c r="AB304" i="3" a="1"/>
  <c r="AB304" i="3" s="1"/>
  <c r="AB305" i="3" a="1"/>
  <c r="AB305" i="3" s="1"/>
  <c r="AB306" i="3" a="1"/>
  <c r="AB306" i="3"/>
  <c r="AB307" i="3" a="1"/>
  <c r="AB307" i="3" s="1"/>
  <c r="AB308" i="3" a="1"/>
  <c r="AB308" i="3" s="1"/>
  <c r="AB309" i="3" a="1"/>
  <c r="AB309" i="3" s="1"/>
  <c r="AB310" i="3" a="1"/>
  <c r="AB310" i="3" s="1"/>
  <c r="AB311" i="3" a="1"/>
  <c r="AB311" i="3" s="1"/>
  <c r="AB312" i="3" a="1"/>
  <c r="AB312" i="3" s="1"/>
  <c r="AB313" i="3" a="1"/>
  <c r="AB313" i="3" s="1"/>
  <c r="AB314" i="3" a="1"/>
  <c r="AB314" i="3" s="1"/>
  <c r="AB315" i="3" a="1"/>
  <c r="AB315" i="3" s="1"/>
  <c r="AB316" i="3" a="1"/>
  <c r="AB316" i="3" s="1"/>
  <c r="AB317" i="3" a="1"/>
  <c r="AB317" i="3" s="1"/>
  <c r="AB318" i="3" a="1"/>
  <c r="AB318" i="3" s="1"/>
  <c r="AB319" i="3" a="1"/>
  <c r="AB319" i="3" s="1"/>
  <c r="AB320" i="3" a="1"/>
  <c r="AB320" i="3" s="1"/>
  <c r="AB321" i="3" a="1"/>
  <c r="AB321" i="3" s="1"/>
  <c r="AB322" i="3" a="1"/>
  <c r="AB322" i="3" s="1"/>
  <c r="AB323" i="3" a="1"/>
  <c r="AB323" i="3" s="1"/>
  <c r="AB324" i="3" a="1"/>
  <c r="AB324" i="3" s="1"/>
  <c r="AB325" i="3" a="1"/>
  <c r="AB325" i="3" s="1"/>
  <c r="AB326" i="3" a="1"/>
  <c r="AB326" i="3" s="1"/>
  <c r="AB327" i="3" a="1"/>
  <c r="AB327" i="3" s="1"/>
  <c r="AB328" i="3" a="1"/>
  <c r="AB328" i="3" s="1"/>
  <c r="AB329" i="3" a="1"/>
  <c r="AB329" i="3" s="1"/>
  <c r="AB330" i="3" a="1"/>
  <c r="AB330" i="3" s="1"/>
  <c r="AB331" i="3" a="1"/>
  <c r="AB331" i="3" s="1"/>
  <c r="AB332" i="3" a="1"/>
  <c r="AB332" i="3" s="1"/>
  <c r="AB333" i="3" a="1"/>
  <c r="AB333" i="3" s="1"/>
  <c r="AB334" i="3" a="1"/>
  <c r="AB334" i="3" s="1"/>
  <c r="AB335" i="3" a="1"/>
  <c r="AB335" i="3" s="1"/>
  <c r="AB336" i="3" a="1"/>
  <c r="AB336" i="3" s="1"/>
  <c r="AB337" i="3" a="1"/>
  <c r="AB337" i="3" s="1"/>
  <c r="AB338" i="3" a="1"/>
  <c r="AB338" i="3" s="1"/>
  <c r="AB339" i="3" a="1"/>
  <c r="AB339" i="3" s="1"/>
  <c r="AB340" i="3" a="1"/>
  <c r="AB340" i="3" s="1"/>
  <c r="AB341" i="3" a="1"/>
  <c r="AB341" i="3" s="1"/>
  <c r="AB342" i="3" a="1"/>
  <c r="AB342" i="3"/>
  <c r="AB343" i="3" a="1"/>
  <c r="AB343" i="3" s="1"/>
  <c r="AB344" i="3" a="1"/>
  <c r="AB344" i="3" s="1"/>
  <c r="AB345" i="3" a="1"/>
  <c r="AB345" i="3" s="1"/>
  <c r="AB346" i="3" a="1"/>
  <c r="AB346" i="3" s="1"/>
  <c r="AB347" i="3" a="1"/>
  <c r="AB347" i="3" s="1"/>
  <c r="AB348" i="3" a="1"/>
  <c r="AB348" i="3" s="1"/>
  <c r="AB349" i="3" a="1"/>
  <c r="AB349" i="3"/>
  <c r="AB350" i="3" a="1"/>
  <c r="AB350" i="3" s="1"/>
  <c r="AB351" i="3" a="1"/>
  <c r="AB351" i="3" s="1"/>
  <c r="AB352" i="3" a="1"/>
  <c r="AB352" i="3" s="1"/>
  <c r="AB353" i="3" a="1"/>
  <c r="AB353" i="3" s="1"/>
  <c r="AB354" i="3" a="1"/>
  <c r="AB354" i="3" s="1"/>
  <c r="AB355" i="3" a="1"/>
  <c r="AB355" i="3" s="1"/>
  <c r="AB356" i="3" a="1"/>
  <c r="AB356" i="3" s="1"/>
  <c r="AB357" i="3" a="1"/>
  <c r="AB357" i="3" s="1"/>
  <c r="AB358" i="3" a="1"/>
  <c r="AB358" i="3" s="1"/>
  <c r="AB359" i="3" a="1"/>
  <c r="AB359" i="3" s="1"/>
  <c r="AB360" i="3" a="1"/>
  <c r="AB360" i="3" s="1"/>
  <c r="AB361" i="3" a="1"/>
  <c r="AB361" i="3" s="1"/>
  <c r="AB362" i="3" a="1"/>
  <c r="AB362" i="3" s="1"/>
  <c r="AB363" i="3" a="1"/>
  <c r="AB363" i="3" s="1"/>
  <c r="AB364" i="3" a="1"/>
  <c r="AB364" i="3" s="1"/>
  <c r="AB365" i="3" a="1"/>
  <c r="AB365" i="3" s="1"/>
  <c r="AB366" i="3" a="1"/>
  <c r="AB366" i="3" s="1"/>
  <c r="AB367" i="3" a="1"/>
  <c r="AB367" i="3" s="1"/>
  <c r="AB368" i="3" a="1"/>
  <c r="AB368" i="3" s="1"/>
  <c r="AB369" i="3" a="1"/>
  <c r="AB369" i="3"/>
  <c r="AB370" i="3" a="1"/>
  <c r="AB370" i="3" s="1"/>
  <c r="AB371" i="3" a="1"/>
  <c r="AB371" i="3" s="1"/>
  <c r="AB372" i="3" a="1"/>
  <c r="AB372" i="3" s="1"/>
  <c r="AB373" i="3" a="1"/>
  <c r="AB373" i="3" s="1"/>
  <c r="AB374" i="3" a="1"/>
  <c r="AB374" i="3" s="1"/>
  <c r="AB375" i="3" a="1"/>
  <c r="AB375" i="3" s="1"/>
  <c r="AB376" i="3" a="1"/>
  <c r="AB376" i="3" s="1"/>
  <c r="AB377" i="3" a="1"/>
  <c r="AB377" i="3" s="1"/>
  <c r="AB378" i="3" a="1"/>
  <c r="AB378" i="3" s="1"/>
  <c r="AB379" i="3" a="1"/>
  <c r="AB379" i="3" s="1"/>
  <c r="AB380" i="3" a="1"/>
  <c r="AB380" i="3" s="1"/>
  <c r="AB381" i="3" a="1"/>
  <c r="AB381" i="3" s="1"/>
  <c r="AB382" i="3" a="1"/>
  <c r="AB382" i="3" s="1"/>
  <c r="AB383" i="3" a="1"/>
  <c r="AB383" i="3" s="1"/>
  <c r="AB384" i="3" a="1"/>
  <c r="AB384" i="3" s="1"/>
  <c r="AB385" i="3" a="1"/>
  <c r="AB385" i="3" s="1"/>
  <c r="AB386" i="3" a="1"/>
  <c r="AB386" i="3" s="1"/>
  <c r="AB387" i="3" a="1"/>
  <c r="AB387" i="3" s="1"/>
  <c r="AB388" i="3" a="1"/>
  <c r="AB388" i="3" s="1"/>
  <c r="AB389" i="3" a="1"/>
  <c r="AB389" i="3" s="1"/>
  <c r="AB390" i="3" a="1"/>
  <c r="AB390" i="3" s="1"/>
  <c r="AB391" i="3" a="1"/>
  <c r="AB391" i="3" s="1"/>
  <c r="AB392" i="3" a="1"/>
  <c r="AB392" i="3" s="1"/>
  <c r="AB393" i="3" a="1"/>
  <c r="AB393" i="3" s="1"/>
  <c r="AB394" i="3" a="1"/>
  <c r="AB394" i="3" s="1"/>
  <c r="AB395" i="3" a="1"/>
  <c r="AB395" i="3"/>
  <c r="AB396" i="3" a="1"/>
  <c r="AB396" i="3" s="1"/>
  <c r="AB397" i="3" a="1"/>
  <c r="AB397" i="3" s="1"/>
  <c r="AB398" i="3" a="1"/>
  <c r="AB398" i="3" s="1"/>
  <c r="AB399" i="3" a="1"/>
  <c r="AB399" i="3" s="1"/>
  <c r="AB400" i="3" a="1"/>
  <c r="AB400" i="3" s="1"/>
  <c r="AB401" i="3" a="1"/>
  <c r="AB401" i="3"/>
  <c r="AB402" i="3" a="1"/>
  <c r="AB402" i="3" s="1"/>
  <c r="AB403" i="3" a="1"/>
  <c r="AB403" i="3" s="1"/>
  <c r="AB404" i="3" a="1"/>
  <c r="AB404" i="3" s="1"/>
  <c r="AB405" i="3" a="1"/>
  <c r="AB405" i="3" s="1"/>
  <c r="AB406" i="3" a="1"/>
  <c r="AB406" i="3" s="1"/>
  <c r="AB407" i="3" a="1"/>
  <c r="AB407" i="3" s="1"/>
  <c r="AB408" i="3" a="1"/>
  <c r="AB408" i="3" s="1"/>
  <c r="AB409" i="3" a="1"/>
  <c r="AB409" i="3"/>
  <c r="AB410" i="3" a="1"/>
  <c r="AB410" i="3" s="1"/>
  <c r="AB411" i="3" a="1"/>
  <c r="AB411" i="3" s="1"/>
  <c r="AB412" i="3" a="1"/>
  <c r="AB412" i="3" s="1"/>
  <c r="AB413" i="3" a="1"/>
  <c r="AB413" i="3" s="1"/>
  <c r="AB414" i="3" a="1"/>
  <c r="AB414" i="3" s="1"/>
  <c r="AB415" i="3" a="1"/>
  <c r="AB415" i="3" s="1"/>
  <c r="AB416" i="3" a="1"/>
  <c r="AB416" i="3" s="1"/>
  <c r="AB417" i="3" a="1"/>
  <c r="AB417" i="3" s="1"/>
  <c r="AB418" i="3" a="1"/>
  <c r="AB418" i="3" s="1"/>
  <c r="AB419" i="3" a="1"/>
  <c r="AB419" i="3" s="1"/>
  <c r="AB420" i="3" a="1"/>
  <c r="AB420" i="3" s="1"/>
  <c r="AB421" i="3" a="1"/>
  <c r="AB421" i="3" s="1"/>
  <c r="AB422" i="3" a="1"/>
  <c r="AB422" i="3" s="1"/>
  <c r="AB423" i="3" a="1"/>
  <c r="AB423" i="3"/>
  <c r="AB424" i="3" a="1"/>
  <c r="AB424" i="3" s="1"/>
  <c r="AB425" i="3" a="1"/>
  <c r="AB425" i="3" s="1"/>
  <c r="AB426" i="3" a="1"/>
  <c r="AB426" i="3" s="1"/>
  <c r="AB427" i="3" a="1"/>
  <c r="AB427" i="3" s="1"/>
  <c r="AB428" i="3" a="1"/>
  <c r="AB428" i="3" s="1"/>
  <c r="AB429" i="3" a="1"/>
  <c r="AB429" i="3" s="1"/>
  <c r="AB430" i="3" a="1"/>
  <c r="AB430" i="3" s="1"/>
  <c r="AB431" i="3" a="1"/>
  <c r="AB431" i="3" s="1"/>
  <c r="AB432" i="3" a="1"/>
  <c r="AB432" i="3" s="1"/>
  <c r="AB433" i="3" a="1"/>
  <c r="AB433" i="3" s="1"/>
  <c r="AB434" i="3" a="1"/>
  <c r="AB434" i="3" s="1"/>
  <c r="AB435" i="3" a="1"/>
  <c r="AB435" i="3" s="1"/>
  <c r="AB436" i="3" a="1"/>
  <c r="AB436" i="3" s="1"/>
  <c r="AB437" i="3" a="1"/>
  <c r="AB437" i="3"/>
  <c r="AB438" i="3" a="1"/>
  <c r="AB438" i="3" s="1"/>
  <c r="AB439" i="3" a="1"/>
  <c r="AB439" i="3" s="1"/>
  <c r="AB440" i="3" a="1"/>
  <c r="AB440" i="3" s="1"/>
  <c r="AB441" i="3" a="1"/>
  <c r="AB441" i="3" s="1"/>
  <c r="AB442" i="3" a="1"/>
  <c r="AB442" i="3" s="1"/>
  <c r="AB443" i="3" a="1"/>
  <c r="AB443" i="3" s="1"/>
  <c r="AB444" i="3" a="1"/>
  <c r="AB444" i="3" s="1"/>
  <c r="AB445" i="3" a="1"/>
  <c r="AB445" i="3"/>
  <c r="AB446" i="3" a="1"/>
  <c r="AB446" i="3" s="1"/>
  <c r="AB447" i="3" a="1"/>
  <c r="AB447" i="3" s="1"/>
  <c r="AB448" i="3" a="1"/>
  <c r="AB448" i="3" s="1"/>
  <c r="AB449" i="3" a="1"/>
  <c r="AB449" i="3" s="1"/>
  <c r="AB450" i="3" a="1"/>
  <c r="AB450" i="3" s="1"/>
  <c r="AB451" i="3" a="1"/>
  <c r="AB451" i="3" s="1"/>
  <c r="AB452" i="3" a="1"/>
  <c r="AB452" i="3" s="1"/>
  <c r="AB453" i="3" a="1"/>
  <c r="AB453" i="3" s="1"/>
  <c r="AB454" i="3" a="1"/>
  <c r="AB454" i="3" s="1"/>
  <c r="AB455" i="3" a="1"/>
  <c r="AB455" i="3" s="1"/>
  <c r="AB456" i="3" a="1"/>
  <c r="AB456" i="3" s="1"/>
  <c r="AB457" i="3" a="1"/>
  <c r="AB457" i="3"/>
  <c r="AB458" i="3" a="1"/>
  <c r="AB458" i="3" s="1"/>
  <c r="AB459" i="3" a="1"/>
  <c r="AB459" i="3" s="1"/>
  <c r="AB460" i="3" a="1"/>
  <c r="AB460" i="3" s="1"/>
  <c r="AB461" i="3" a="1"/>
  <c r="AB461" i="3" s="1"/>
  <c r="AB462" i="3" a="1"/>
  <c r="AB462" i="3" s="1"/>
  <c r="AB463" i="3" a="1"/>
  <c r="AB463" i="3" s="1"/>
  <c r="AB464" i="3" a="1"/>
  <c r="AB464" i="3" s="1"/>
  <c r="AB465" i="3" a="1"/>
  <c r="AB465" i="3" s="1"/>
  <c r="AB466" i="3" a="1"/>
  <c r="AB466" i="3" s="1"/>
  <c r="AB467" i="3" a="1"/>
  <c r="AB467" i="3" s="1"/>
  <c r="AB468" i="3" a="1"/>
  <c r="AB468" i="3" s="1"/>
  <c r="AB469" i="3" a="1"/>
  <c r="AB469" i="3" s="1"/>
  <c r="AB470" i="3" a="1"/>
  <c r="AB470" i="3" s="1"/>
  <c r="AB471" i="3" a="1"/>
  <c r="AB471" i="3" s="1"/>
  <c r="AB472" i="3" a="1"/>
  <c r="AB472" i="3" s="1"/>
  <c r="AB473" i="3" a="1"/>
  <c r="AB473" i="3" s="1"/>
  <c r="AB474" i="3" a="1"/>
  <c r="AB474" i="3" s="1"/>
  <c r="AB475" i="3" a="1"/>
  <c r="AB475" i="3" s="1"/>
  <c r="AB476" i="3" a="1"/>
  <c r="AB476" i="3" s="1"/>
  <c r="AB477" i="3" a="1"/>
  <c r="AB477" i="3" s="1"/>
  <c r="AB478" i="3" a="1"/>
  <c r="AB478" i="3" s="1"/>
  <c r="AB479" i="3" a="1"/>
  <c r="AB479" i="3" s="1"/>
  <c r="AB480" i="3" a="1"/>
  <c r="AB480" i="3" s="1"/>
  <c r="AB481" i="3" a="1"/>
  <c r="AB481" i="3" s="1"/>
  <c r="AB482" i="3" a="1"/>
  <c r="AB482" i="3" s="1"/>
  <c r="AB483" i="3" a="1"/>
  <c r="AB483" i="3" s="1"/>
  <c r="AB484" i="3" a="1"/>
  <c r="AB484" i="3" s="1"/>
  <c r="AB485" i="3" a="1"/>
  <c r="AB485" i="3" s="1"/>
  <c r="AB486" i="3" a="1"/>
  <c r="AB486" i="3" s="1"/>
  <c r="AB487" i="3" a="1"/>
  <c r="AB487" i="3" s="1"/>
  <c r="AB488" i="3" a="1"/>
  <c r="AB488" i="3" s="1"/>
  <c r="AB489" i="3" a="1"/>
  <c r="AB489" i="3" s="1"/>
  <c r="AB490" i="3" a="1"/>
  <c r="AB490" i="3" s="1"/>
  <c r="AB491" i="3" a="1"/>
  <c r="AB491" i="3" s="1"/>
  <c r="AB492" i="3" a="1"/>
  <c r="AB492" i="3" s="1"/>
  <c r="AB493" i="3" a="1"/>
  <c r="AB493" i="3" s="1"/>
  <c r="AB494" i="3" a="1"/>
  <c r="AB494" i="3" s="1"/>
  <c r="AB495" i="3" a="1"/>
  <c r="AB495" i="3" s="1"/>
  <c r="AB496" i="3" a="1"/>
  <c r="AB496" i="3" s="1"/>
  <c r="AB497" i="3" a="1"/>
  <c r="AB497" i="3" s="1"/>
  <c r="AB498" i="3" a="1"/>
  <c r="AB498" i="3" s="1"/>
  <c r="AB499" i="3" a="1"/>
  <c r="AB499" i="3" s="1"/>
  <c r="AB500" i="3" a="1"/>
  <c r="AB500" i="3" s="1"/>
  <c r="AB501" i="3" a="1"/>
  <c r="AB501" i="3" s="1"/>
  <c r="AB502" i="3" a="1"/>
  <c r="AB502" i="3" s="1"/>
  <c r="AB503" i="3" a="1"/>
  <c r="AB503" i="3" s="1"/>
  <c r="AB504" i="3" a="1"/>
  <c r="AB504" i="3" s="1"/>
  <c r="AB505" i="3" a="1"/>
  <c r="AB505" i="3" s="1"/>
  <c r="AB506" i="3" a="1"/>
  <c r="AB506" i="3" s="1"/>
  <c r="AB507" i="3" a="1"/>
  <c r="AB507" i="3" s="1"/>
  <c r="AB508" i="3" a="1"/>
  <c r="AB508" i="3" s="1"/>
  <c r="AB509" i="3" a="1"/>
  <c r="AB509" i="3" s="1"/>
  <c r="AB510" i="3" a="1"/>
  <c r="AB510" i="3" s="1"/>
  <c r="AB511" i="3" a="1"/>
  <c r="AB511" i="3" s="1"/>
  <c r="AB512" i="3" a="1"/>
  <c r="AB512" i="3" s="1"/>
  <c r="AB513" i="3" a="1"/>
  <c r="AB513" i="3" s="1"/>
  <c r="AB514" i="3" a="1"/>
  <c r="AB514" i="3" s="1"/>
  <c r="AB515" i="3" a="1"/>
  <c r="AB515" i="3" s="1"/>
  <c r="AB516" i="3" a="1"/>
  <c r="AB516" i="3" s="1"/>
  <c r="AB517" i="3" a="1"/>
  <c r="AB517" i="3" s="1"/>
  <c r="AB518" i="3" a="1"/>
  <c r="AB518" i="3" s="1"/>
  <c r="AB519" i="3" a="1"/>
  <c r="AB519" i="3"/>
  <c r="AB520" i="3" a="1"/>
  <c r="AB520" i="3" s="1"/>
  <c r="AB521" i="3" a="1"/>
  <c r="AB521" i="3" s="1"/>
  <c r="AB522" i="3" a="1"/>
  <c r="AB522" i="3" s="1"/>
  <c r="AB523" i="3" a="1"/>
  <c r="AB523" i="3" s="1"/>
  <c r="AB524" i="3" a="1"/>
  <c r="AB524" i="3" s="1"/>
  <c r="AB525" i="3" a="1"/>
  <c r="AB525" i="3" s="1"/>
  <c r="AB526" i="3" a="1"/>
  <c r="AB526" i="3" s="1"/>
  <c r="AB527" i="3" a="1"/>
  <c r="AB527" i="3" s="1"/>
  <c r="AB528" i="3" a="1"/>
  <c r="AB528" i="3" s="1"/>
  <c r="AB529" i="3" a="1"/>
  <c r="AB529" i="3" s="1"/>
  <c r="AB530" i="3" a="1"/>
  <c r="AB530" i="3" s="1"/>
  <c r="AB531" i="3" a="1"/>
  <c r="AB531" i="3" s="1"/>
  <c r="AB532" i="3" a="1"/>
  <c r="AB532" i="3" s="1"/>
  <c r="AB533" i="3" a="1"/>
  <c r="AB533" i="3" s="1"/>
  <c r="AB534" i="3" a="1"/>
  <c r="AB534" i="3" s="1"/>
  <c r="AB535" i="3" a="1"/>
  <c r="AB535" i="3" s="1"/>
  <c r="AB536" i="3" a="1"/>
  <c r="AB536" i="3" s="1"/>
  <c r="AB537" i="3" a="1"/>
  <c r="AB537" i="3" s="1"/>
  <c r="AB538" i="3" a="1"/>
  <c r="AB538" i="3" s="1"/>
  <c r="AB539" i="3" a="1"/>
  <c r="AB539" i="3" s="1"/>
  <c r="AB540" i="3" a="1"/>
  <c r="AB540" i="3" s="1"/>
  <c r="AB541" i="3" a="1"/>
  <c r="AB541" i="3" s="1"/>
  <c r="AB542" i="3" a="1"/>
  <c r="AB542" i="3" s="1"/>
  <c r="AB543" i="3" a="1"/>
  <c r="AB543" i="3" s="1"/>
  <c r="AB544" i="3" a="1"/>
  <c r="AB544" i="3" s="1"/>
  <c r="AB545" i="3" a="1"/>
  <c r="AB545" i="3" s="1"/>
  <c r="AB546" i="3" a="1"/>
  <c r="AB546" i="3" s="1"/>
  <c r="AB547" i="3" a="1"/>
  <c r="AB547" i="3" s="1"/>
  <c r="AB548" i="3" a="1"/>
  <c r="AB548" i="3" s="1"/>
  <c r="AB549" i="3" a="1"/>
  <c r="AB549" i="3" s="1"/>
  <c r="AB550" i="3" a="1"/>
  <c r="AB550" i="3" s="1"/>
  <c r="AB551" i="3" a="1"/>
  <c r="AB551" i="3" s="1"/>
  <c r="AB552" i="3" a="1"/>
  <c r="AB552" i="3" s="1"/>
  <c r="AB553" i="3" a="1"/>
  <c r="AB553" i="3" s="1"/>
  <c r="AB554" i="3" a="1"/>
  <c r="AB554" i="3" s="1"/>
  <c r="AB555" i="3" a="1"/>
  <c r="AB555" i="3" s="1"/>
  <c r="AB556" i="3" a="1"/>
  <c r="AB556" i="3" s="1"/>
  <c r="AB557" i="3" a="1"/>
  <c r="AB557" i="3" s="1"/>
  <c r="AB558" i="3" a="1"/>
  <c r="AB558" i="3" s="1"/>
  <c r="AB559" i="3" a="1"/>
  <c r="AB559" i="3" s="1"/>
  <c r="AB560" i="3" a="1"/>
  <c r="AB560" i="3" s="1"/>
  <c r="AB561" i="3" a="1"/>
  <c r="AB561" i="3" s="1"/>
  <c r="AB562" i="3" a="1"/>
  <c r="AB562" i="3" s="1"/>
  <c r="AB563" i="3" a="1"/>
  <c r="AB563" i="3" s="1"/>
  <c r="AB564" i="3" a="1"/>
  <c r="AB564" i="3" s="1"/>
  <c r="AB565" i="3" a="1"/>
  <c r="AB565" i="3" s="1"/>
  <c r="AB566" i="3" a="1"/>
  <c r="AB566" i="3" s="1"/>
  <c r="AB567" i="3" a="1"/>
  <c r="AB567" i="3" s="1"/>
  <c r="AB568" i="3" a="1"/>
  <c r="AB568" i="3" s="1"/>
  <c r="AB569" i="3" a="1"/>
  <c r="AB569" i="3" s="1"/>
  <c r="AB570" i="3" a="1"/>
  <c r="AB570" i="3" s="1"/>
  <c r="AB571" i="3" a="1"/>
  <c r="AB571" i="3" s="1"/>
  <c r="AB572" i="3" a="1"/>
  <c r="AB572" i="3" s="1"/>
  <c r="AB573" i="3" a="1"/>
  <c r="AB573" i="3" s="1"/>
  <c r="AB574" i="3" a="1"/>
  <c r="AB574" i="3" s="1"/>
  <c r="AB575" i="3" a="1"/>
  <c r="AB575" i="3" s="1"/>
  <c r="AB576" i="3" a="1"/>
  <c r="AB576" i="3" s="1"/>
  <c r="AB577" i="3" a="1"/>
  <c r="AB577" i="3" s="1"/>
  <c r="AB578" i="3" a="1"/>
  <c r="AB578" i="3" s="1"/>
  <c r="AB579" i="3" a="1"/>
  <c r="AB579" i="3" s="1"/>
  <c r="AB580" i="3" a="1"/>
  <c r="AB580" i="3" s="1"/>
  <c r="AB581" i="3" a="1"/>
  <c r="AB581" i="3" s="1"/>
  <c r="AB582" i="3" a="1"/>
  <c r="AB582" i="3" s="1"/>
  <c r="AB583" i="3" a="1"/>
  <c r="AB583" i="3" s="1"/>
  <c r="AB584" i="3" a="1"/>
  <c r="AB584" i="3" s="1"/>
  <c r="AB585" i="3" a="1"/>
  <c r="AB585" i="3" s="1"/>
  <c r="AB586" i="3" a="1"/>
  <c r="AB586" i="3" s="1"/>
  <c r="AB587" i="3" a="1"/>
  <c r="AB587" i="3" s="1"/>
  <c r="AB588" i="3" a="1"/>
  <c r="AB588" i="3" s="1"/>
  <c r="AB589" i="3" a="1"/>
  <c r="AB589" i="3" s="1"/>
  <c r="AB590" i="3" a="1"/>
  <c r="AB590" i="3" s="1"/>
  <c r="AB591" i="3" a="1"/>
  <c r="AB591" i="3" s="1"/>
  <c r="AB592" i="3" a="1"/>
  <c r="AB592" i="3" s="1"/>
  <c r="AB593" i="3" a="1"/>
  <c r="AB593" i="3" s="1"/>
  <c r="AB594" i="3" a="1"/>
  <c r="AB594" i="3" s="1"/>
  <c r="AB595" i="3" a="1"/>
  <c r="AB595" i="3" s="1"/>
  <c r="AB596" i="3" a="1"/>
  <c r="AB596" i="3" s="1"/>
  <c r="AB597" i="3" a="1"/>
  <c r="AB597" i="3"/>
  <c r="AB598" i="3" a="1"/>
  <c r="AB598" i="3" s="1"/>
  <c r="AB599" i="3" a="1"/>
  <c r="AB599" i="3" s="1"/>
  <c r="AB600" i="3" a="1"/>
  <c r="AB600" i="3" s="1"/>
  <c r="AB601" i="3" a="1"/>
  <c r="AB601" i="3" s="1"/>
  <c r="AB602" i="3" a="1"/>
  <c r="AB602" i="3" s="1"/>
  <c r="AB603" i="3" a="1"/>
  <c r="AB603" i="3"/>
  <c r="AB604" i="3" a="1"/>
  <c r="AB604" i="3" s="1"/>
  <c r="AB605" i="3" a="1"/>
  <c r="AB605" i="3" s="1"/>
  <c r="AB606" i="3" a="1"/>
  <c r="AB606" i="3" s="1"/>
  <c r="AB607" i="3" a="1"/>
  <c r="AB607" i="3" s="1"/>
  <c r="AB608" i="3" a="1"/>
  <c r="AB608" i="3" s="1"/>
  <c r="AB609" i="3" a="1"/>
  <c r="AB609" i="3" s="1"/>
  <c r="AB610" i="3" a="1"/>
  <c r="AB610" i="3" s="1"/>
  <c r="AB611" i="3" a="1"/>
  <c r="AB611" i="3" s="1"/>
  <c r="AB612" i="3" a="1"/>
  <c r="AB612" i="3" s="1"/>
  <c r="AB613" i="3" a="1"/>
  <c r="AB613" i="3" s="1"/>
  <c r="AB614" i="3" a="1"/>
  <c r="AB614" i="3" s="1"/>
  <c r="AB615" i="3" a="1"/>
  <c r="AB615" i="3" s="1"/>
  <c r="AB616" i="3" a="1"/>
  <c r="AB616" i="3" s="1"/>
  <c r="AB617" i="3" a="1"/>
  <c r="AB617" i="3" s="1"/>
  <c r="AB618" i="3" a="1"/>
  <c r="AB618" i="3" s="1"/>
  <c r="AB619" i="3" a="1"/>
  <c r="AB619" i="3"/>
  <c r="AB620" i="3" a="1"/>
  <c r="AB620" i="3" s="1"/>
  <c r="AB621" i="3" a="1"/>
  <c r="AB621" i="3" s="1"/>
  <c r="AB622" i="3" a="1"/>
  <c r="AB622" i="3" s="1"/>
  <c r="AB623" i="3" a="1"/>
  <c r="AB623" i="3" s="1"/>
  <c r="AB624" i="3" a="1"/>
  <c r="AB624" i="3" s="1"/>
  <c r="AB625" i="3" a="1"/>
  <c r="AB625" i="3" s="1"/>
  <c r="AB626" i="3" a="1"/>
  <c r="AB626" i="3" s="1"/>
  <c r="AB627" i="3" a="1"/>
  <c r="AB627" i="3" s="1"/>
  <c r="AB628" i="3" a="1"/>
  <c r="AB628" i="3" s="1"/>
  <c r="AB629" i="3" a="1"/>
  <c r="AB629" i="3" s="1"/>
  <c r="AB630" i="3" a="1"/>
  <c r="AB630" i="3" s="1"/>
  <c r="AB631" i="3" a="1"/>
  <c r="AB631" i="3" s="1"/>
  <c r="AB632" i="3" a="1"/>
  <c r="AB632" i="3" s="1"/>
  <c r="AB633" i="3" a="1"/>
  <c r="AB633" i="3" s="1"/>
  <c r="AB634" i="3" a="1"/>
  <c r="AB634" i="3" s="1"/>
  <c r="AB635" i="3" a="1"/>
  <c r="AB635" i="3" s="1"/>
  <c r="AB636" i="3" a="1"/>
  <c r="AB636" i="3" s="1"/>
  <c r="AB637" i="3" a="1"/>
  <c r="AB637" i="3"/>
  <c r="AB638" i="3" a="1"/>
  <c r="AB638" i="3" s="1"/>
  <c r="AB639" i="3" a="1"/>
  <c r="AB639" i="3" s="1"/>
  <c r="AB640" i="3" a="1"/>
  <c r="AB640" i="3" s="1"/>
  <c r="AB641" i="3" a="1"/>
  <c r="AB641" i="3" s="1"/>
  <c r="AB642" i="3" a="1"/>
  <c r="AB642" i="3" s="1"/>
  <c r="AB643" i="3" a="1"/>
  <c r="AB643" i="3" s="1"/>
  <c r="AB644" i="3" a="1"/>
  <c r="AB644" i="3" s="1"/>
  <c r="AB645" i="3" a="1"/>
  <c r="AB645" i="3" s="1"/>
  <c r="AB646" i="3" a="1"/>
  <c r="AB646" i="3" s="1"/>
  <c r="AB647" i="3" a="1"/>
  <c r="AB647" i="3" s="1"/>
  <c r="AB648" i="3" a="1"/>
  <c r="AB648" i="3" s="1"/>
  <c r="AB649" i="3" a="1"/>
  <c r="AB649" i="3" s="1"/>
  <c r="AB650" i="3" a="1"/>
  <c r="AB650" i="3" s="1"/>
  <c r="AB651" i="3" a="1"/>
  <c r="AB651" i="3" s="1"/>
  <c r="AB652" i="3" a="1"/>
  <c r="AB652" i="3"/>
  <c r="AB653" i="3" a="1"/>
  <c r="AB653" i="3" s="1"/>
  <c r="AB654" i="3" a="1"/>
  <c r="AB654" i="3" s="1"/>
  <c r="AB655" i="3" a="1"/>
  <c r="AB655" i="3" s="1"/>
  <c r="AB656" i="3" a="1"/>
  <c r="AB656" i="3" s="1"/>
  <c r="AB657" i="3" a="1"/>
  <c r="AB657" i="3" s="1"/>
  <c r="AB658" i="3" a="1"/>
  <c r="AB658" i="3" s="1"/>
  <c r="AB659" i="3" a="1"/>
  <c r="AB659" i="3" s="1"/>
  <c r="AB660" i="3" a="1"/>
  <c r="AB660" i="3" s="1"/>
  <c r="AB661" i="3" a="1"/>
  <c r="AB661" i="3" s="1"/>
  <c r="AB662" i="3" a="1"/>
  <c r="AB662" i="3" s="1"/>
  <c r="AB663" i="3" a="1"/>
  <c r="AB663" i="3" s="1"/>
  <c r="AB664" i="3" a="1"/>
  <c r="AB664" i="3" s="1"/>
  <c r="AB665" i="3" a="1"/>
  <c r="AB665" i="3" s="1"/>
  <c r="AB666" i="3" a="1"/>
  <c r="AB666" i="3" s="1"/>
  <c r="AB667" i="3" a="1"/>
  <c r="AB667" i="3"/>
  <c r="AB668" i="3" a="1"/>
  <c r="AB668" i="3" s="1"/>
  <c r="AB669" i="3" a="1"/>
  <c r="AB669" i="3" s="1"/>
  <c r="AB670" i="3" a="1"/>
  <c r="AB670" i="3" s="1"/>
  <c r="AB671" i="3" a="1"/>
  <c r="AB671" i="3" s="1"/>
  <c r="AB672" i="3" a="1"/>
  <c r="AB672" i="3" s="1"/>
  <c r="AB673" i="3" a="1"/>
  <c r="AB673" i="3" s="1"/>
  <c r="AB674" i="3" a="1"/>
  <c r="AB674" i="3" s="1"/>
  <c r="AB675" i="3" a="1"/>
  <c r="AB675" i="3" s="1"/>
  <c r="AB676" i="3" a="1"/>
  <c r="AB676" i="3" s="1"/>
  <c r="AB677" i="3" a="1"/>
  <c r="AB677" i="3" s="1"/>
  <c r="AB678" i="3" a="1"/>
  <c r="AB678" i="3" s="1"/>
  <c r="AB679" i="3" a="1"/>
  <c r="AB679" i="3" s="1"/>
  <c r="AB680" i="3" a="1"/>
  <c r="AB680" i="3" s="1"/>
  <c r="AB681" i="3" a="1"/>
  <c r="AB681" i="3" s="1"/>
  <c r="AB682" i="3" a="1"/>
  <c r="AB682" i="3" s="1"/>
  <c r="AB683" i="3" a="1"/>
  <c r="AB683" i="3" s="1"/>
  <c r="AB684" i="3" a="1"/>
  <c r="AB684" i="3" s="1"/>
  <c r="AB685" i="3" a="1"/>
  <c r="AB685" i="3" s="1"/>
  <c r="AB686" i="3" a="1"/>
  <c r="AB686" i="3" s="1"/>
  <c r="AB687" i="3" a="1"/>
  <c r="AB687" i="3" s="1"/>
  <c r="AB688" i="3" a="1"/>
  <c r="AB688" i="3" s="1"/>
  <c r="AB689" i="3" a="1"/>
  <c r="AB689" i="3" s="1"/>
  <c r="AB690" i="3" a="1"/>
  <c r="AB690" i="3" s="1"/>
  <c r="AB691" i="3" a="1"/>
  <c r="AB691" i="3" s="1"/>
  <c r="AB692" i="3" a="1"/>
  <c r="AB692" i="3" s="1"/>
  <c r="AB693" i="3" a="1"/>
  <c r="AB693" i="3" s="1"/>
  <c r="AB694" i="3" a="1"/>
  <c r="AB694" i="3" s="1"/>
  <c r="AB695" i="3" a="1"/>
  <c r="AB695" i="3" s="1"/>
  <c r="AB696" i="3" a="1"/>
  <c r="AB696" i="3" s="1"/>
  <c r="AB697" i="3" a="1"/>
  <c r="AB697" i="3" s="1"/>
  <c r="AB698" i="3" a="1"/>
  <c r="AB698" i="3" s="1"/>
  <c r="AB699" i="3" a="1"/>
  <c r="AB699" i="3" s="1"/>
  <c r="AB700" i="3" a="1"/>
  <c r="AB700" i="3" s="1"/>
  <c r="AB701" i="3" a="1"/>
  <c r="AB701" i="3" s="1"/>
  <c r="AB702" i="3" a="1"/>
  <c r="AB702" i="3" s="1"/>
  <c r="AB703" i="3" a="1"/>
  <c r="AB703" i="3" s="1"/>
  <c r="AB704" i="3" a="1"/>
  <c r="AB704" i="3" s="1"/>
  <c r="AB705" i="3" a="1"/>
  <c r="AB705" i="3" s="1"/>
  <c r="AB706" i="3" a="1"/>
  <c r="AB706" i="3" s="1"/>
  <c r="AB707" i="3" a="1"/>
  <c r="AB707" i="3" s="1"/>
  <c r="AB708" i="3" a="1"/>
  <c r="AB708" i="3" s="1"/>
  <c r="AB709" i="3" a="1"/>
  <c r="AB709" i="3" s="1"/>
  <c r="AB710" i="3" a="1"/>
  <c r="AB710" i="3" s="1"/>
  <c r="AB711" i="3" a="1"/>
  <c r="AB711" i="3" s="1"/>
  <c r="AB712" i="3" a="1"/>
  <c r="AB712" i="3" s="1"/>
  <c r="AB713" i="3" a="1"/>
  <c r="AB713" i="3" s="1"/>
  <c r="AB714" i="3" a="1"/>
  <c r="AB714" i="3" s="1"/>
  <c r="AB715" i="3" a="1"/>
  <c r="AB715" i="3" s="1"/>
  <c r="AB716" i="3" a="1"/>
  <c r="AB716" i="3" s="1"/>
  <c r="AB717" i="3" a="1"/>
  <c r="AB717" i="3" s="1"/>
  <c r="AB718" i="3" a="1"/>
  <c r="AB718" i="3" s="1"/>
  <c r="AB719" i="3" a="1"/>
  <c r="AB719" i="3" s="1"/>
  <c r="AB720" i="3" a="1"/>
  <c r="AB720" i="3" s="1"/>
  <c r="AB721" i="3" a="1"/>
  <c r="AB721" i="3"/>
  <c r="AB722" i="3" a="1"/>
  <c r="AB722" i="3" s="1"/>
  <c r="AB723" i="3" a="1"/>
  <c r="AB723" i="3" s="1"/>
  <c r="AB724" i="3" a="1"/>
  <c r="AB724" i="3" s="1"/>
  <c r="AB725" i="3" a="1"/>
  <c r="AB725" i="3"/>
  <c r="AB726" i="3" a="1"/>
  <c r="AB726" i="3" s="1"/>
  <c r="AB727" i="3" a="1"/>
  <c r="AB727" i="3" s="1"/>
  <c r="AB728" i="3" a="1"/>
  <c r="AB728" i="3" s="1"/>
  <c r="AB729" i="3" a="1"/>
  <c r="AB729" i="3" s="1"/>
  <c r="AB730" i="3" a="1"/>
  <c r="AB730" i="3" s="1"/>
  <c r="AB731" i="3" a="1"/>
  <c r="AB731" i="3" s="1"/>
  <c r="AB732" i="3" a="1"/>
  <c r="AB732" i="3"/>
  <c r="AB733" i="3" a="1"/>
  <c r="AB733" i="3" s="1"/>
  <c r="AB734" i="3" a="1"/>
  <c r="AB734" i="3" s="1"/>
  <c r="AB735" i="3" a="1"/>
  <c r="AB735" i="3" s="1"/>
  <c r="AB736" i="3" a="1"/>
  <c r="AB736" i="3" s="1"/>
  <c r="AB737" i="3" a="1"/>
  <c r="AB737" i="3" s="1"/>
  <c r="AB738" i="3" a="1"/>
  <c r="AB738" i="3" s="1"/>
  <c r="AB739" i="3" a="1"/>
  <c r="AB739" i="3"/>
  <c r="AB740" i="3" a="1"/>
  <c r="AB740" i="3" s="1"/>
  <c r="AB741" i="3" a="1"/>
  <c r="AB741" i="3" s="1"/>
  <c r="AB742" i="3" a="1"/>
  <c r="AB742" i="3" s="1"/>
  <c r="AB743" i="3" a="1"/>
  <c r="AB743" i="3" s="1"/>
  <c r="AB744" i="3" a="1"/>
  <c r="AB744" i="3" s="1"/>
  <c r="AB745" i="3" a="1"/>
  <c r="AB745" i="3" s="1"/>
  <c r="AB746" i="3" a="1"/>
  <c r="AB746" i="3" s="1"/>
  <c r="AB747" i="3" a="1"/>
  <c r="AB747" i="3" s="1"/>
  <c r="AB748" i="3" a="1"/>
  <c r="AB748" i="3" s="1"/>
  <c r="AB749" i="3" a="1"/>
  <c r="AB749" i="3" s="1"/>
  <c r="AB750" i="3" a="1"/>
  <c r="AB750" i="3" s="1"/>
  <c r="AB751" i="3" a="1"/>
  <c r="AB751" i="3" s="1"/>
  <c r="AB752" i="3" a="1"/>
  <c r="AB752" i="3" s="1"/>
  <c r="AB753" i="3" a="1"/>
  <c r="AB753" i="3" s="1"/>
  <c r="AB754" i="3" a="1"/>
  <c r="AB754" i="3" s="1"/>
  <c r="AB755" i="3" a="1"/>
  <c r="AB755" i="3" s="1"/>
  <c r="AB756" i="3" a="1"/>
  <c r="AB756" i="3" s="1"/>
  <c r="AB757" i="3" a="1"/>
  <c r="AB757" i="3" s="1"/>
  <c r="AB758" i="3" a="1"/>
  <c r="AB758" i="3" s="1"/>
  <c r="AB759" i="3" a="1"/>
  <c r="AB759" i="3" s="1"/>
  <c r="AB760" i="3" a="1"/>
  <c r="AB760" i="3" s="1"/>
  <c r="AB761" i="3" a="1"/>
  <c r="AB761" i="3" s="1"/>
  <c r="AB762" i="3" a="1"/>
  <c r="AB762" i="3" s="1"/>
  <c r="AB763" i="3" a="1"/>
  <c r="AB763" i="3" s="1"/>
  <c r="AB764" i="3" a="1"/>
  <c r="AB764" i="3" s="1"/>
  <c r="AB765" i="3" a="1"/>
  <c r="AB765" i="3" s="1"/>
  <c r="AB766" i="3" a="1"/>
  <c r="AB766" i="3" s="1"/>
  <c r="AB767" i="3" a="1"/>
  <c r="AB767" i="3" s="1"/>
  <c r="AB768" i="3" a="1"/>
  <c r="AB768" i="3" s="1"/>
  <c r="AB769" i="3" a="1"/>
  <c r="AB769" i="3" s="1"/>
  <c r="AB770" i="3" a="1"/>
  <c r="AB770" i="3" s="1"/>
  <c r="AB771" i="3" a="1"/>
  <c r="AB771" i="3" s="1"/>
  <c r="AB772" i="3" a="1"/>
  <c r="AB772" i="3" s="1"/>
  <c r="AB773" i="3" a="1"/>
  <c r="AB773" i="3" s="1"/>
  <c r="AB774" i="3" a="1"/>
  <c r="AB774" i="3" s="1"/>
  <c r="AB775" i="3" a="1"/>
  <c r="AB775" i="3" s="1"/>
  <c r="AB776" i="3" a="1"/>
  <c r="AB776" i="3" s="1"/>
  <c r="AB777" i="3" a="1"/>
  <c r="AB777" i="3" s="1"/>
  <c r="AB778" i="3" a="1"/>
  <c r="AB778" i="3" s="1"/>
  <c r="AB779" i="3" a="1"/>
  <c r="AB779" i="3" s="1"/>
  <c r="AB780" i="3" a="1"/>
  <c r="AB780" i="3" s="1"/>
  <c r="AB781" i="3" a="1"/>
  <c r="AB781" i="3" s="1"/>
  <c r="AB782" i="3" a="1"/>
  <c r="AB782" i="3" s="1"/>
  <c r="AB783" i="3" a="1"/>
  <c r="AB783" i="3" s="1"/>
  <c r="AB784" i="3" a="1"/>
  <c r="AB784" i="3" s="1"/>
  <c r="AB785" i="3" a="1"/>
  <c r="AB785" i="3" s="1"/>
  <c r="AB786" i="3" a="1"/>
  <c r="AB786" i="3" s="1"/>
  <c r="AB787" i="3" a="1"/>
  <c r="AB787" i="3" s="1"/>
  <c r="AB788" i="3" a="1"/>
  <c r="AB788" i="3"/>
  <c r="AB789" i="3" a="1"/>
  <c r="AB789" i="3" s="1"/>
  <c r="AB790" i="3" a="1"/>
  <c r="AB790" i="3" s="1"/>
  <c r="AB791" i="3" a="1"/>
  <c r="AB791" i="3" s="1"/>
  <c r="AB792" i="3" a="1"/>
  <c r="AB792" i="3" s="1"/>
  <c r="AB793" i="3" a="1"/>
  <c r="AB793" i="3" s="1"/>
  <c r="AB794" i="3" a="1"/>
  <c r="AB794" i="3" s="1"/>
  <c r="AB795" i="3" a="1"/>
  <c r="AB795" i="3" s="1"/>
  <c r="AB796" i="3" a="1"/>
  <c r="AB796" i="3" s="1"/>
  <c r="AB797" i="3" a="1"/>
  <c r="AB797" i="3" s="1"/>
  <c r="AB798" i="3" a="1"/>
  <c r="AB798" i="3" s="1"/>
  <c r="AB799" i="3" a="1"/>
  <c r="AB799" i="3" s="1"/>
  <c r="AB800" i="3" a="1"/>
  <c r="AB800" i="3" s="1"/>
  <c r="AB801" i="3" a="1"/>
  <c r="AB801" i="3" s="1"/>
  <c r="AB802" i="3" a="1"/>
  <c r="AB802" i="3" s="1"/>
  <c r="AB803" i="3" a="1"/>
  <c r="AB803" i="3" s="1"/>
  <c r="AB804" i="3" a="1"/>
  <c r="AB804" i="3" s="1"/>
  <c r="AB805" i="3" a="1"/>
  <c r="AB805" i="3" s="1"/>
  <c r="AB806" i="3" a="1"/>
  <c r="AB806" i="3" s="1"/>
  <c r="AB807" i="3" a="1"/>
  <c r="AB807" i="3" s="1"/>
  <c r="AB808" i="3" a="1"/>
  <c r="AB808" i="3" s="1"/>
  <c r="AB809" i="3" a="1"/>
  <c r="AB809" i="3" s="1"/>
  <c r="AB810" i="3" a="1"/>
  <c r="AB810" i="3" s="1"/>
  <c r="AB811" i="3" a="1"/>
  <c r="AB811" i="3"/>
  <c r="AB812" i="3" a="1"/>
  <c r="AB812" i="3" s="1"/>
  <c r="AB813" i="3" a="1"/>
  <c r="AB813" i="3" s="1"/>
  <c r="AB814" i="3" a="1"/>
  <c r="AB814" i="3" s="1"/>
  <c r="AB815" i="3" a="1"/>
  <c r="AB815" i="3" s="1"/>
  <c r="AB816" i="3" a="1"/>
  <c r="AB816" i="3" s="1"/>
  <c r="AB817" i="3" a="1"/>
  <c r="AB817" i="3" s="1"/>
  <c r="AB818" i="3" a="1"/>
  <c r="AB818" i="3" s="1"/>
  <c r="AB819" i="3" a="1"/>
  <c r="AB819" i="3" s="1"/>
  <c r="AB820" i="3" a="1"/>
  <c r="AB820" i="3" s="1"/>
  <c r="AB821" i="3" a="1"/>
  <c r="AB821" i="3" s="1"/>
  <c r="AB822" i="3" a="1"/>
  <c r="AB822" i="3" s="1"/>
  <c r="AB823" i="3" a="1"/>
  <c r="AB823" i="3" s="1"/>
  <c r="AB824" i="3" a="1"/>
  <c r="AB824" i="3" s="1"/>
  <c r="AB825" i="3" a="1"/>
  <c r="AB825" i="3" s="1"/>
  <c r="AB826" i="3" a="1"/>
  <c r="AB826" i="3" s="1"/>
  <c r="AB827" i="3" a="1"/>
  <c r="AB827" i="3" s="1"/>
  <c r="AB828" i="3" a="1"/>
  <c r="AB828" i="3" s="1"/>
  <c r="AB829" i="3" a="1"/>
  <c r="AB829" i="3" s="1"/>
  <c r="AB830" i="3" a="1"/>
  <c r="AB830" i="3" s="1"/>
  <c r="AB831" i="3" a="1"/>
  <c r="AB831" i="3" s="1"/>
  <c r="AB832" i="3" a="1"/>
  <c r="AB832" i="3" s="1"/>
  <c r="AB833" i="3" a="1"/>
  <c r="AB833" i="3" s="1"/>
  <c r="AB834" i="3" a="1"/>
  <c r="AB834" i="3" s="1"/>
  <c r="AB835" i="3" a="1"/>
  <c r="AB835" i="3" s="1"/>
  <c r="AB836" i="3" a="1"/>
  <c r="AB836" i="3"/>
  <c r="AB837" i="3" a="1"/>
  <c r="AB837" i="3" s="1"/>
  <c r="AB838" i="3" a="1"/>
  <c r="AB838" i="3" s="1"/>
  <c r="AB839" i="3" a="1"/>
  <c r="AB839" i="3" s="1"/>
  <c r="AB840" i="3" a="1"/>
  <c r="AB840" i="3" s="1"/>
  <c r="AB841" i="3" a="1"/>
  <c r="AB841" i="3" s="1"/>
  <c r="AB842" i="3" a="1"/>
  <c r="AB842" i="3"/>
  <c r="AB843" i="3" a="1"/>
  <c r="AB843" i="3" s="1"/>
  <c r="AB844" i="3" a="1"/>
  <c r="AB844" i="3" s="1"/>
  <c r="AB845" i="3" a="1"/>
  <c r="AB845" i="3" s="1"/>
  <c r="AB846" i="3" a="1"/>
  <c r="AB846" i="3" s="1"/>
  <c r="AB847" i="3" a="1"/>
  <c r="AB847" i="3" s="1"/>
  <c r="AB848" i="3" a="1"/>
  <c r="AB848" i="3" s="1"/>
  <c r="AB849" i="3" a="1"/>
  <c r="AB849" i="3" s="1"/>
  <c r="AB850" i="3" a="1"/>
  <c r="AB850" i="3" s="1"/>
  <c r="AB851" i="3" a="1"/>
  <c r="AB851" i="3" s="1"/>
  <c r="AB852" i="3" a="1"/>
  <c r="AB852" i="3" s="1"/>
  <c r="AB853" i="3" a="1"/>
  <c r="AB853" i="3" s="1"/>
  <c r="AB854" i="3" a="1"/>
  <c r="AB854" i="3" s="1"/>
  <c r="AB855" i="3" a="1"/>
  <c r="AB855" i="3" s="1"/>
  <c r="AB856" i="3" a="1"/>
  <c r="AB856" i="3"/>
  <c r="AB857" i="3" a="1"/>
  <c r="AB857" i="3" s="1"/>
  <c r="AB858" i="3" a="1"/>
  <c r="AB858" i="3" s="1"/>
  <c r="AB859" i="3" a="1"/>
  <c r="AB859" i="3" s="1"/>
  <c r="AB860" i="3" a="1"/>
  <c r="AB860" i="3" s="1"/>
  <c r="AB861" i="3" a="1"/>
  <c r="AB861" i="3" s="1"/>
  <c r="AB862" i="3" a="1"/>
  <c r="AB862" i="3" s="1"/>
  <c r="AB863" i="3" a="1"/>
  <c r="AB863" i="3" s="1"/>
  <c r="AB864" i="3" a="1"/>
  <c r="AB864" i="3" s="1"/>
  <c r="AB865" i="3" a="1"/>
  <c r="AB865" i="3" s="1"/>
  <c r="AB866" i="3" a="1"/>
  <c r="AB866" i="3" s="1"/>
  <c r="AB867" i="3" a="1"/>
  <c r="AB867" i="3" s="1"/>
  <c r="AB868" i="3" a="1"/>
  <c r="AB868" i="3" s="1"/>
  <c r="AB869" i="3" a="1"/>
  <c r="AB869" i="3" s="1"/>
  <c r="AB870" i="3" a="1"/>
  <c r="AB870" i="3" s="1"/>
  <c r="AB871" i="3" a="1"/>
  <c r="AB871" i="3" s="1"/>
  <c r="AB872" i="3" a="1"/>
  <c r="AB872" i="3" s="1"/>
  <c r="AB873" i="3" a="1"/>
  <c r="AB873" i="3" s="1"/>
  <c r="AB874" i="3" a="1"/>
  <c r="AB874" i="3" s="1"/>
  <c r="AB875" i="3" a="1"/>
  <c r="AB875" i="3" s="1"/>
  <c r="AB876" i="3" a="1"/>
  <c r="AB876" i="3" s="1"/>
  <c r="AB877" i="3" a="1"/>
  <c r="AB877" i="3" s="1"/>
  <c r="AB878" i="3" a="1"/>
  <c r="AB878" i="3" s="1"/>
  <c r="AB879" i="3" a="1"/>
  <c r="AB879" i="3" s="1"/>
  <c r="AB880" i="3" a="1"/>
  <c r="AB880" i="3" s="1"/>
  <c r="AB881" i="3" a="1"/>
  <c r="AB881" i="3" s="1"/>
  <c r="AB882" i="3" a="1"/>
  <c r="AB882" i="3" s="1"/>
  <c r="AB883" i="3" a="1"/>
  <c r="AB883" i="3" s="1"/>
  <c r="AB884" i="3" a="1"/>
  <c r="AB884" i="3" s="1"/>
  <c r="AB885" i="3" a="1"/>
  <c r="AB885" i="3" s="1"/>
  <c r="AB886" i="3" a="1"/>
  <c r="AB886" i="3"/>
  <c r="AB887" i="3" a="1"/>
  <c r="AB887" i="3" s="1"/>
  <c r="AB888" i="3" a="1"/>
  <c r="AB888" i="3" s="1"/>
  <c r="AB889" i="3" a="1"/>
  <c r="AB889" i="3" s="1"/>
  <c r="AB890" i="3" a="1"/>
  <c r="AB890" i="3" s="1"/>
  <c r="AB891" i="3" a="1"/>
  <c r="AB891" i="3" s="1"/>
  <c r="AB892" i="3" a="1"/>
  <c r="AB892" i="3" s="1"/>
  <c r="AB893" i="3" a="1"/>
  <c r="AB893" i="3" s="1"/>
  <c r="AB894" i="3" a="1"/>
  <c r="AB894" i="3" s="1"/>
  <c r="AB895" i="3" a="1"/>
  <c r="AB895" i="3" s="1"/>
  <c r="AB896" i="3" a="1"/>
  <c r="AB896" i="3" s="1"/>
  <c r="AB897" i="3" a="1"/>
  <c r="AB897" i="3" s="1"/>
  <c r="AB898" i="3" a="1"/>
  <c r="AB898" i="3" s="1"/>
  <c r="AB899" i="3" a="1"/>
  <c r="AB899" i="3" s="1"/>
  <c r="AB900" i="3" a="1"/>
  <c r="AB900" i="3" s="1"/>
  <c r="AB901" i="3" a="1"/>
  <c r="AB901" i="3" s="1"/>
  <c r="AB902" i="3" a="1"/>
  <c r="AB902" i="3" s="1"/>
  <c r="AB903" i="3" a="1"/>
  <c r="AB903" i="3" s="1"/>
  <c r="AB904" i="3" a="1"/>
  <c r="AB904" i="3" s="1"/>
  <c r="AB905" i="3" a="1"/>
  <c r="AB905" i="3" s="1"/>
  <c r="AB906" i="3" a="1"/>
  <c r="AB906" i="3" s="1"/>
  <c r="AB907" i="3" a="1"/>
  <c r="AB907" i="3" s="1"/>
  <c r="AB908" i="3" a="1"/>
  <c r="AB908" i="3" s="1"/>
  <c r="AB909" i="3" a="1"/>
  <c r="AB909" i="3" s="1"/>
  <c r="AB910" i="3" a="1"/>
  <c r="AB910" i="3" s="1"/>
  <c r="AB911" i="3" a="1"/>
  <c r="AB911" i="3" s="1"/>
  <c r="AB912" i="3" a="1"/>
  <c r="AB912" i="3" s="1"/>
  <c r="AB913" i="3" a="1"/>
  <c r="AB913" i="3" s="1"/>
  <c r="AB914" i="3" a="1"/>
  <c r="AB914" i="3"/>
  <c r="AB915" i="3" a="1"/>
  <c r="AB915" i="3" s="1"/>
  <c r="AB916" i="3" a="1"/>
  <c r="AB916" i="3" s="1"/>
  <c r="AB917" i="3" a="1"/>
  <c r="AB917" i="3" s="1"/>
  <c r="AB918" i="3" a="1"/>
  <c r="AB918" i="3" s="1"/>
  <c r="AB919" i="3" a="1"/>
  <c r="AB919" i="3" s="1"/>
  <c r="AB920" i="3" a="1"/>
  <c r="AB920" i="3" s="1"/>
  <c r="AB921" i="3" a="1"/>
  <c r="AB921" i="3" s="1"/>
  <c r="AB922" i="3" a="1"/>
  <c r="AB922" i="3" s="1"/>
  <c r="AB923" i="3" a="1"/>
  <c r="AB923" i="3" s="1"/>
  <c r="AB924" i="3" a="1"/>
  <c r="AB924" i="3" s="1"/>
  <c r="AB925" i="3" a="1"/>
  <c r="AB925" i="3" s="1"/>
  <c r="AB926" i="3" a="1"/>
  <c r="AB926" i="3" s="1"/>
  <c r="AB927" i="3" a="1"/>
  <c r="AB927" i="3" s="1"/>
  <c r="AB928" i="3" a="1"/>
  <c r="AB928" i="3" s="1"/>
  <c r="AB929" i="3" a="1"/>
  <c r="AB929" i="3" s="1"/>
  <c r="AB930" i="3" a="1"/>
  <c r="AB930" i="3" s="1"/>
  <c r="AB931" i="3" a="1"/>
  <c r="AB931" i="3" s="1"/>
  <c r="AB932" i="3" a="1"/>
  <c r="AB932" i="3" s="1"/>
  <c r="AB933" i="3" a="1"/>
  <c r="AB933" i="3" s="1"/>
  <c r="AB934" i="3" a="1"/>
  <c r="AB934" i="3" s="1"/>
  <c r="AB935" i="3" a="1"/>
  <c r="AB935" i="3" s="1"/>
  <c r="AB936" i="3" a="1"/>
  <c r="AB936" i="3" s="1"/>
  <c r="AB937" i="3" a="1"/>
  <c r="AB937" i="3" s="1"/>
  <c r="AB938" i="3" a="1"/>
  <c r="AB938" i="3"/>
  <c r="AB939" i="3" a="1"/>
  <c r="AB939" i="3" s="1"/>
  <c r="AB940" i="3" a="1"/>
  <c r="AB940" i="3" s="1"/>
  <c r="AB941" i="3" a="1"/>
  <c r="AB941" i="3" s="1"/>
  <c r="AB942" i="3" a="1"/>
  <c r="AB942" i="3" s="1"/>
  <c r="AB943" i="3" a="1"/>
  <c r="AB943" i="3" s="1"/>
  <c r="AB944" i="3" a="1"/>
  <c r="AB944" i="3" s="1"/>
  <c r="AB945" i="3" a="1"/>
  <c r="AB945" i="3" s="1"/>
  <c r="AB946" i="3" a="1"/>
  <c r="AB946" i="3" s="1"/>
  <c r="AB947" i="3" a="1"/>
  <c r="AB947" i="3" s="1"/>
  <c r="AB948" i="3" a="1"/>
  <c r="AB948" i="3" s="1"/>
  <c r="AB949" i="3" a="1"/>
  <c r="AB949" i="3" s="1"/>
  <c r="AB950" i="3" a="1"/>
  <c r="AB950" i="3" s="1"/>
  <c r="AB951" i="3" a="1"/>
  <c r="AB951" i="3" s="1"/>
  <c r="AB952" i="3" a="1"/>
  <c r="AB952" i="3" s="1"/>
  <c r="AB953" i="3" a="1"/>
  <c r="AB953" i="3" s="1"/>
  <c r="AB954" i="3" a="1"/>
  <c r="AB954" i="3" s="1"/>
  <c r="AB955" i="3" a="1"/>
  <c r="AB955" i="3" s="1"/>
  <c r="AB956" i="3" a="1"/>
  <c r="AB956" i="3" s="1"/>
  <c r="AB957" i="3" a="1"/>
  <c r="AB957" i="3" s="1"/>
  <c r="AB958" i="3" a="1"/>
  <c r="AB958" i="3" s="1"/>
  <c r="AB959" i="3" a="1"/>
  <c r="AB959" i="3" s="1"/>
  <c r="AB960" i="3" a="1"/>
  <c r="AB960" i="3" s="1"/>
  <c r="AB961" i="3" a="1"/>
  <c r="AB961" i="3" s="1"/>
  <c r="AB962" i="3" a="1"/>
  <c r="AB962" i="3" s="1"/>
  <c r="AB963" i="3" a="1"/>
  <c r="AB963" i="3" s="1"/>
  <c r="AB964" i="3" a="1"/>
  <c r="AB964" i="3" s="1"/>
  <c r="AB965" i="3" a="1"/>
  <c r="AB965" i="3" s="1"/>
  <c r="AB966" i="3" a="1"/>
  <c r="AB966" i="3" s="1"/>
  <c r="AB967" i="3" a="1"/>
  <c r="AB967" i="3" s="1"/>
  <c r="AB968" i="3" a="1"/>
  <c r="AB968" i="3" s="1"/>
  <c r="AB969" i="3" a="1"/>
  <c r="AB969" i="3" s="1"/>
  <c r="AB970" i="3" a="1"/>
  <c r="AB970" i="3" s="1"/>
  <c r="AB971" i="3" a="1"/>
  <c r="AB971" i="3" s="1"/>
  <c r="AB972" i="3" a="1"/>
  <c r="AB972" i="3" s="1"/>
  <c r="AB973" i="3" a="1"/>
  <c r="AB973" i="3" s="1"/>
  <c r="AB974" i="3" a="1"/>
  <c r="AB974" i="3" s="1"/>
  <c r="AB975" i="3" a="1"/>
  <c r="AB975" i="3" s="1"/>
  <c r="AB976" i="3" a="1"/>
  <c r="AB976" i="3" s="1"/>
  <c r="AB977" i="3" a="1"/>
  <c r="AB977" i="3" s="1"/>
  <c r="AB978" i="3" a="1"/>
  <c r="AB978" i="3" s="1"/>
  <c r="AB979" i="3" a="1"/>
  <c r="AB979" i="3" s="1"/>
  <c r="AB980" i="3" a="1"/>
  <c r="AB980" i="3" s="1"/>
  <c r="AB981" i="3" a="1"/>
  <c r="AB981" i="3" s="1"/>
  <c r="AB982" i="3" a="1"/>
  <c r="AB982" i="3" s="1"/>
  <c r="AB983" i="3" a="1"/>
  <c r="AB983" i="3" s="1"/>
  <c r="AB984" i="3" a="1"/>
  <c r="AB984" i="3" s="1"/>
  <c r="AB985" i="3" a="1"/>
  <c r="AB985" i="3" s="1"/>
  <c r="AB986" i="3" a="1"/>
  <c r="AB986" i="3" s="1"/>
  <c r="AB987" i="3" a="1"/>
  <c r="AB987" i="3" s="1"/>
  <c r="AB988" i="3" a="1"/>
  <c r="AB988" i="3" s="1"/>
  <c r="AB989" i="3" a="1"/>
  <c r="AB989" i="3" s="1"/>
  <c r="AB990" i="3" a="1"/>
  <c r="AB990" i="3" s="1"/>
  <c r="AB991" i="3" a="1"/>
  <c r="AB991" i="3" s="1"/>
  <c r="AB992" i="3" a="1"/>
  <c r="AB992" i="3" s="1"/>
  <c r="AB993" i="3" a="1"/>
  <c r="AB993" i="3" s="1"/>
  <c r="AB994" i="3" a="1"/>
  <c r="AB994" i="3" s="1"/>
  <c r="AB995" i="3" a="1"/>
  <c r="AB995" i="3" s="1"/>
  <c r="AB996" i="3" a="1"/>
  <c r="AB996" i="3" s="1"/>
  <c r="AB997" i="3" a="1"/>
  <c r="AB997" i="3" s="1"/>
  <c r="AB998" i="3" a="1"/>
  <c r="AB998" i="3"/>
  <c r="AB999" i="3" a="1"/>
  <c r="AB999" i="3" s="1"/>
  <c r="AB1000" i="3" a="1"/>
  <c r="AB1000" i="3" s="1"/>
  <c r="AB1001" i="3" a="1"/>
  <c r="AB1001" i="3" s="1"/>
  <c r="AB1002" i="3" a="1"/>
  <c r="AB1002" i="3" s="1"/>
  <c r="AB1003" i="3" a="1"/>
  <c r="AB1003" i="3" s="1"/>
  <c r="AB1004" i="3" a="1"/>
  <c r="AB1004" i="3" s="1"/>
  <c r="AB1005" i="3" a="1"/>
  <c r="AB1005" i="3" s="1"/>
  <c r="AB1006" i="3" a="1"/>
  <c r="AB1006" i="3" s="1"/>
  <c r="AB1007" i="3" a="1"/>
  <c r="AB1007" i="3" s="1"/>
  <c r="AB1008" i="3" a="1"/>
  <c r="AB1008" i="3" s="1"/>
  <c r="AB1009" i="3" a="1"/>
  <c r="AB1009" i="3" s="1"/>
  <c r="AB1010" i="3" a="1"/>
  <c r="AB1010" i="3"/>
  <c r="AB1011" i="3" a="1"/>
  <c r="AB1011" i="3" s="1"/>
  <c r="AB1012" i="3" a="1"/>
  <c r="AB1012" i="3" s="1"/>
  <c r="AB1013" i="3" a="1"/>
  <c r="AB1013" i="3" s="1"/>
  <c r="AB1014" i="3" a="1"/>
  <c r="AB1014" i="3" s="1"/>
  <c r="AB1015" i="3" a="1"/>
  <c r="AB1015" i="3" s="1"/>
  <c r="AB1016" i="3" a="1"/>
  <c r="AB1016" i="3" s="1"/>
  <c r="AB1017" i="3" a="1"/>
  <c r="AB1017" i="3" s="1"/>
  <c r="AB1018" i="3" a="1"/>
  <c r="AB1018" i="3" s="1"/>
  <c r="AB1019" i="3" a="1"/>
  <c r="AB1019" i="3" s="1"/>
  <c r="AB1020" i="3" a="1"/>
  <c r="AB1020" i="3" s="1"/>
  <c r="AB1021" i="3" a="1"/>
  <c r="AB1021" i="3" s="1"/>
  <c r="AB1022" i="3" a="1"/>
  <c r="AB1022" i="3" s="1"/>
  <c r="AB1023" i="3" a="1"/>
  <c r="AB1023" i="3" s="1"/>
  <c r="AB1024" i="3" a="1"/>
  <c r="AB1024" i="3" s="1"/>
  <c r="AB1025" i="3" a="1"/>
  <c r="AB1025" i="3" s="1"/>
  <c r="AB1026" i="3" a="1"/>
  <c r="AB1026" i="3" s="1"/>
  <c r="AB1027" i="3" a="1"/>
  <c r="AB1027" i="3" s="1"/>
  <c r="AB1028" i="3" a="1"/>
  <c r="AB1028" i="3" s="1"/>
  <c r="AB1029" i="3" a="1"/>
  <c r="AB1029" i="3" s="1"/>
  <c r="AB1030" i="3" a="1"/>
  <c r="AB1030" i="3" s="1"/>
  <c r="AB1031" i="3" a="1"/>
  <c r="AB1031" i="3" s="1"/>
  <c r="AB1032" i="3" a="1"/>
  <c r="AB1032" i="3" s="1"/>
  <c r="AB1033" i="3" a="1"/>
  <c r="AB1033" i="3" s="1"/>
  <c r="AB1034" i="3" a="1"/>
  <c r="AB1034" i="3" s="1"/>
  <c r="AB1035" i="3" a="1"/>
  <c r="AB1035" i="3" s="1"/>
  <c r="AB1036" i="3" a="1"/>
  <c r="AB1036" i="3" s="1"/>
  <c r="AB1037" i="3" a="1"/>
  <c r="AB1037" i="3" s="1"/>
  <c r="AB1038" i="3" a="1"/>
  <c r="AB1038" i="3" s="1"/>
  <c r="AB1039" i="3" a="1"/>
  <c r="AB1039" i="3" s="1"/>
  <c r="AB1040" i="3" a="1"/>
  <c r="AB1040" i="3" s="1"/>
  <c r="AB1041" i="3" a="1"/>
  <c r="AB1041" i="3" s="1"/>
  <c r="AB1042" i="3" a="1"/>
  <c r="AB1042" i="3" s="1"/>
  <c r="AB1043" i="3" a="1"/>
  <c r="AB1043" i="3" s="1"/>
  <c r="AB1044" i="3" a="1"/>
  <c r="AB1044" i="3" s="1"/>
  <c r="AB1045" i="3" a="1"/>
  <c r="AB1045" i="3" s="1"/>
  <c r="AB1046" i="3" a="1"/>
  <c r="AB1046" i="3" s="1"/>
  <c r="AB1047" i="3" a="1"/>
  <c r="AB1047" i="3" s="1"/>
  <c r="AB1048" i="3" a="1"/>
  <c r="AB1048" i="3" s="1"/>
  <c r="AB1049" i="3" a="1"/>
  <c r="AB1049" i="3" s="1"/>
  <c r="AB1050" i="3" a="1"/>
  <c r="AB1050" i="3"/>
  <c r="AB1051" i="3" a="1"/>
  <c r="AB1051" i="3" s="1"/>
  <c r="AB1052" i="3" a="1"/>
  <c r="AB1052" i="3" s="1"/>
  <c r="AB1053" i="3" a="1"/>
  <c r="AB1053" i="3" s="1"/>
  <c r="AB1054" i="3" a="1"/>
  <c r="AB1054" i="3" s="1"/>
  <c r="AB1055" i="3" a="1"/>
  <c r="AB1055" i="3" s="1"/>
  <c r="AB1056" i="3" a="1"/>
  <c r="AB1056" i="3" s="1"/>
  <c r="AB1057" i="3" a="1"/>
  <c r="AB1057" i="3" s="1"/>
  <c r="AB1058" i="3" a="1"/>
  <c r="AB1058" i="3" s="1"/>
  <c r="AB1059" i="3" a="1"/>
  <c r="AB1059" i="3" s="1"/>
  <c r="AB1060" i="3" a="1"/>
  <c r="AB1060" i="3" s="1"/>
  <c r="AB1061" i="3" a="1"/>
  <c r="AB1061" i="3" s="1"/>
  <c r="AB1062" i="3" a="1"/>
  <c r="AB1062" i="3" s="1"/>
  <c r="AB1063" i="3" a="1"/>
  <c r="AB1063" i="3" s="1"/>
  <c r="AB1064" i="3" a="1"/>
  <c r="AB1064" i="3" s="1"/>
  <c r="AB1065" i="3" a="1"/>
  <c r="AB1065" i="3" s="1"/>
  <c r="AB1066" i="3" a="1"/>
  <c r="AB1066" i="3" s="1"/>
  <c r="AB1067" i="3" a="1"/>
  <c r="AB1067" i="3"/>
  <c r="AB1068" i="3" a="1"/>
  <c r="AB1068" i="3" s="1"/>
  <c r="AB1069" i="3" a="1"/>
  <c r="AB1069" i="3" s="1"/>
  <c r="AB1070" i="3" a="1"/>
  <c r="AB1070" i="3" s="1"/>
  <c r="AB1071" i="3" a="1"/>
  <c r="AB1071" i="3" s="1"/>
  <c r="AB1072" i="3" a="1"/>
  <c r="AB1072" i="3" s="1"/>
  <c r="AB1073" i="3" a="1"/>
  <c r="AB1073" i="3" s="1"/>
  <c r="AB1074" i="3" a="1"/>
  <c r="AB1074" i="3"/>
  <c r="AB1075" i="3" a="1"/>
  <c r="AB1075" i="3" s="1"/>
  <c r="AB1076" i="3" a="1"/>
  <c r="AB1076" i="3" s="1"/>
  <c r="AB1077" i="3" a="1"/>
  <c r="AB1077" i="3" s="1"/>
  <c r="AB1078" i="3" a="1"/>
  <c r="AB1078" i="3" s="1"/>
  <c r="AB1079" i="3" a="1"/>
  <c r="AB1079" i="3" s="1"/>
  <c r="AB1080" i="3" a="1"/>
  <c r="AB1080" i="3" s="1"/>
  <c r="AB1081" i="3" a="1"/>
  <c r="AB1081" i="3" s="1"/>
  <c r="AB1082" i="3" a="1"/>
  <c r="AB1082" i="3" s="1"/>
  <c r="AB1083" i="3" a="1"/>
  <c r="AB1083" i="3" s="1"/>
  <c r="AB1084" i="3" a="1"/>
  <c r="AB1084" i="3" s="1"/>
  <c r="AB1085" i="3" a="1"/>
  <c r="AB1085" i="3" s="1"/>
  <c r="AB1086" i="3" a="1"/>
  <c r="AB1086" i="3"/>
  <c r="AB1087" i="3" a="1"/>
  <c r="AB1087" i="3" s="1"/>
  <c r="AB1088" i="3" a="1"/>
  <c r="AB1088" i="3" s="1"/>
  <c r="AB1089" i="3" a="1"/>
  <c r="AB1089" i="3" s="1"/>
  <c r="AB1090" i="3" a="1"/>
  <c r="AB1090" i="3" s="1"/>
  <c r="AB1091" i="3" a="1"/>
  <c r="AB1091" i="3" s="1"/>
  <c r="AB1092" i="3" a="1"/>
  <c r="AB1092" i="3" s="1"/>
  <c r="AB1093" i="3" a="1"/>
  <c r="AB1093" i="3" s="1"/>
  <c r="AB1094" i="3" a="1"/>
  <c r="AB1094" i="3" s="1"/>
  <c r="AB1095" i="3" a="1"/>
  <c r="AB1095" i="3" s="1"/>
  <c r="AB1096" i="3" a="1"/>
  <c r="AB1096" i="3" s="1"/>
  <c r="AB1097" i="3" a="1"/>
  <c r="AB1097" i="3" s="1"/>
  <c r="AB1098" i="3" a="1"/>
  <c r="AB1098" i="3" s="1"/>
  <c r="AB1099" i="3" a="1"/>
  <c r="AB1099" i="3" s="1"/>
  <c r="AB1100" i="3" a="1"/>
  <c r="AB1100" i="3" s="1"/>
  <c r="AB1101" i="3" a="1"/>
  <c r="AB1101" i="3" s="1"/>
  <c r="AB1102" i="3" a="1"/>
  <c r="AB1102" i="3" s="1"/>
  <c r="AB1103" i="3" a="1"/>
  <c r="AB1103" i="3" s="1"/>
  <c r="AB1104" i="3" a="1"/>
  <c r="AB1104" i="3" s="1"/>
  <c r="AB1105" i="3" a="1"/>
  <c r="AB1105" i="3" s="1"/>
  <c r="AB1106" i="3" a="1"/>
  <c r="AB1106" i="3" s="1"/>
  <c r="AB1107" i="3" a="1"/>
  <c r="AB1107" i="3" s="1"/>
  <c r="AB1108" i="3" a="1"/>
  <c r="AB1108" i="3" s="1"/>
  <c r="AB1109" i="3" a="1"/>
  <c r="AB1109" i="3" s="1"/>
  <c r="AB1110" i="3" a="1"/>
  <c r="AB1110" i="3" s="1"/>
  <c r="AB1111" i="3" a="1"/>
  <c r="AB1111" i="3" s="1"/>
  <c r="AB1112" i="3" a="1"/>
  <c r="AB1112" i="3" s="1"/>
  <c r="AB1113" i="3" a="1"/>
  <c r="AB1113" i="3" s="1"/>
  <c r="AB1114" i="3" a="1"/>
  <c r="AB1114" i="3" s="1"/>
  <c r="AB1115" i="3" a="1"/>
  <c r="AB1115" i="3" s="1"/>
  <c r="AB1116" i="3" a="1"/>
  <c r="AB1116" i="3" s="1"/>
  <c r="AB1117" i="3" a="1"/>
  <c r="AB1117" i="3" s="1"/>
  <c r="AB1118" i="3" a="1"/>
  <c r="AB1118" i="3" s="1"/>
  <c r="AB1119" i="3" a="1"/>
  <c r="AB1119" i="3" s="1"/>
  <c r="AB1120" i="3" a="1"/>
  <c r="AB1120" i="3" s="1"/>
  <c r="AB1121" i="3" a="1"/>
  <c r="AB1121" i="3" s="1"/>
  <c r="AB1122" i="3" a="1"/>
  <c r="AB1122" i="3" s="1"/>
  <c r="AB1123" i="3" a="1"/>
  <c r="AB1123" i="3" s="1"/>
  <c r="AB1124" i="3" a="1"/>
  <c r="AB1124" i="3" s="1"/>
  <c r="AB1125" i="3" a="1"/>
  <c r="AB1125" i="3" s="1"/>
  <c r="AB1126" i="3" a="1"/>
  <c r="AB1126" i="3" s="1"/>
  <c r="AB1127" i="3" a="1"/>
  <c r="AB1127" i="3" s="1"/>
  <c r="AB1128" i="3" a="1"/>
  <c r="AB1128" i="3" s="1"/>
  <c r="AB1129" i="3" a="1"/>
  <c r="AB1129" i="3" s="1"/>
  <c r="AB1130" i="3" a="1"/>
  <c r="AB1130" i="3" s="1"/>
  <c r="AB1131" i="3" a="1"/>
  <c r="AB1131" i="3" s="1"/>
  <c r="AB1132" i="3" a="1"/>
  <c r="AB1132" i="3" s="1"/>
  <c r="AB1133" i="3" a="1"/>
  <c r="AB1133" i="3" s="1"/>
  <c r="AB1134" i="3" a="1"/>
  <c r="AB1134" i="3" s="1"/>
  <c r="AB1135" i="3" a="1"/>
  <c r="AB1135" i="3" s="1"/>
  <c r="AB1136" i="3" a="1"/>
  <c r="AB1136" i="3" s="1"/>
  <c r="AB1137" i="3" a="1"/>
  <c r="AB1137" i="3" s="1"/>
  <c r="AB1138" i="3" a="1"/>
  <c r="AB1138" i="3" s="1"/>
  <c r="AB1139" i="3" a="1"/>
  <c r="AB1139" i="3" s="1"/>
  <c r="AB1140" i="3" a="1"/>
  <c r="AB1140" i="3" s="1"/>
  <c r="AB1141" i="3" a="1"/>
  <c r="AB1141" i="3" s="1"/>
  <c r="AB1142" i="3" a="1"/>
  <c r="AB1142" i="3" s="1"/>
  <c r="AB1143" i="3" a="1"/>
  <c r="AB1143" i="3" s="1"/>
  <c r="AB1144" i="3" a="1"/>
  <c r="AB1144" i="3" s="1"/>
  <c r="AB1145" i="3" a="1"/>
  <c r="AB1145" i="3" s="1"/>
  <c r="AB1146" i="3" a="1"/>
  <c r="AB1146" i="3" s="1"/>
  <c r="AB1147" i="3" a="1"/>
  <c r="AB1147" i="3"/>
  <c r="AB1148" i="3" a="1"/>
  <c r="AB1148" i="3" s="1"/>
  <c r="AB1149" i="3" a="1"/>
  <c r="AB1149" i="3" s="1"/>
  <c r="AB1150" i="3" a="1"/>
  <c r="AB1150" i="3" s="1"/>
  <c r="AB1151" i="3" a="1"/>
  <c r="AB1151" i="3" s="1"/>
  <c r="AB1152" i="3" a="1"/>
  <c r="AB1152" i="3" s="1"/>
  <c r="AB1153" i="3" a="1"/>
  <c r="AB1153" i="3" s="1"/>
  <c r="AB1154" i="3" a="1"/>
  <c r="AB1154" i="3" s="1"/>
  <c r="AB1155" i="3" a="1"/>
  <c r="AB1155" i="3" s="1"/>
  <c r="AB1156" i="3" a="1"/>
  <c r="AB1156" i="3" s="1"/>
  <c r="AB1157" i="3" a="1"/>
  <c r="AB1157" i="3" s="1"/>
  <c r="AB1158" i="3" a="1"/>
  <c r="AB1158" i="3" s="1"/>
  <c r="AB1159" i="3" a="1"/>
  <c r="AB1159" i="3" s="1"/>
  <c r="AB1160" i="3" a="1"/>
  <c r="AB1160" i="3" s="1"/>
  <c r="AB1161" i="3" a="1"/>
  <c r="AB1161" i="3" s="1"/>
  <c r="AB1162" i="3" a="1"/>
  <c r="AB1162" i="3" s="1"/>
  <c r="AB1163" i="3" a="1"/>
  <c r="AB1163" i="3" s="1"/>
  <c r="AB1164" i="3" a="1"/>
  <c r="AB1164" i="3" s="1"/>
  <c r="AB1165" i="3" a="1"/>
  <c r="AB1165" i="3" s="1"/>
  <c r="AB1166" i="3" a="1"/>
  <c r="AB1166" i="3" s="1"/>
  <c r="AB1167" i="3" a="1"/>
  <c r="AB1167" i="3" s="1"/>
  <c r="AB1168" i="3" a="1"/>
  <c r="AB1168" i="3" s="1"/>
  <c r="AB1169" i="3" a="1"/>
  <c r="AB1169" i="3" s="1"/>
  <c r="AB1170" i="3" a="1"/>
  <c r="AB1170" i="3" s="1"/>
  <c r="AB1171" i="3" a="1"/>
  <c r="AB1171" i="3" s="1"/>
  <c r="AB1172" i="3" a="1"/>
  <c r="AB1172" i="3" s="1"/>
  <c r="AB1173" i="3" a="1"/>
  <c r="AB1173" i="3" s="1"/>
  <c r="AB1174" i="3" a="1"/>
  <c r="AB1174" i="3" s="1"/>
  <c r="AB1175" i="3" a="1"/>
  <c r="AB1175" i="3" s="1"/>
  <c r="AB1176" i="3" a="1"/>
  <c r="AB1176" i="3" s="1"/>
  <c r="AB1177" i="3" a="1"/>
  <c r="AB1177" i="3" s="1"/>
  <c r="AB1178" i="3" a="1"/>
  <c r="AB1178" i="3"/>
  <c r="AB1179" i="3" a="1"/>
  <c r="AB1179" i="3" s="1"/>
  <c r="AB1180" i="3" a="1"/>
  <c r="AB1180" i="3" s="1"/>
  <c r="AB1181" i="3" a="1"/>
  <c r="AB1181" i="3" s="1"/>
  <c r="AB1182" i="3" a="1"/>
  <c r="AB1182" i="3" s="1"/>
  <c r="AB1183" i="3" a="1"/>
  <c r="AB1183" i="3" s="1"/>
  <c r="AB1184" i="3" a="1"/>
  <c r="AB1184" i="3" s="1"/>
  <c r="AB1185" i="3" a="1"/>
  <c r="AB1185" i="3"/>
  <c r="AB1186" i="3" a="1"/>
  <c r="AB1186" i="3" s="1"/>
  <c r="AB1187" i="3" a="1"/>
  <c r="AB1187" i="3" s="1"/>
  <c r="AB1188" i="3" a="1"/>
  <c r="AB1188" i="3" s="1"/>
  <c r="AB1189" i="3" a="1"/>
  <c r="AB1189" i="3" s="1"/>
  <c r="AB1190" i="3" a="1"/>
  <c r="AB1190" i="3"/>
  <c r="AB1191" i="3" a="1"/>
  <c r="AB1191" i="3" s="1"/>
  <c r="AB1192" i="3" a="1"/>
  <c r="AB1192" i="3" s="1"/>
  <c r="AB1193" i="3" a="1"/>
  <c r="AB1193" i="3" s="1"/>
  <c r="AB1194" i="3" a="1"/>
  <c r="AB1194" i="3" s="1"/>
  <c r="AB1195" i="3" a="1"/>
  <c r="AB1195" i="3" s="1"/>
  <c r="AB1196" i="3" a="1"/>
  <c r="AB1196" i="3" s="1"/>
  <c r="AB1197" i="3" a="1"/>
  <c r="AB1197" i="3" s="1"/>
  <c r="AB1198" i="3" a="1"/>
  <c r="AB1198" i="3" s="1"/>
  <c r="AB1199" i="3" a="1"/>
  <c r="AB1199" i="3" s="1"/>
  <c r="AB1200" i="3" a="1"/>
  <c r="AB1200" i="3" s="1"/>
  <c r="AB1201" i="3" a="1"/>
  <c r="AB1201" i="3" s="1"/>
  <c r="AB1202" i="3" a="1"/>
  <c r="AB1202" i="3" s="1"/>
  <c r="AB1203" i="3" a="1"/>
  <c r="AB1203" i="3" s="1"/>
  <c r="AB1204" i="3" a="1"/>
  <c r="AB1204" i="3" s="1"/>
  <c r="AB1205" i="3" a="1"/>
  <c r="AB1205" i="3" s="1"/>
  <c r="AB1206" i="3" a="1"/>
  <c r="AB1206" i="3" s="1"/>
  <c r="AB1207" i="3" a="1"/>
  <c r="AB1207" i="3" s="1"/>
  <c r="AB1208" i="3" a="1"/>
  <c r="AB1208" i="3" s="1"/>
  <c r="AB1209" i="3" a="1"/>
  <c r="AB1209" i="3" s="1"/>
  <c r="AB1210" i="3" a="1"/>
  <c r="AB1210" i="3" s="1"/>
  <c r="AB1211" i="3" a="1"/>
  <c r="AB1211" i="3" s="1"/>
  <c r="AB1212" i="3" a="1"/>
  <c r="AB1212" i="3" s="1"/>
  <c r="AB1213" i="3" a="1"/>
  <c r="AB1213" i="3" s="1"/>
  <c r="AB1214" i="3" a="1"/>
  <c r="AB1214" i="3" s="1"/>
  <c r="AB1215" i="3" a="1"/>
  <c r="AB1215" i="3" s="1"/>
  <c r="AB1216" i="3" a="1"/>
  <c r="AB1216" i="3" s="1"/>
  <c r="AB1217" i="3" a="1"/>
  <c r="AB1217" i="3" s="1"/>
  <c r="AB1218" i="3" a="1"/>
  <c r="AB1218" i="3" s="1"/>
  <c r="AB1219" i="3" a="1"/>
  <c r="AB1219" i="3" s="1"/>
  <c r="AB1220" i="3" a="1"/>
  <c r="AB1220" i="3" s="1"/>
  <c r="AB1221" i="3" a="1"/>
  <c r="AB1221" i="3" s="1"/>
  <c r="AB1222" i="3" a="1"/>
  <c r="AB1222" i="3"/>
  <c r="AB1223" i="3" a="1"/>
  <c r="AB1223" i="3" s="1"/>
  <c r="AB1224" i="3" a="1"/>
  <c r="AB1224" i="3" s="1"/>
  <c r="AB1225" i="3" a="1"/>
  <c r="AB1225" i="3" s="1"/>
  <c r="AB1226" i="3" a="1"/>
  <c r="AB1226" i="3" s="1"/>
  <c r="AB1227" i="3" a="1"/>
  <c r="AB1227" i="3" s="1"/>
  <c r="AB1228" i="3" a="1"/>
  <c r="AB1228" i="3" s="1"/>
  <c r="AB1229" i="3" a="1"/>
  <c r="AB1229" i="3" s="1"/>
  <c r="AB1230" i="3" a="1"/>
  <c r="AB1230" i="3" s="1"/>
  <c r="AB1231" i="3" a="1"/>
  <c r="AB1231" i="3" s="1"/>
  <c r="AB1232" i="3" a="1"/>
  <c r="AB1232" i="3" s="1"/>
  <c r="AB1233" i="3" a="1"/>
  <c r="AB1233" i="3" s="1"/>
  <c r="AB1234" i="3" a="1"/>
  <c r="AB1234" i="3" s="1"/>
  <c r="AB1235" i="3" a="1"/>
  <c r="AB1235" i="3" s="1"/>
  <c r="AB1236" i="3" a="1"/>
  <c r="AB1236" i="3" s="1"/>
  <c r="AB1237" i="3" a="1"/>
  <c r="AB1237" i="3" s="1"/>
  <c r="AB1238" i="3" a="1"/>
  <c r="AB1238" i="3" s="1"/>
  <c r="AB1239" i="3" a="1"/>
  <c r="AB1239" i="3" s="1"/>
  <c r="AB1240" i="3" a="1"/>
  <c r="AB1240" i="3" s="1"/>
  <c r="AB1241" i="3" a="1"/>
  <c r="AB1241" i="3" s="1"/>
  <c r="AB1242" i="3" a="1"/>
  <c r="AB1242" i="3" s="1"/>
  <c r="AB1243" i="3" a="1"/>
  <c r="AB1243" i="3" s="1"/>
  <c r="AB1244" i="3" a="1"/>
  <c r="AB1244" i="3" s="1"/>
  <c r="AB1245" i="3" a="1"/>
  <c r="AB1245" i="3" s="1"/>
  <c r="AB1246" i="3" a="1"/>
  <c r="AB1246" i="3" s="1"/>
  <c r="AB1247" i="3" a="1"/>
  <c r="AB1247" i="3" s="1"/>
  <c r="AB1248" i="3" a="1"/>
  <c r="AB1248" i="3" s="1"/>
  <c r="AB1249" i="3" a="1"/>
  <c r="AB1249" i="3" s="1"/>
  <c r="AB1250" i="3" a="1"/>
  <c r="AB1250" i="3" s="1"/>
  <c r="AB1251" i="3" a="1"/>
  <c r="AB1251" i="3" s="1"/>
  <c r="AB1252" i="3" a="1"/>
  <c r="AB1252" i="3" s="1"/>
  <c r="AB1253" i="3" a="1"/>
  <c r="AB1253" i="3" s="1"/>
  <c r="AB1254" i="3" a="1"/>
  <c r="AB1254" i="3" s="1"/>
  <c r="AB1255" i="3" a="1"/>
  <c r="AB1255" i="3" s="1"/>
  <c r="AB1256" i="3" a="1"/>
  <c r="AB1256" i="3" s="1"/>
  <c r="AB1257" i="3" a="1"/>
  <c r="AB1257" i="3" s="1"/>
  <c r="AB1258" i="3" a="1"/>
  <c r="AB1258" i="3" s="1"/>
  <c r="AB1259" i="3" a="1"/>
  <c r="AB1259" i="3" s="1"/>
  <c r="AB1260" i="3" a="1"/>
  <c r="AB1260" i="3" s="1"/>
  <c r="AB1261" i="3" a="1"/>
  <c r="AB1261" i="3" s="1"/>
  <c r="AB1262" i="3" a="1"/>
  <c r="AB1262" i="3" s="1"/>
  <c r="AB1263" i="3" a="1"/>
  <c r="AB1263" i="3" s="1"/>
  <c r="AB1264" i="3" a="1"/>
  <c r="AB1264" i="3" s="1"/>
  <c r="AB1265" i="3" a="1"/>
  <c r="AB1265" i="3" s="1"/>
  <c r="AB1266" i="3" a="1"/>
  <c r="AB1266" i="3" s="1"/>
  <c r="AB1267" i="3" a="1"/>
  <c r="AB1267" i="3" s="1"/>
  <c r="AB1268" i="3" a="1"/>
  <c r="AB1268" i="3" s="1"/>
  <c r="AB1269" i="3" a="1"/>
  <c r="AB1269" i="3" s="1"/>
  <c r="AB1270" i="3" a="1"/>
  <c r="AB1270" i="3" s="1"/>
  <c r="AB1271" i="3" a="1"/>
  <c r="AB1271" i="3" s="1"/>
  <c r="AB1272" i="3" a="1"/>
  <c r="AB1272" i="3" s="1"/>
  <c r="AB1273" i="3" a="1"/>
  <c r="AB1273" i="3" s="1"/>
  <c r="AB1274" i="3" a="1"/>
  <c r="AB1274" i="3" s="1"/>
  <c r="AB1275" i="3" a="1"/>
  <c r="AB1275" i="3" s="1"/>
  <c r="AB1276" i="3" a="1"/>
  <c r="AB1276" i="3" s="1"/>
  <c r="AB1277" i="3" a="1"/>
  <c r="AB1277" i="3" s="1"/>
  <c r="AB1278" i="3" a="1"/>
  <c r="AB1278" i="3" s="1"/>
  <c r="AB1279" i="3" a="1"/>
  <c r="AB1279" i="3" s="1"/>
  <c r="AB1280" i="3" a="1"/>
  <c r="AB1280" i="3" s="1"/>
  <c r="AB1281" i="3" a="1"/>
  <c r="AB1281" i="3" s="1"/>
  <c r="AB1282" i="3" a="1"/>
  <c r="AB1282" i="3" s="1"/>
  <c r="AB1283" i="3" a="1"/>
  <c r="AB1283" i="3" s="1"/>
  <c r="AB1284" i="3" a="1"/>
  <c r="AB1284" i="3" s="1"/>
  <c r="AB1285" i="3" a="1"/>
  <c r="AB1285" i="3" s="1"/>
  <c r="AB1286" i="3" a="1"/>
  <c r="AB1286" i="3" s="1"/>
  <c r="AB1287" i="3" a="1"/>
  <c r="AB1287" i="3" s="1"/>
  <c r="AB1288" i="3" a="1"/>
  <c r="AB1288" i="3" s="1"/>
  <c r="AB1289" i="3" a="1"/>
  <c r="AB1289" i="3" s="1"/>
  <c r="AB1290" i="3" a="1"/>
  <c r="AB1290" i="3" s="1"/>
  <c r="AB1291" i="3" a="1"/>
  <c r="AB1291" i="3" s="1"/>
  <c r="AB1292" i="3" a="1"/>
  <c r="AB1292" i="3" s="1"/>
  <c r="AB1293" i="3" a="1"/>
  <c r="AB1293" i="3" s="1"/>
  <c r="AB1294" i="3" a="1"/>
  <c r="AB1294" i="3"/>
  <c r="AB1295" i="3" a="1"/>
  <c r="AB1295" i="3" s="1"/>
  <c r="AB1296" i="3" a="1"/>
  <c r="AB1296" i="3" s="1"/>
  <c r="AB1297" i="3" a="1"/>
  <c r="AB1297" i="3" s="1"/>
  <c r="AB1298" i="3" a="1"/>
  <c r="AB1298" i="3" s="1"/>
  <c r="AB1299" i="3" a="1"/>
  <c r="AB1299" i="3" s="1"/>
  <c r="AB1300" i="3" a="1"/>
  <c r="AB1300" i="3" s="1"/>
  <c r="AB1301" i="3" a="1"/>
  <c r="AB1301" i="3" s="1"/>
  <c r="AB1302" i="3" a="1"/>
  <c r="AB1302" i="3" s="1"/>
  <c r="AB1303" i="3" a="1"/>
  <c r="AB1303" i="3" s="1"/>
  <c r="AB1304" i="3" a="1"/>
  <c r="AB1304" i="3" s="1"/>
  <c r="AB1305" i="3" a="1"/>
  <c r="AB1305" i="3" s="1"/>
  <c r="AB1306" i="3" a="1"/>
  <c r="AB1306" i="3" s="1"/>
  <c r="AB1307" i="3" a="1"/>
  <c r="AB1307" i="3" s="1"/>
  <c r="AB1308" i="3" a="1"/>
  <c r="AB1308" i="3" s="1"/>
  <c r="AB1309" i="3" a="1"/>
  <c r="AB1309" i="3" s="1"/>
  <c r="AB1310" i="3" a="1"/>
  <c r="AB1310" i="3" s="1"/>
  <c r="AB1311" i="3" a="1"/>
  <c r="AB1311" i="3" s="1"/>
  <c r="AB1312" i="3" a="1"/>
  <c r="AB1312" i="3" s="1"/>
  <c r="AB1313" i="3" a="1"/>
  <c r="AB1313" i="3" s="1"/>
  <c r="AB1314" i="3" a="1"/>
  <c r="AB1314" i="3" s="1"/>
  <c r="AB1315" i="3" a="1"/>
  <c r="AB1315" i="3" s="1"/>
  <c r="AB1316" i="3" a="1"/>
  <c r="AB1316" i="3" s="1"/>
  <c r="AB1317" i="3" a="1"/>
  <c r="AB1317" i="3" s="1"/>
  <c r="AB1318" i="3" a="1"/>
  <c r="AB1318" i="3" s="1"/>
  <c r="AB1319" i="3" a="1"/>
  <c r="AB1319" i="3" s="1"/>
  <c r="AB1320" i="3" a="1"/>
  <c r="AB1320" i="3" s="1"/>
  <c r="AB1321" i="3" a="1"/>
  <c r="AB1321" i="3" s="1"/>
  <c r="AB1322" i="3" a="1"/>
  <c r="AB1322" i="3" s="1"/>
  <c r="AB1323" i="3" a="1"/>
  <c r="AB1323" i="3" s="1"/>
  <c r="AB1324" i="3" a="1"/>
  <c r="AB1324" i="3" s="1"/>
  <c r="AB1325" i="3" a="1"/>
  <c r="AB1325" i="3" s="1"/>
  <c r="AB1326" i="3" a="1"/>
  <c r="AB1326" i="3" s="1"/>
  <c r="AB1327" i="3" a="1"/>
  <c r="AB1327" i="3"/>
  <c r="AB1328" i="3" a="1"/>
  <c r="AB1328" i="3" s="1"/>
  <c r="AB1329" i="3" a="1"/>
  <c r="AB1329" i="3" s="1"/>
  <c r="AB1330" i="3" a="1"/>
  <c r="AB1330" i="3" s="1"/>
  <c r="AB1331" i="3" a="1"/>
  <c r="AB1331" i="3" s="1"/>
  <c r="AB1332" i="3" a="1"/>
  <c r="AB1332" i="3" s="1"/>
  <c r="AB1333" i="3" a="1"/>
  <c r="AB1333" i="3"/>
  <c r="AB1334" i="3" a="1"/>
  <c r="AB1334" i="3" s="1"/>
  <c r="AB1335" i="3" a="1"/>
  <c r="AB1335" i="3" s="1"/>
  <c r="AB1336" i="3" a="1"/>
  <c r="AB1336" i="3" s="1"/>
  <c r="AB1337" i="3" a="1"/>
  <c r="AB1337" i="3" s="1"/>
  <c r="AB1338" i="3" a="1"/>
  <c r="AB1338" i="3"/>
  <c r="AB1339" i="3" a="1"/>
  <c r="AB1339" i="3" s="1"/>
  <c r="AB1340" i="3" a="1"/>
  <c r="AB1340" i="3" s="1"/>
  <c r="AB1341" i="3" a="1"/>
  <c r="AB1341" i="3" s="1"/>
  <c r="AB1342" i="3" a="1"/>
  <c r="AB1342" i="3" s="1"/>
  <c r="AB1343" i="3" a="1"/>
  <c r="AB1343" i="3" s="1"/>
  <c r="AB1344" i="3" a="1"/>
  <c r="AB1344" i="3" s="1"/>
  <c r="AB1345" i="3" a="1"/>
  <c r="AB1345" i="3" s="1"/>
  <c r="AB1346" i="3" a="1"/>
  <c r="AB1346" i="3" s="1"/>
  <c r="AB1347" i="3" a="1"/>
  <c r="AB1347" i="3" s="1"/>
  <c r="AB1348" i="3" a="1"/>
  <c r="AB1348" i="3" s="1"/>
  <c r="AB1349" i="3" a="1"/>
  <c r="AB1349" i="3" s="1"/>
  <c r="AB1350" i="3" a="1"/>
  <c r="AB1350" i="3" s="1"/>
  <c r="AB1351" i="3" a="1"/>
  <c r="AB1351" i="3" s="1"/>
  <c r="AB1352" i="3" a="1"/>
  <c r="AB1352" i="3" s="1"/>
  <c r="AB1353" i="3" a="1"/>
  <c r="AB1353" i="3" s="1"/>
  <c r="AB1354" i="3" a="1"/>
  <c r="AB1354" i="3" s="1"/>
  <c r="AB1355" i="3" a="1"/>
  <c r="AB1355" i="3" s="1"/>
  <c r="AB1356" i="3" a="1"/>
  <c r="AB1356" i="3" s="1"/>
  <c r="AB1357" i="3" a="1"/>
  <c r="AB1357" i="3" s="1"/>
  <c r="AB1358" i="3" a="1"/>
  <c r="AB1358" i="3" s="1"/>
  <c r="AB1359" i="3" a="1"/>
  <c r="AB1359" i="3" s="1"/>
  <c r="AB1360" i="3" a="1"/>
  <c r="AB1360" i="3" s="1"/>
  <c r="AB1361" i="3" a="1"/>
  <c r="AB1361" i="3" s="1"/>
  <c r="AB1362" i="3" a="1"/>
  <c r="AB1362" i="3" s="1"/>
  <c r="AB1363" i="3" a="1"/>
  <c r="AB1363" i="3" s="1"/>
  <c r="AB1364" i="3" a="1"/>
  <c r="AB1364" i="3" s="1"/>
  <c r="AB1365" i="3" a="1"/>
  <c r="AB1365" i="3" s="1"/>
  <c r="AB1366" i="3" a="1"/>
  <c r="AB1366" i="3" s="1"/>
  <c r="AB1367" i="3" a="1"/>
  <c r="AB1367" i="3" s="1"/>
  <c r="AB1368" i="3" a="1"/>
  <c r="AB1368" i="3" s="1"/>
  <c r="AB1369" i="3" a="1"/>
  <c r="AB1369" i="3" s="1"/>
  <c r="AB1370" i="3" a="1"/>
  <c r="AB1370" i="3" s="1"/>
  <c r="AB1371" i="3" a="1"/>
  <c r="AB1371" i="3" s="1"/>
  <c r="AB1372" i="3" a="1"/>
  <c r="AB1372" i="3" s="1"/>
  <c r="AB1373" i="3" a="1"/>
  <c r="AB1373" i="3" s="1"/>
  <c r="AB1374" i="3" a="1"/>
  <c r="AB1374" i="3" s="1"/>
  <c r="AB1375" i="3" a="1"/>
  <c r="AB1375" i="3" s="1"/>
  <c r="AB1376" i="3" a="1"/>
  <c r="AB1376" i="3" s="1"/>
  <c r="AB1377" i="3" a="1"/>
  <c r="AB1377" i="3" s="1"/>
  <c r="AB1378" i="3" a="1"/>
  <c r="AB1378" i="3" s="1"/>
  <c r="AB1379" i="3" a="1"/>
  <c r="AB1379" i="3" s="1"/>
  <c r="AB1380" i="3" a="1"/>
  <c r="AB1380" i="3" s="1"/>
  <c r="AB1381" i="3" a="1"/>
  <c r="AB1381" i="3" s="1"/>
  <c r="AB1382" i="3" a="1"/>
  <c r="AB1382" i="3" s="1"/>
  <c r="AB1383" i="3" a="1"/>
  <c r="AB1383" i="3" s="1"/>
  <c r="AB1384" i="3" a="1"/>
  <c r="AB1384" i="3" s="1"/>
  <c r="AB1385" i="3" a="1"/>
  <c r="AB1385" i="3" s="1"/>
  <c r="AB1386" i="3" a="1"/>
  <c r="AB1386" i="3" s="1"/>
  <c r="AB1387" i="3" a="1"/>
  <c r="AB1387" i="3" s="1"/>
  <c r="AB1388" i="3" a="1"/>
  <c r="AB1388" i="3" s="1"/>
  <c r="AB1389" i="3" a="1"/>
  <c r="AB1389" i="3" s="1"/>
  <c r="AB1390" i="3" a="1"/>
  <c r="AB1390" i="3" s="1"/>
  <c r="AB1391" i="3" a="1"/>
  <c r="AB1391" i="3" s="1"/>
  <c r="AB1392" i="3" a="1"/>
  <c r="AB1392" i="3" s="1"/>
  <c r="AB1393" i="3" a="1"/>
  <c r="AB1393" i="3" s="1"/>
  <c r="AB1394" i="3" a="1"/>
  <c r="AB1394" i="3" s="1"/>
  <c r="AB1395" i="3" a="1"/>
  <c r="AB1395" i="3" s="1"/>
  <c r="AB1396" i="3" a="1"/>
  <c r="AB1396" i="3" s="1"/>
  <c r="AB1397" i="3" a="1"/>
  <c r="AB1397" i="3" s="1"/>
  <c r="AB1398" i="3" a="1"/>
  <c r="AB1398" i="3" s="1"/>
  <c r="AB1399" i="3" a="1"/>
  <c r="AB1399" i="3" s="1"/>
  <c r="AB1400" i="3" a="1"/>
  <c r="AB1400" i="3" s="1"/>
  <c r="AB1401" i="3" a="1"/>
  <c r="AB1401" i="3" s="1"/>
  <c r="AB1402" i="3" a="1"/>
  <c r="AB1402" i="3" s="1"/>
  <c r="AB1403" i="3" a="1"/>
  <c r="AB1403" i="3" s="1"/>
  <c r="AB1404" i="3" a="1"/>
  <c r="AB1404" i="3" s="1"/>
  <c r="AB1405" i="3" a="1"/>
  <c r="AB1405" i="3" s="1"/>
  <c r="AB1406" i="3" a="1"/>
  <c r="AB1406" i="3" s="1"/>
  <c r="AB1407" i="3" a="1"/>
  <c r="AB1407" i="3" s="1"/>
  <c r="AB1408" i="3" a="1"/>
  <c r="AB1408" i="3" s="1"/>
  <c r="AB1409" i="3" a="1"/>
  <c r="AB1409" i="3" s="1"/>
  <c r="AB1410" i="3" a="1"/>
  <c r="AB1410" i="3" s="1"/>
  <c r="AB1411" i="3" a="1"/>
  <c r="AB1411" i="3" s="1"/>
  <c r="AB1412" i="3" a="1"/>
  <c r="AB1412" i="3" s="1"/>
  <c r="AB1413" i="3" a="1"/>
  <c r="AB1413" i="3" s="1"/>
  <c r="AB1414" i="3" a="1"/>
  <c r="AB1414" i="3"/>
  <c r="AB1415" i="3" a="1"/>
  <c r="AB1415" i="3" s="1"/>
  <c r="AB1416" i="3" a="1"/>
  <c r="AB1416" i="3" s="1"/>
  <c r="AB1417" i="3" a="1"/>
  <c r="AB1417" i="3" s="1"/>
  <c r="AB1418" i="3" a="1"/>
  <c r="AB1418" i="3" s="1"/>
  <c r="AB1419" i="3" a="1"/>
  <c r="AB1419" i="3" s="1"/>
  <c r="AB1420" i="3" a="1"/>
  <c r="AB1420" i="3" s="1"/>
  <c r="AB1421" i="3" a="1"/>
  <c r="AB1421" i="3" s="1"/>
  <c r="AB1422" i="3" a="1"/>
  <c r="AB1422" i="3" s="1"/>
  <c r="AB1423" i="3" a="1"/>
  <c r="AB1423" i="3" s="1"/>
  <c r="AB1424" i="3" a="1"/>
  <c r="AB1424" i="3" s="1"/>
  <c r="AB1425" i="3" a="1"/>
  <c r="AB1425" i="3" s="1"/>
  <c r="AB1426" i="3" a="1"/>
  <c r="AB1426" i="3" s="1"/>
  <c r="AB1427" i="3" a="1"/>
  <c r="AB1427" i="3" s="1"/>
  <c r="AB1428" i="3" a="1"/>
  <c r="AB1428" i="3" s="1"/>
  <c r="AB1429" i="3" a="1"/>
  <c r="AB1429" i="3" s="1"/>
  <c r="AB1430" i="3" a="1"/>
  <c r="AB1430" i="3" s="1"/>
  <c r="AB1431" i="3" a="1"/>
  <c r="AB1431" i="3" s="1"/>
  <c r="AB1432" i="3" a="1"/>
  <c r="AB1432" i="3" s="1"/>
  <c r="AB1433" i="3" a="1"/>
  <c r="AB1433" i="3" s="1"/>
  <c r="AB1434" i="3" a="1"/>
  <c r="AB1434" i="3" s="1"/>
  <c r="AB1435" i="3" a="1"/>
  <c r="AB1435" i="3" s="1"/>
  <c r="AB1436" i="3" a="1"/>
  <c r="AB1436" i="3" s="1"/>
  <c r="AB1437" i="3" a="1"/>
  <c r="AB1437" i="3" s="1"/>
  <c r="AB1438" i="3" a="1"/>
  <c r="AB1438" i="3"/>
  <c r="AB1439" i="3" a="1"/>
  <c r="AB1439" i="3" s="1"/>
  <c r="AB1440" i="3" a="1"/>
  <c r="AB1440" i="3" s="1"/>
  <c r="AB1441" i="3" a="1"/>
  <c r="AB1441" i="3" s="1"/>
  <c r="AB1442" i="3" a="1"/>
  <c r="AB1442" i="3" s="1"/>
  <c r="AB1443" i="3" a="1"/>
  <c r="AB1443" i="3" s="1"/>
  <c r="AB1444" i="3" a="1"/>
  <c r="AB1444" i="3" s="1"/>
  <c r="AB1445" i="3" a="1"/>
  <c r="AB1445" i="3"/>
  <c r="AB1446" i="3" a="1"/>
  <c r="AB1446" i="3" s="1"/>
  <c r="AB1447" i="3" a="1"/>
  <c r="AB1447" i="3" s="1"/>
  <c r="AB1448" i="3" a="1"/>
  <c r="AB1448" i="3" s="1"/>
  <c r="AB1449" i="3" a="1"/>
  <c r="AB1449" i="3" s="1"/>
  <c r="AB1450" i="3" a="1"/>
  <c r="AB1450" i="3" s="1"/>
  <c r="AB1451" i="3" a="1"/>
  <c r="AB1451" i="3" s="1"/>
  <c r="AB1452" i="3" a="1"/>
  <c r="AB1452" i="3" s="1"/>
  <c r="AB1453" i="3" a="1"/>
  <c r="AB1453" i="3" s="1"/>
  <c r="AB1454" i="3" a="1"/>
  <c r="AB1454" i="3" s="1"/>
  <c r="AB1455" i="3" a="1"/>
  <c r="AB1455" i="3" s="1"/>
  <c r="AB1456" i="3" a="1"/>
  <c r="AB1456" i="3" s="1"/>
  <c r="AB1457" i="3" a="1"/>
  <c r="AB1457" i="3" s="1"/>
  <c r="AB1458" i="3" a="1"/>
  <c r="AB1458" i="3" s="1"/>
  <c r="AB1459" i="3" a="1"/>
  <c r="AB1459" i="3" s="1"/>
  <c r="AB1460" i="3" a="1"/>
  <c r="AB1460" i="3" s="1"/>
  <c r="AB1461" i="3" a="1"/>
  <c r="AB1461" i="3" s="1"/>
  <c r="AB1462" i="3" a="1"/>
  <c r="AB1462" i="3" s="1"/>
  <c r="AB1463" i="3" a="1"/>
  <c r="AB1463" i="3" s="1"/>
  <c r="AB1464" i="3" a="1"/>
  <c r="AB1464" i="3" s="1"/>
  <c r="AB1465" i="3" a="1"/>
  <c r="AB1465" i="3" s="1"/>
  <c r="AB1466" i="3" a="1"/>
  <c r="AB1466" i="3"/>
  <c r="AB1467" i="3" a="1"/>
  <c r="AB1467" i="3" s="1"/>
  <c r="AB1468" i="3" a="1"/>
  <c r="AB1468" i="3" s="1"/>
  <c r="AB1469" i="3" a="1"/>
  <c r="AB1469" i="3" s="1"/>
  <c r="AB1470" i="3" a="1"/>
  <c r="AB1470" i="3" s="1"/>
  <c r="AB1471" i="3" a="1"/>
  <c r="AB147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743358-BE5C-4546-9BEB-26AE40AEB58C}"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 id="2" xr16:uid="{FCA6A374-5724-4878-BC87-4F0DE1BE9D65}"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<sst xmlns="http://schemas.openxmlformats.org/spreadsheetml/2006/main" count="31011" uniqueCount="1577">
  <si>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</si>
  <si>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</si>
  <si>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</si>
  <si>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</si>
  <si>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</si>
  <si>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</si>
  <si>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</si>
  <si>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</si>
  <si>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</si>
  <si>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</si>
  <si>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</si>
  <si>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</si>
  <si>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</si>
  <si>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</si>
  <si>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</si>
  <si>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</si>
  <si>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</si>
  <si>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</si>
  <si>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</si>
  <si>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</si>
  <si>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</si>
  <si>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</si>
  <si>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</si>
  <si>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</si>
  <si>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</si>
  <si>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</si>
  <si>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</si>
  <si>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</si>
  <si>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</si>
  <si>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</si>
  <si>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</si>
  <si>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</si>
  <si>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</si>
  <si>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</si>
  <si>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</si>
  <si>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</si>
  <si>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</si>
  <si>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</si>
  <si>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</si>
  <si>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</si>
  <si>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</si>
  <si>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</si>
  <si>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</si>
  <si>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</si>
  <si>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</si>
  <si>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</si>
  <si>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</si>
  <si>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</si>
  <si>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</si>
  <si>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</si>
  <si>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</si>
  <si>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</si>
  <si>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</si>
  <si>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</si>
  <si>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</si>
  <si>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</si>
  <si>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</si>
  <si>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</si>
  <si>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</si>
  <si>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</si>
  <si>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</si>
  <si>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</si>
  <si>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Attrition_flag</t>
  </si>
  <si>
    <t>Monthly_Income</t>
  </si>
  <si>
    <t>Age_group</t>
  </si>
  <si>
    <t>Years_of_experience</t>
  </si>
  <si>
    <t>1</t>
  </si>
  <si>
    <t>Medium</t>
  </si>
  <si>
    <t>18-25</t>
  </si>
  <si>
    <t>6-15</t>
  </si>
  <si>
    <t>2</t>
  </si>
  <si>
    <t>4</t>
  </si>
  <si>
    <t>Low</t>
  </si>
  <si>
    <t>5</t>
  </si>
  <si>
    <t>7</t>
  </si>
  <si>
    <t>8</t>
  </si>
  <si>
    <t>10</t>
  </si>
  <si>
    <t>11</t>
  </si>
  <si>
    <t>0-5</t>
  </si>
  <si>
    <t>12</t>
  </si>
  <si>
    <t>13</t>
  </si>
  <si>
    <t>14</t>
  </si>
  <si>
    <t>15</t>
  </si>
  <si>
    <t>16</t>
  </si>
  <si>
    <t>18</t>
  </si>
  <si>
    <t>19</t>
  </si>
  <si>
    <t>20</t>
  </si>
  <si>
    <t>21</t>
  </si>
  <si>
    <t>22</t>
  </si>
  <si>
    <t>23</t>
  </si>
  <si>
    <t>High</t>
  </si>
  <si>
    <t>24</t>
  </si>
  <si>
    <t>26</t>
  </si>
  <si>
    <t>27</t>
  </si>
  <si>
    <t>28</t>
  </si>
  <si>
    <t>30</t>
  </si>
  <si>
    <t>31</t>
  </si>
  <si>
    <t>32</t>
  </si>
  <si>
    <t>33</t>
  </si>
  <si>
    <t>35</t>
  </si>
  <si>
    <t>36</t>
  </si>
  <si>
    <t>38</t>
  </si>
  <si>
    <t>39</t>
  </si>
  <si>
    <t>40</t>
  </si>
  <si>
    <t>41</t>
  </si>
  <si>
    <t>42</t>
  </si>
  <si>
    <t>45</t>
  </si>
  <si>
    <t>46</t>
  </si>
  <si>
    <t>47</t>
  </si>
  <si>
    <t>49</t>
  </si>
  <si>
    <t>51</t>
  </si>
  <si>
    <t>52</t>
  </si>
  <si>
    <t>53</t>
  </si>
  <si>
    <t>54</t>
  </si>
  <si>
    <t>55</t>
  </si>
  <si>
    <t>56</t>
  </si>
  <si>
    <t>57</t>
  </si>
  <si>
    <t>58</t>
  </si>
  <si>
    <t>60</t>
  </si>
  <si>
    <t>61</t>
  </si>
  <si>
    <t>62</t>
  </si>
  <si>
    <t>63</t>
  </si>
  <si>
    <t>64</t>
  </si>
  <si>
    <t>65</t>
  </si>
  <si>
    <t>68</t>
  </si>
  <si>
    <t>70</t>
  </si>
  <si>
    <t>72</t>
  </si>
  <si>
    <t>73</t>
  </si>
  <si>
    <t>74</t>
  </si>
  <si>
    <t>75</t>
  </si>
  <si>
    <t>76</t>
  </si>
  <si>
    <t>77</t>
  </si>
  <si>
    <t>78</t>
  </si>
  <si>
    <t>79</t>
  </si>
  <si>
    <t>80</t>
  </si>
  <si>
    <t>81</t>
  </si>
  <si>
    <t>83</t>
  </si>
  <si>
    <t>84</t>
  </si>
  <si>
    <t>85</t>
  </si>
  <si>
    <t>86</t>
  </si>
  <si>
    <t>88</t>
  </si>
  <si>
    <t>90</t>
  </si>
  <si>
    <t>91</t>
  </si>
  <si>
    <t>94</t>
  </si>
  <si>
    <t>95</t>
  </si>
  <si>
    <t>96</t>
  </si>
  <si>
    <t>97</t>
  </si>
  <si>
    <t>98</t>
  </si>
  <si>
    <t>100</t>
  </si>
  <si>
    <t>101</t>
  </si>
  <si>
    <t>102</t>
  </si>
  <si>
    <t>103</t>
  </si>
  <si>
    <t>104</t>
  </si>
  <si>
    <t>105</t>
  </si>
  <si>
    <t>106</t>
  </si>
  <si>
    <t>107</t>
  </si>
  <si>
    <t>110</t>
  </si>
  <si>
    <t>112</t>
  </si>
  <si>
    <t>113</t>
  </si>
  <si>
    <t>116</t>
  </si>
  <si>
    <t>117</t>
  </si>
  <si>
    <t>118</t>
  </si>
  <si>
    <t>119</t>
  </si>
  <si>
    <t>120</t>
  </si>
  <si>
    <t>121</t>
  </si>
  <si>
    <t>124</t>
  </si>
  <si>
    <t>125</t>
  </si>
  <si>
    <t>126</t>
  </si>
  <si>
    <t>128</t>
  </si>
  <si>
    <t>129</t>
  </si>
  <si>
    <t>131</t>
  </si>
  <si>
    <t>132</t>
  </si>
  <si>
    <t>133</t>
  </si>
  <si>
    <t>134</t>
  </si>
  <si>
    <t>137</t>
  </si>
  <si>
    <t>138</t>
  </si>
  <si>
    <t>139</t>
  </si>
  <si>
    <t>140</t>
  </si>
  <si>
    <t>141</t>
  </si>
  <si>
    <t>142</t>
  </si>
  <si>
    <t>143</t>
  </si>
  <si>
    <t>144</t>
  </si>
  <si>
    <t>145</t>
  </si>
  <si>
    <t>147</t>
  </si>
  <si>
    <t>148</t>
  </si>
  <si>
    <t>150</t>
  </si>
  <si>
    <t>151</t>
  </si>
  <si>
    <t>152</t>
  </si>
  <si>
    <t>153</t>
  </si>
  <si>
    <t>154</t>
  </si>
  <si>
    <t>155</t>
  </si>
  <si>
    <t>158</t>
  </si>
  <si>
    <t>159</t>
  </si>
  <si>
    <t>160</t>
  </si>
  <si>
    <t>161</t>
  </si>
  <si>
    <t>162</t>
  </si>
  <si>
    <t>163</t>
  </si>
  <si>
    <t>164</t>
  </si>
  <si>
    <t>165</t>
  </si>
  <si>
    <t>167</t>
  </si>
  <si>
    <t>169</t>
  </si>
  <si>
    <t>170</t>
  </si>
  <si>
    <t>171</t>
  </si>
  <si>
    <t>174</t>
  </si>
  <si>
    <t>175</t>
  </si>
  <si>
    <t>176</t>
  </si>
  <si>
    <t>177</t>
  </si>
  <si>
    <t>178</t>
  </si>
  <si>
    <t>179</t>
  </si>
  <si>
    <t>182</t>
  </si>
  <si>
    <t>183</t>
  </si>
  <si>
    <t>184</t>
  </si>
  <si>
    <t>190</t>
  </si>
  <si>
    <t>192</t>
  </si>
  <si>
    <t>193</t>
  </si>
  <si>
    <t>194</t>
  </si>
  <si>
    <t>195</t>
  </si>
  <si>
    <t>197</t>
  </si>
  <si>
    <t>198</t>
  </si>
  <si>
    <t>199</t>
  </si>
  <si>
    <t>200</t>
  </si>
  <si>
    <t>201</t>
  </si>
  <si>
    <t>202</t>
  </si>
  <si>
    <t>204</t>
  </si>
  <si>
    <t>205</t>
  </si>
  <si>
    <t>206</t>
  </si>
  <si>
    <t>207</t>
  </si>
  <si>
    <t>208</t>
  </si>
  <si>
    <t>211</t>
  </si>
  <si>
    <t>214</t>
  </si>
  <si>
    <t>215</t>
  </si>
  <si>
    <t>216</t>
  </si>
  <si>
    <t>217</t>
  </si>
  <si>
    <t>218</t>
  </si>
  <si>
    <t>221</t>
  </si>
  <si>
    <t>223</t>
  </si>
  <si>
    <t>224</t>
  </si>
  <si>
    <t>226</t>
  </si>
  <si>
    <t>227</t>
  </si>
  <si>
    <t>228</t>
  </si>
  <si>
    <t>230</t>
  </si>
  <si>
    <t>231</t>
  </si>
  <si>
    <t>233</t>
  </si>
  <si>
    <t>235</t>
  </si>
  <si>
    <t>238</t>
  </si>
  <si>
    <t>239</t>
  </si>
  <si>
    <t>240</t>
  </si>
  <si>
    <t>241</t>
  </si>
  <si>
    <t>242</t>
  </si>
  <si>
    <t>243</t>
  </si>
  <si>
    <t>244</t>
  </si>
  <si>
    <t>245</t>
  </si>
  <si>
    <t>246</t>
  </si>
  <si>
    <t>247</t>
  </si>
  <si>
    <t>248</t>
  </si>
  <si>
    <t>249</t>
  </si>
  <si>
    <t>250</t>
  </si>
  <si>
    <t>252</t>
  </si>
  <si>
    <t>253</t>
  </si>
  <si>
    <t>254</t>
  </si>
  <si>
    <t>256</t>
  </si>
  <si>
    <t>258</t>
  </si>
  <si>
    <t>259</t>
  </si>
  <si>
    <t>260</t>
  </si>
  <si>
    <t>261</t>
  </si>
  <si>
    <t>262</t>
  </si>
  <si>
    <t>264</t>
  </si>
  <si>
    <t>267</t>
  </si>
  <si>
    <t>269</t>
  </si>
  <si>
    <t>270</t>
  </si>
  <si>
    <t>271</t>
  </si>
  <si>
    <t>273</t>
  </si>
  <si>
    <t>274</t>
  </si>
  <si>
    <t>275</t>
  </si>
  <si>
    <t>277</t>
  </si>
  <si>
    <t>281</t>
  </si>
  <si>
    <t>282</t>
  </si>
  <si>
    <t>283</t>
  </si>
  <si>
    <t>284</t>
  </si>
  <si>
    <t>286</t>
  </si>
  <si>
    <t>287</t>
  </si>
  <si>
    <t>288</t>
  </si>
  <si>
    <t>291</t>
  </si>
  <si>
    <t>292</t>
  </si>
  <si>
    <t>293</t>
  </si>
  <si>
    <t>296</t>
  </si>
  <si>
    <t>297</t>
  </si>
  <si>
    <t>298</t>
  </si>
  <si>
    <t>299</t>
  </si>
  <si>
    <t>300</t>
  </si>
  <si>
    <t>302</t>
  </si>
  <si>
    <t>303</t>
  </si>
  <si>
    <t>304</t>
  </si>
  <si>
    <t>305</t>
  </si>
  <si>
    <t>306</t>
  </si>
  <si>
    <t>307</t>
  </si>
  <si>
    <t>308</t>
  </si>
  <si>
    <t>309</t>
  </si>
  <si>
    <t>311</t>
  </si>
  <si>
    <t>312</t>
  </si>
  <si>
    <t>314</t>
  </si>
  <si>
    <t>315</t>
  </si>
  <si>
    <t>316</t>
  </si>
  <si>
    <t>319</t>
  </si>
  <si>
    <t>321</t>
  </si>
  <si>
    <t>323</t>
  </si>
  <si>
    <t>325</t>
  </si>
  <si>
    <t>327</t>
  </si>
  <si>
    <t>328</t>
  </si>
  <si>
    <t>329</t>
  </si>
  <si>
    <t>330</t>
  </si>
  <si>
    <t>331</t>
  </si>
  <si>
    <t>332</t>
  </si>
  <si>
    <t>333</t>
  </si>
  <si>
    <t>334</t>
  </si>
  <si>
    <t>335</t>
  </si>
  <si>
    <t>336</t>
  </si>
  <si>
    <t>337</t>
  </si>
  <si>
    <t>338</t>
  </si>
  <si>
    <t>339</t>
  </si>
  <si>
    <t>340</t>
  </si>
  <si>
    <t>341</t>
  </si>
  <si>
    <t>342</t>
  </si>
  <si>
    <t>343</t>
  </si>
  <si>
    <t>346</t>
  </si>
  <si>
    <t>347</t>
  </si>
  <si>
    <t>349</t>
  </si>
  <si>
    <t>350</t>
  </si>
  <si>
    <t>351</t>
  </si>
  <si>
    <t>352</t>
  </si>
  <si>
    <t>353</t>
  </si>
  <si>
    <t>355</t>
  </si>
  <si>
    <t>359</t>
  </si>
  <si>
    <t>361</t>
  </si>
  <si>
    <t>362</t>
  </si>
  <si>
    <t>363</t>
  </si>
  <si>
    <t>364</t>
  </si>
  <si>
    <t>366</t>
  </si>
  <si>
    <t>367</t>
  </si>
  <si>
    <t>369</t>
  </si>
  <si>
    <t>372</t>
  </si>
  <si>
    <t>373</t>
  </si>
  <si>
    <t>374</t>
  </si>
  <si>
    <t>376</t>
  </si>
  <si>
    <t>377</t>
  </si>
  <si>
    <t>378</t>
  </si>
  <si>
    <t>379</t>
  </si>
  <si>
    <t>380</t>
  </si>
  <si>
    <t>381</t>
  </si>
  <si>
    <t>382</t>
  </si>
  <si>
    <t>384</t>
  </si>
  <si>
    <t>385</t>
  </si>
  <si>
    <t>386</t>
  </si>
  <si>
    <t>387</t>
  </si>
  <si>
    <t>388</t>
  </si>
  <si>
    <t>389</t>
  </si>
  <si>
    <t>390</t>
  </si>
  <si>
    <t>391</t>
  </si>
  <si>
    <t>392</t>
  </si>
  <si>
    <t>393</t>
  </si>
  <si>
    <t>394</t>
  </si>
  <si>
    <t>395</t>
  </si>
  <si>
    <t>396</t>
  </si>
  <si>
    <t>397</t>
  </si>
  <si>
    <t>399</t>
  </si>
  <si>
    <t>401</t>
  </si>
  <si>
    <t>403</t>
  </si>
  <si>
    <t>404</t>
  </si>
  <si>
    <t>405</t>
  </si>
  <si>
    <t>406</t>
  </si>
  <si>
    <t>407</t>
  </si>
  <si>
    <t>408</t>
  </si>
  <si>
    <t>410</t>
  </si>
  <si>
    <t>411</t>
  </si>
  <si>
    <t>412</t>
  </si>
  <si>
    <t>416</t>
  </si>
  <si>
    <t>417</t>
  </si>
  <si>
    <t>419</t>
  </si>
  <si>
    <t>420</t>
  </si>
  <si>
    <t>421</t>
  </si>
  <si>
    <t>422</t>
  </si>
  <si>
    <t>423</t>
  </si>
  <si>
    <t>424</t>
  </si>
  <si>
    <t>425</t>
  </si>
  <si>
    <t>426</t>
  </si>
  <si>
    <t>428</t>
  </si>
  <si>
    <t>429</t>
  </si>
  <si>
    <t>430</t>
  </si>
  <si>
    <t>431</t>
  </si>
  <si>
    <t>433</t>
  </si>
  <si>
    <t>434</t>
  </si>
  <si>
    <t>436</t>
  </si>
  <si>
    <t>437</t>
  </si>
  <si>
    <t>438</t>
  </si>
  <si>
    <t>439</t>
  </si>
  <si>
    <t>440</t>
  </si>
  <si>
    <t>441</t>
  </si>
  <si>
    <t>442</t>
  </si>
  <si>
    <t>444</t>
  </si>
  <si>
    <t>445</t>
  </si>
  <si>
    <t>446</t>
  </si>
  <si>
    <t>447</t>
  </si>
  <si>
    <t>448</t>
  </si>
  <si>
    <t>449</t>
  </si>
  <si>
    <t>450</t>
  </si>
  <si>
    <t>451</t>
  </si>
  <si>
    <t>452</t>
  </si>
  <si>
    <t>453</t>
  </si>
  <si>
    <t>454</t>
  </si>
  <si>
    <t>455</t>
  </si>
  <si>
    <t>456</t>
  </si>
  <si>
    <t>458</t>
  </si>
  <si>
    <t>460</t>
  </si>
  <si>
    <t>461</t>
  </si>
  <si>
    <t>462</t>
  </si>
  <si>
    <t>463</t>
  </si>
  <si>
    <t>464</t>
  </si>
  <si>
    <t>465</t>
  </si>
  <si>
    <t>466</t>
  </si>
  <si>
    <t>467</t>
  </si>
  <si>
    <t>468</t>
  </si>
  <si>
    <t>469</t>
  </si>
  <si>
    <t>470</t>
  </si>
  <si>
    <t>471</t>
  </si>
  <si>
    <t>473</t>
  </si>
  <si>
    <t>474</t>
  </si>
  <si>
    <t>475</t>
  </si>
  <si>
    <t>476</t>
  </si>
  <si>
    <t>477</t>
  </si>
  <si>
    <t>478</t>
  </si>
  <si>
    <t>479</t>
  </si>
  <si>
    <t>481</t>
  </si>
  <si>
    <t>482</t>
  </si>
  <si>
    <t>483</t>
  </si>
  <si>
    <t>484</t>
  </si>
  <si>
    <t>485</t>
  </si>
  <si>
    <t>486</t>
  </si>
  <si>
    <t>487</t>
  </si>
  <si>
    <t>488</t>
  </si>
  <si>
    <t>491</t>
  </si>
  <si>
    <t>492</t>
  </si>
  <si>
    <t>493</t>
  </si>
  <si>
    <t>494</t>
  </si>
  <si>
    <t>495</t>
  </si>
  <si>
    <t>496</t>
  </si>
  <si>
    <t>497</t>
  </si>
  <si>
    <t>498</t>
  </si>
  <si>
    <t>499</t>
  </si>
  <si>
    <t>500</t>
  </si>
  <si>
    <t>501</t>
  </si>
  <si>
    <t>502</t>
  </si>
  <si>
    <t>505</t>
  </si>
  <si>
    <t>507</t>
  </si>
  <si>
    <t>508</t>
  </si>
  <si>
    <t>510</t>
  </si>
  <si>
    <t>511</t>
  </si>
  <si>
    <t>513</t>
  </si>
  <si>
    <t>514</t>
  </si>
  <si>
    <t>515</t>
  </si>
  <si>
    <t>516</t>
  </si>
  <si>
    <t>517</t>
  </si>
  <si>
    <t>518</t>
  </si>
  <si>
    <t>520</t>
  </si>
  <si>
    <t>521</t>
  </si>
  <si>
    <t>522</t>
  </si>
  <si>
    <t>523</t>
  </si>
  <si>
    <t>524</t>
  </si>
  <si>
    <t>525</t>
  </si>
  <si>
    <t>526</t>
  </si>
  <si>
    <t>527</t>
  </si>
  <si>
    <t>529</t>
  </si>
  <si>
    <t>530</t>
  </si>
  <si>
    <t>531</t>
  </si>
  <si>
    <t>532</t>
  </si>
  <si>
    <t>533</t>
  </si>
  <si>
    <t>534</t>
  </si>
  <si>
    <t>536</t>
  </si>
  <si>
    <t>538</t>
  </si>
  <si>
    <t>543</t>
  </si>
  <si>
    <t>544</t>
  </si>
  <si>
    <t>546</t>
  </si>
  <si>
    <t>547</t>
  </si>
  <si>
    <t>548</t>
  </si>
  <si>
    <t>549</t>
  </si>
  <si>
    <t>550</t>
  </si>
  <si>
    <t>551</t>
  </si>
  <si>
    <t>554</t>
  </si>
  <si>
    <t>555</t>
  </si>
  <si>
    <t>556</t>
  </si>
  <si>
    <t>558</t>
  </si>
  <si>
    <t>560</t>
  </si>
  <si>
    <t>562</t>
  </si>
  <si>
    <t>564</t>
  </si>
  <si>
    <t>565</t>
  </si>
  <si>
    <t>566</t>
  </si>
  <si>
    <t>567</t>
  </si>
  <si>
    <t>568</t>
  </si>
  <si>
    <t>569</t>
  </si>
  <si>
    <t>571</t>
  </si>
  <si>
    <t>573</t>
  </si>
  <si>
    <t>574</t>
  </si>
  <si>
    <t>575</t>
  </si>
  <si>
    <t>577</t>
  </si>
  <si>
    <t>578</t>
  </si>
  <si>
    <t>579</t>
  </si>
  <si>
    <t>580</t>
  </si>
  <si>
    <t>581</t>
  </si>
  <si>
    <t>582</t>
  </si>
  <si>
    <t>584</t>
  </si>
  <si>
    <t>585</t>
  </si>
  <si>
    <t>586</t>
  </si>
  <si>
    <t>587</t>
  </si>
  <si>
    <t>590</t>
  </si>
  <si>
    <t>591</t>
  </si>
  <si>
    <t>592</t>
  </si>
  <si>
    <t>593</t>
  </si>
  <si>
    <t>595</t>
  </si>
  <si>
    <t>597</t>
  </si>
  <si>
    <t>599</t>
  </si>
  <si>
    <t>600</t>
  </si>
  <si>
    <t>601</t>
  </si>
  <si>
    <t>602</t>
  </si>
  <si>
    <t>604</t>
  </si>
  <si>
    <t>605</t>
  </si>
  <si>
    <t>606</t>
  </si>
  <si>
    <t>608</t>
  </si>
  <si>
    <t>611</t>
  </si>
  <si>
    <t>612</t>
  </si>
  <si>
    <t>613</t>
  </si>
  <si>
    <t>614</t>
  </si>
  <si>
    <t>615</t>
  </si>
  <si>
    <t>616</t>
  </si>
  <si>
    <t>618</t>
  </si>
  <si>
    <t>620</t>
  </si>
  <si>
    <t>621</t>
  </si>
  <si>
    <t>622</t>
  </si>
  <si>
    <t>623</t>
  </si>
  <si>
    <t>624</t>
  </si>
  <si>
    <t>625</t>
  </si>
  <si>
    <t>626</t>
  </si>
  <si>
    <t>630</t>
  </si>
  <si>
    <t>631</t>
  </si>
  <si>
    <t>632</t>
  </si>
  <si>
    <t>634</t>
  </si>
  <si>
    <t>635</t>
  </si>
  <si>
    <t>638</t>
  </si>
  <si>
    <t>639</t>
  </si>
  <si>
    <t>641</t>
  </si>
  <si>
    <t>643</t>
  </si>
  <si>
    <t>644</t>
  </si>
  <si>
    <t>645</t>
  </si>
  <si>
    <t>647</t>
  </si>
  <si>
    <t>648</t>
  </si>
  <si>
    <t>649</t>
  </si>
  <si>
    <t>650</t>
  </si>
  <si>
    <t>652</t>
  </si>
  <si>
    <t>653</t>
  </si>
  <si>
    <t>655</t>
  </si>
  <si>
    <t>656</t>
  </si>
  <si>
    <t>657</t>
  </si>
  <si>
    <t>659</t>
  </si>
  <si>
    <t>661</t>
  </si>
  <si>
    <t>662</t>
  </si>
  <si>
    <t>663</t>
  </si>
  <si>
    <t>664</t>
  </si>
  <si>
    <t>665</t>
  </si>
  <si>
    <t>666</t>
  </si>
  <si>
    <t>667</t>
  </si>
  <si>
    <t>669</t>
  </si>
  <si>
    <t>671</t>
  </si>
  <si>
    <t>675</t>
  </si>
  <si>
    <t>677</t>
  </si>
  <si>
    <t>679</t>
  </si>
  <si>
    <t>680</t>
  </si>
  <si>
    <t>682</t>
  </si>
  <si>
    <t>683</t>
  </si>
  <si>
    <t>684</t>
  </si>
  <si>
    <t>686</t>
  </si>
  <si>
    <t>689</t>
  </si>
  <si>
    <t>690</t>
  </si>
  <si>
    <t>691</t>
  </si>
  <si>
    <t>692</t>
  </si>
  <si>
    <t>698</t>
  </si>
  <si>
    <t>699</t>
  </si>
  <si>
    <t>700</t>
  </si>
  <si>
    <t>701</t>
  </si>
  <si>
    <t>702</t>
  </si>
  <si>
    <t>704</t>
  </si>
  <si>
    <t>705</t>
  </si>
  <si>
    <t>707</t>
  </si>
  <si>
    <t>709</t>
  </si>
  <si>
    <t>710</t>
  </si>
  <si>
    <t>712</t>
  </si>
  <si>
    <t>714</t>
  </si>
  <si>
    <t>715</t>
  </si>
  <si>
    <t>716</t>
  </si>
  <si>
    <t>717</t>
  </si>
  <si>
    <t>720</t>
  </si>
  <si>
    <t>721</t>
  </si>
  <si>
    <t>722</t>
  </si>
  <si>
    <t>723</t>
  </si>
  <si>
    <t>724</t>
  </si>
  <si>
    <t>725</t>
  </si>
  <si>
    <t>727</t>
  </si>
  <si>
    <t>728</t>
  </si>
  <si>
    <t>729</t>
  </si>
  <si>
    <t>730</t>
  </si>
  <si>
    <t>731</t>
  </si>
  <si>
    <t>732</t>
  </si>
  <si>
    <t>733</t>
  </si>
  <si>
    <t>734</t>
  </si>
  <si>
    <t>738</t>
  </si>
  <si>
    <t>741</t>
  </si>
  <si>
    <t>742</t>
  </si>
  <si>
    <t>743</t>
  </si>
  <si>
    <t>744</t>
  </si>
  <si>
    <t>746</t>
  </si>
  <si>
    <t>747</t>
  </si>
  <si>
    <t>749</t>
  </si>
  <si>
    <t>752</t>
  </si>
  <si>
    <t>754</t>
  </si>
  <si>
    <t>757</t>
  </si>
  <si>
    <t>758</t>
  </si>
  <si>
    <t>760</t>
  </si>
  <si>
    <t>762</t>
  </si>
  <si>
    <t>763</t>
  </si>
  <si>
    <t>764</t>
  </si>
  <si>
    <t>766</t>
  </si>
  <si>
    <t>769</t>
  </si>
  <si>
    <t>771</t>
  </si>
  <si>
    <t>772</t>
  </si>
  <si>
    <t>773</t>
  </si>
  <si>
    <t>775</t>
  </si>
  <si>
    <t>776</t>
  </si>
  <si>
    <t>780</t>
  </si>
  <si>
    <t>781</t>
  </si>
  <si>
    <t>783</t>
  </si>
  <si>
    <t>784</t>
  </si>
  <si>
    <t>785</t>
  </si>
  <si>
    <t>786</t>
  </si>
  <si>
    <t>787</t>
  </si>
  <si>
    <t>789</t>
  </si>
  <si>
    <t>791</t>
  </si>
  <si>
    <t>792</t>
  </si>
  <si>
    <t>793</t>
  </si>
  <si>
    <t>796</t>
  </si>
  <si>
    <t>797</t>
  </si>
  <si>
    <t>799</t>
  </si>
  <si>
    <t>800</t>
  </si>
  <si>
    <t>802</t>
  </si>
  <si>
    <t>803</t>
  </si>
  <si>
    <t>804</t>
  </si>
  <si>
    <t>805</t>
  </si>
  <si>
    <t>806</t>
  </si>
  <si>
    <t>807</t>
  </si>
  <si>
    <t>808</t>
  </si>
  <si>
    <t>809</t>
  </si>
  <si>
    <t>811</t>
  </si>
  <si>
    <t>812</t>
  </si>
  <si>
    <t>813</t>
  </si>
  <si>
    <t>815</t>
  </si>
  <si>
    <t>816</t>
  </si>
  <si>
    <t>817</t>
  </si>
  <si>
    <t>819</t>
  </si>
  <si>
    <t>820</t>
  </si>
  <si>
    <t>823</t>
  </si>
  <si>
    <t>824</t>
  </si>
  <si>
    <t>825</t>
  </si>
  <si>
    <t>826</t>
  </si>
  <si>
    <t>827</t>
  </si>
  <si>
    <t>828</t>
  </si>
  <si>
    <t>829</t>
  </si>
  <si>
    <t>830</t>
  </si>
  <si>
    <t>832</t>
  </si>
  <si>
    <t>833</t>
  </si>
  <si>
    <t>834</t>
  </si>
  <si>
    <t>836</t>
  </si>
  <si>
    <t>837</t>
  </si>
  <si>
    <t>838</t>
  </si>
  <si>
    <t>840</t>
  </si>
  <si>
    <t>842</t>
  </si>
  <si>
    <t>843</t>
  </si>
  <si>
    <t>844</t>
  </si>
  <si>
    <t>845</t>
  </si>
  <si>
    <t>846</t>
  </si>
  <si>
    <t>847</t>
  </si>
  <si>
    <t>848</t>
  </si>
  <si>
    <t>850</t>
  </si>
  <si>
    <t>851</t>
  </si>
  <si>
    <t>852</t>
  </si>
  <si>
    <t>854</t>
  </si>
  <si>
    <t>855</t>
  </si>
  <si>
    <t>856</t>
  </si>
  <si>
    <t>857</t>
  </si>
  <si>
    <t>859</t>
  </si>
  <si>
    <t>861</t>
  </si>
  <si>
    <t>862</t>
  </si>
  <si>
    <t>864</t>
  </si>
  <si>
    <t>865</t>
  </si>
  <si>
    <t>867</t>
  </si>
  <si>
    <t>868</t>
  </si>
  <si>
    <t>869</t>
  </si>
  <si>
    <t>872</t>
  </si>
  <si>
    <t>874</t>
  </si>
  <si>
    <t>875</t>
  </si>
  <si>
    <t>878</t>
  </si>
  <si>
    <t>879</t>
  </si>
  <si>
    <t>880</t>
  </si>
  <si>
    <t>881</t>
  </si>
  <si>
    <t>882</t>
  </si>
  <si>
    <t>885</t>
  </si>
  <si>
    <t>887</t>
  </si>
  <si>
    <t>888</t>
  </si>
  <si>
    <t>889</t>
  </si>
  <si>
    <t>893</t>
  </si>
  <si>
    <t>894</t>
  </si>
  <si>
    <t>895</t>
  </si>
  <si>
    <t>896</t>
  </si>
  <si>
    <t>897</t>
  </si>
  <si>
    <t>899</t>
  </si>
  <si>
    <t>900</t>
  </si>
  <si>
    <t>901</t>
  </si>
  <si>
    <t>902</t>
  </si>
  <si>
    <t>903</t>
  </si>
  <si>
    <t>904</t>
  </si>
  <si>
    <t>905</t>
  </si>
  <si>
    <t>909</t>
  </si>
  <si>
    <t>910</t>
  </si>
  <si>
    <t>911</t>
  </si>
  <si>
    <t>912</t>
  </si>
  <si>
    <t>913</t>
  </si>
  <si>
    <t>916</t>
  </si>
  <si>
    <t>918</t>
  </si>
  <si>
    <t>920</t>
  </si>
  <si>
    <t>922</t>
  </si>
  <si>
    <t>923</t>
  </si>
  <si>
    <t>924</t>
  </si>
  <si>
    <t>925</t>
  </si>
  <si>
    <t>926</t>
  </si>
  <si>
    <t>927</t>
  </si>
  <si>
    <t>930</t>
  </si>
  <si>
    <t>932</t>
  </si>
  <si>
    <t>933</t>
  </si>
  <si>
    <t>934</t>
  </si>
  <si>
    <t>936</t>
  </si>
  <si>
    <t>939</t>
  </si>
  <si>
    <t>940</t>
  </si>
  <si>
    <t>941</t>
  </si>
  <si>
    <t>942</t>
  </si>
  <si>
    <t>944</t>
  </si>
  <si>
    <t>945</t>
  </si>
  <si>
    <t>947</t>
  </si>
  <si>
    <t>949</t>
  </si>
  <si>
    <t>950</t>
  </si>
  <si>
    <t>951</t>
  </si>
  <si>
    <t>952</t>
  </si>
  <si>
    <t>954</t>
  </si>
  <si>
    <t>956</t>
  </si>
  <si>
    <t>957</t>
  </si>
  <si>
    <t>958</t>
  </si>
  <si>
    <t>959</t>
  </si>
  <si>
    <t>960</t>
  </si>
  <si>
    <t>961</t>
  </si>
  <si>
    <t>964</t>
  </si>
  <si>
    <t>966</t>
  </si>
  <si>
    <t>967</t>
  </si>
  <si>
    <t>969</t>
  </si>
  <si>
    <t>970</t>
  </si>
  <si>
    <t>972</t>
  </si>
  <si>
    <t>974</t>
  </si>
  <si>
    <t>975</t>
  </si>
  <si>
    <t>976</t>
  </si>
  <si>
    <t>977</t>
  </si>
  <si>
    <t>981</t>
  </si>
  <si>
    <t>982</t>
  </si>
  <si>
    <t>983</t>
  </si>
  <si>
    <t>984</t>
  </si>
  <si>
    <t>985</t>
  </si>
  <si>
    <t>986</t>
  </si>
  <si>
    <t>987</t>
  </si>
  <si>
    <t>990</t>
  </si>
  <si>
    <t>991</t>
  </si>
  <si>
    <t>992</t>
  </si>
  <si>
    <t>994</t>
  </si>
  <si>
    <t>995</t>
  </si>
  <si>
    <t>996</t>
  </si>
  <si>
    <t>997</t>
  </si>
  <si>
    <t>998</t>
  </si>
  <si>
    <t>999</t>
  </si>
  <si>
    <t>1001</t>
  </si>
  <si>
    <t>1002</t>
  </si>
  <si>
    <t>1003</t>
  </si>
  <si>
    <t>1004</t>
  </si>
  <si>
    <t>1005</t>
  </si>
  <si>
    <t>1006</t>
  </si>
  <si>
    <t>1007</t>
  </si>
  <si>
    <t>1009</t>
  </si>
  <si>
    <t>1010</t>
  </si>
  <si>
    <t>1011</t>
  </si>
  <si>
    <t>1012</t>
  </si>
  <si>
    <t>1013</t>
  </si>
  <si>
    <t>1014</t>
  </si>
  <si>
    <t>1015</t>
  </si>
  <si>
    <t>1016</t>
  </si>
  <si>
    <t>1017</t>
  </si>
  <si>
    <t>1018</t>
  </si>
  <si>
    <t>1019</t>
  </si>
  <si>
    <t>1022</t>
  </si>
  <si>
    <t>1024</t>
  </si>
  <si>
    <t>1025</t>
  </si>
  <si>
    <t>1026</t>
  </si>
  <si>
    <t>1027</t>
  </si>
  <si>
    <t>1028</t>
  </si>
  <si>
    <t>1029</t>
  </si>
  <si>
    <t>1030</t>
  </si>
  <si>
    <t>1032</t>
  </si>
  <si>
    <t>1033</t>
  </si>
  <si>
    <t>1034</t>
  </si>
  <si>
    <t>1035</t>
  </si>
  <si>
    <t>1036</t>
  </si>
  <si>
    <t>1037</t>
  </si>
  <si>
    <t>1038</t>
  </si>
  <si>
    <t>1039</t>
  </si>
  <si>
    <t>1040</t>
  </si>
  <si>
    <t>1042</t>
  </si>
  <si>
    <t>1043</t>
  </si>
  <si>
    <t>1044</t>
  </si>
  <si>
    <t>1045</t>
  </si>
  <si>
    <t>1046</t>
  </si>
  <si>
    <t>1047</t>
  </si>
  <si>
    <t>1048</t>
  </si>
  <si>
    <t>1049</t>
  </si>
  <si>
    <t>1050</t>
  </si>
  <si>
    <t>1052</t>
  </si>
  <si>
    <t>1053</t>
  </si>
  <si>
    <t>1055</t>
  </si>
  <si>
    <t>1056</t>
  </si>
  <si>
    <t>1060</t>
  </si>
  <si>
    <t>1061</t>
  </si>
  <si>
    <t>1062</t>
  </si>
  <si>
    <t>1066</t>
  </si>
  <si>
    <t>1068</t>
  </si>
  <si>
    <t>1069</t>
  </si>
  <si>
    <t>1070</t>
  </si>
  <si>
    <t>1071</t>
  </si>
  <si>
    <t>1073</t>
  </si>
  <si>
    <t>1074</t>
  </si>
  <si>
    <t>1076</t>
  </si>
  <si>
    <t>1077</t>
  </si>
  <si>
    <t>1079</t>
  </si>
  <si>
    <t>1080</t>
  </si>
  <si>
    <t>1081</t>
  </si>
  <si>
    <t>1082</t>
  </si>
  <si>
    <t>1083</t>
  </si>
  <si>
    <t>1084</t>
  </si>
  <si>
    <t>1085</t>
  </si>
  <si>
    <t>1088</t>
  </si>
  <si>
    <t>1092</t>
  </si>
  <si>
    <t>1094</t>
  </si>
  <si>
    <t>1096</t>
  </si>
  <si>
    <t>1097</t>
  </si>
  <si>
    <t>1098</t>
  </si>
  <si>
    <t>1099</t>
  </si>
  <si>
    <t>1100</t>
  </si>
  <si>
    <t>1101</t>
  </si>
  <si>
    <t>1102</t>
  </si>
  <si>
    <t>1103</t>
  </si>
  <si>
    <t>1105</t>
  </si>
  <si>
    <t>1106</t>
  </si>
  <si>
    <t>1107</t>
  </si>
  <si>
    <t>1108</t>
  </si>
  <si>
    <t>1109</t>
  </si>
  <si>
    <t>1111</t>
  </si>
  <si>
    <t>1113</t>
  </si>
  <si>
    <t>1114</t>
  </si>
  <si>
    <t>1115</t>
  </si>
  <si>
    <t>1116</t>
  </si>
  <si>
    <t>1117</t>
  </si>
  <si>
    <t>1118</t>
  </si>
  <si>
    <t>1119</t>
  </si>
  <si>
    <t>1120</t>
  </si>
  <si>
    <t>1121</t>
  </si>
  <si>
    <t>1124</t>
  </si>
  <si>
    <t>1125</t>
  </si>
  <si>
    <t>1126</t>
  </si>
  <si>
    <t>1127</t>
  </si>
  <si>
    <t>1128</t>
  </si>
  <si>
    <t>1131</t>
  </si>
  <si>
    <t>1132</t>
  </si>
  <si>
    <t>1133</t>
  </si>
  <si>
    <t>1135</t>
  </si>
  <si>
    <t>1136</t>
  </si>
  <si>
    <t>1137</t>
  </si>
  <si>
    <t>1138</t>
  </si>
  <si>
    <t>1140</t>
  </si>
  <si>
    <t>1143</t>
  </si>
  <si>
    <t>1148</t>
  </si>
  <si>
    <t>1150</t>
  </si>
  <si>
    <t>1152</t>
  </si>
  <si>
    <t>1154</t>
  </si>
  <si>
    <t>1156</t>
  </si>
  <si>
    <t>1157</t>
  </si>
  <si>
    <t>1158</t>
  </si>
  <si>
    <t>1160</t>
  </si>
  <si>
    <t>1161</t>
  </si>
  <si>
    <t>1162</t>
  </si>
  <si>
    <t>1163</t>
  </si>
  <si>
    <t>1164</t>
  </si>
  <si>
    <t>1165</t>
  </si>
  <si>
    <t>1166</t>
  </si>
  <si>
    <t>1167</t>
  </si>
  <si>
    <t>1171</t>
  </si>
  <si>
    <t>1172</t>
  </si>
  <si>
    <t>1173</t>
  </si>
  <si>
    <t>1175</t>
  </si>
  <si>
    <t>1177</t>
  </si>
  <si>
    <t>1179</t>
  </si>
  <si>
    <t>1180</t>
  </si>
  <si>
    <t>1182</t>
  </si>
  <si>
    <t>1184</t>
  </si>
  <si>
    <t>1185</t>
  </si>
  <si>
    <t>1188</t>
  </si>
  <si>
    <t>1190</t>
  </si>
  <si>
    <t>1191</t>
  </si>
  <si>
    <t>1192</t>
  </si>
  <si>
    <t>1193</t>
  </si>
  <si>
    <t>1195</t>
  </si>
  <si>
    <t>1196</t>
  </si>
  <si>
    <t>1198</t>
  </si>
  <si>
    <t>1200</t>
  </si>
  <si>
    <t>1201</t>
  </si>
  <si>
    <t>1202</t>
  </si>
  <si>
    <t>1203</t>
  </si>
  <si>
    <t>1204</t>
  </si>
  <si>
    <t>1206</t>
  </si>
  <si>
    <t>1207</t>
  </si>
  <si>
    <t>1210</t>
  </si>
  <si>
    <t>1211</t>
  </si>
  <si>
    <t>1212</t>
  </si>
  <si>
    <t>1215</t>
  </si>
  <si>
    <t>1216</t>
  </si>
  <si>
    <t>1217</t>
  </si>
  <si>
    <t>1218</t>
  </si>
  <si>
    <t>1219</t>
  </si>
  <si>
    <t>1220</t>
  </si>
  <si>
    <t>1221</t>
  </si>
  <si>
    <t>1224</t>
  </si>
  <si>
    <t>1225</t>
  </si>
  <si>
    <t>1226</t>
  </si>
  <si>
    <t>1228</t>
  </si>
  <si>
    <t>1231</t>
  </si>
  <si>
    <t>1233</t>
  </si>
  <si>
    <t>1234</t>
  </si>
  <si>
    <t>1235</t>
  </si>
  <si>
    <t>1237</t>
  </si>
  <si>
    <t>1238</t>
  </si>
  <si>
    <t>1239</t>
  </si>
  <si>
    <t>1240</t>
  </si>
  <si>
    <t>1241</t>
  </si>
  <si>
    <t>1242</t>
  </si>
  <si>
    <t>1243</t>
  </si>
  <si>
    <t>1244</t>
  </si>
  <si>
    <t>1245</t>
  </si>
  <si>
    <t>1246</t>
  </si>
  <si>
    <t>1248</t>
  </si>
  <si>
    <t>1249</t>
  </si>
  <si>
    <t>1250</t>
  </si>
  <si>
    <t>1251</t>
  </si>
  <si>
    <t>1252</t>
  </si>
  <si>
    <t>1254</t>
  </si>
  <si>
    <t>1255</t>
  </si>
  <si>
    <t>1256</t>
  </si>
  <si>
    <t>1257</t>
  </si>
  <si>
    <t>1258</t>
  </si>
  <si>
    <t>1259</t>
  </si>
  <si>
    <t>1260</t>
  </si>
  <si>
    <t>1263</t>
  </si>
  <si>
    <t>1264</t>
  </si>
  <si>
    <t>1265</t>
  </si>
  <si>
    <t>1267</t>
  </si>
  <si>
    <t>1268</t>
  </si>
  <si>
    <t>1269</t>
  </si>
  <si>
    <t>1270</t>
  </si>
  <si>
    <t>1273</t>
  </si>
  <si>
    <t>1275</t>
  </si>
  <si>
    <t>1277</t>
  </si>
  <si>
    <t>1278</t>
  </si>
  <si>
    <t>1279</t>
  </si>
  <si>
    <t>1280</t>
  </si>
  <si>
    <t>1281</t>
  </si>
  <si>
    <t>1282</t>
  </si>
  <si>
    <t>1283</t>
  </si>
  <si>
    <t>1285</t>
  </si>
  <si>
    <t>1286</t>
  </si>
  <si>
    <t>1288</t>
  </si>
  <si>
    <t>1289</t>
  </si>
  <si>
    <t>1291</t>
  </si>
  <si>
    <t>1292</t>
  </si>
  <si>
    <t>1293</t>
  </si>
  <si>
    <t>1294</t>
  </si>
  <si>
    <t>1295</t>
  </si>
  <si>
    <t>1296</t>
  </si>
  <si>
    <t>1297</t>
  </si>
  <si>
    <t>1298</t>
  </si>
  <si>
    <t>1299</t>
  </si>
  <si>
    <t>1301</t>
  </si>
  <si>
    <t>1303</t>
  </si>
  <si>
    <t>1304</t>
  </si>
  <si>
    <t>1306</t>
  </si>
  <si>
    <t>1307</t>
  </si>
  <si>
    <t>1308</t>
  </si>
  <si>
    <t>1309</t>
  </si>
  <si>
    <t>1310</t>
  </si>
  <si>
    <t>1311</t>
  </si>
  <si>
    <t>1312</t>
  </si>
  <si>
    <t>1314</t>
  </si>
  <si>
    <t>1315</t>
  </si>
  <si>
    <t>1317</t>
  </si>
  <si>
    <t>1318</t>
  </si>
  <si>
    <t>1319</t>
  </si>
  <si>
    <t>1321</t>
  </si>
  <si>
    <t>1322</t>
  </si>
  <si>
    <t>1324</t>
  </si>
  <si>
    <t>1329</t>
  </si>
  <si>
    <t>1331</t>
  </si>
  <si>
    <t>1333</t>
  </si>
  <si>
    <t>1334</t>
  </si>
  <si>
    <t>1336</t>
  </si>
  <si>
    <t>1338</t>
  </si>
  <si>
    <t>1340</t>
  </si>
  <si>
    <t>1344</t>
  </si>
  <si>
    <t>1346</t>
  </si>
  <si>
    <t>1349</t>
  </si>
  <si>
    <t>1350</t>
  </si>
  <si>
    <t>1352</t>
  </si>
  <si>
    <t>1355</t>
  </si>
  <si>
    <t>1356</t>
  </si>
  <si>
    <t>1358</t>
  </si>
  <si>
    <t>1360</t>
  </si>
  <si>
    <t>1361</t>
  </si>
  <si>
    <t>1362</t>
  </si>
  <si>
    <t>1363</t>
  </si>
  <si>
    <t>1364</t>
  </si>
  <si>
    <t>1367</t>
  </si>
  <si>
    <t>1368</t>
  </si>
  <si>
    <t>1369</t>
  </si>
  <si>
    <t>1371</t>
  </si>
  <si>
    <t>1372</t>
  </si>
  <si>
    <t>1373</t>
  </si>
  <si>
    <t>1374</t>
  </si>
  <si>
    <t>1375</t>
  </si>
  <si>
    <t>1377</t>
  </si>
  <si>
    <t>1379</t>
  </si>
  <si>
    <t>1380</t>
  </si>
  <si>
    <t>1382</t>
  </si>
  <si>
    <t>1383</t>
  </si>
  <si>
    <t>1387</t>
  </si>
  <si>
    <t>1389</t>
  </si>
  <si>
    <t>1390</t>
  </si>
  <si>
    <t>1391</t>
  </si>
  <si>
    <t>1392</t>
  </si>
  <si>
    <t>1394</t>
  </si>
  <si>
    <t>1395</t>
  </si>
  <si>
    <t>1396</t>
  </si>
  <si>
    <t>1397</t>
  </si>
  <si>
    <t>1399</t>
  </si>
  <si>
    <t>1401</t>
  </si>
  <si>
    <t>1402</t>
  </si>
  <si>
    <t>1403</t>
  </si>
  <si>
    <t>1405</t>
  </si>
  <si>
    <t>1407</t>
  </si>
  <si>
    <t>1408</t>
  </si>
  <si>
    <t>1409</t>
  </si>
  <si>
    <t>1411</t>
  </si>
  <si>
    <t>1412</t>
  </si>
  <si>
    <t>1415</t>
  </si>
  <si>
    <t>1417</t>
  </si>
  <si>
    <t>1419</t>
  </si>
  <si>
    <t>1420</t>
  </si>
  <si>
    <t>1421</t>
  </si>
  <si>
    <t>1422</t>
  </si>
  <si>
    <t>1423</t>
  </si>
  <si>
    <t>1424</t>
  </si>
  <si>
    <t>1425</t>
  </si>
  <si>
    <t>1427</t>
  </si>
  <si>
    <t>1428</t>
  </si>
  <si>
    <t>1430</t>
  </si>
  <si>
    <t>1431</t>
  </si>
  <si>
    <t>1433</t>
  </si>
  <si>
    <t>1434</t>
  </si>
  <si>
    <t>1435</t>
  </si>
  <si>
    <t>1436</t>
  </si>
  <si>
    <t>1438</t>
  </si>
  <si>
    <t>1439</t>
  </si>
  <si>
    <t>1440</t>
  </si>
  <si>
    <t>1441</t>
  </si>
  <si>
    <t>1443</t>
  </si>
  <si>
    <t>1445</t>
  </si>
  <si>
    <t>1446</t>
  </si>
  <si>
    <t>1447</t>
  </si>
  <si>
    <t>1448</t>
  </si>
  <si>
    <t>1449</t>
  </si>
  <si>
    <t>1453</t>
  </si>
  <si>
    <t>1457</t>
  </si>
  <si>
    <t>1458</t>
  </si>
  <si>
    <t>1459</t>
  </si>
  <si>
    <t>1460</t>
  </si>
  <si>
    <t>1461</t>
  </si>
  <si>
    <t>1464</t>
  </si>
  <si>
    <t>1465</t>
  </si>
  <si>
    <t>1466</t>
  </si>
  <si>
    <t>1467</t>
  </si>
  <si>
    <t>1468</t>
  </si>
  <si>
    <t>1469</t>
  </si>
  <si>
    <t>1471</t>
  </si>
  <si>
    <t>1472</t>
  </si>
  <si>
    <t>1473</t>
  </si>
  <si>
    <t>1474</t>
  </si>
  <si>
    <t>1475</t>
  </si>
  <si>
    <t>1477</t>
  </si>
  <si>
    <t>1478</t>
  </si>
  <si>
    <t>1479</t>
  </si>
  <si>
    <t>1480</t>
  </si>
  <si>
    <t>1481</t>
  </si>
  <si>
    <t>1482</t>
  </si>
  <si>
    <t>1483</t>
  </si>
  <si>
    <t>1484</t>
  </si>
  <si>
    <t>1485</t>
  </si>
  <si>
    <t>1486</t>
  </si>
  <si>
    <t>1487</t>
  </si>
  <si>
    <t>1489</t>
  </si>
  <si>
    <t>1492</t>
  </si>
  <si>
    <t>1494</t>
  </si>
  <si>
    <t>1495</t>
  </si>
  <si>
    <t>1496</t>
  </si>
  <si>
    <t>1497</t>
  </si>
  <si>
    <t>1499</t>
  </si>
  <si>
    <t>1501</t>
  </si>
  <si>
    <t>1502</t>
  </si>
  <si>
    <t>1503</t>
  </si>
  <si>
    <t>1504</t>
  </si>
  <si>
    <t>1506</t>
  </si>
  <si>
    <t>1507</t>
  </si>
  <si>
    <t>1509</t>
  </si>
  <si>
    <t>1513</t>
  </si>
  <si>
    <t>1514</t>
  </si>
  <si>
    <t>1515</t>
  </si>
  <si>
    <t>1516</t>
  </si>
  <si>
    <t>1520</t>
  </si>
  <si>
    <t>1522</t>
  </si>
  <si>
    <t>1523</t>
  </si>
  <si>
    <t>1525</t>
  </si>
  <si>
    <t>1527</t>
  </si>
  <si>
    <t>1529</t>
  </si>
  <si>
    <t>1533</t>
  </si>
  <si>
    <t>1534</t>
  </si>
  <si>
    <t>1535</t>
  </si>
  <si>
    <t>1537</t>
  </si>
  <si>
    <t>1539</t>
  </si>
  <si>
    <t>1541</t>
  </si>
  <si>
    <t>1542</t>
  </si>
  <si>
    <t>1543</t>
  </si>
  <si>
    <t>1544</t>
  </si>
  <si>
    <t>1545</t>
  </si>
  <si>
    <t>1546</t>
  </si>
  <si>
    <t>1547</t>
  </si>
  <si>
    <t>1548</t>
  </si>
  <si>
    <t>1549</t>
  </si>
  <si>
    <t>1550</t>
  </si>
  <si>
    <t>1551</t>
  </si>
  <si>
    <t>1552</t>
  </si>
  <si>
    <t>1553</t>
  </si>
  <si>
    <t>1554</t>
  </si>
  <si>
    <t>1555</t>
  </si>
  <si>
    <t>1556</t>
  </si>
  <si>
    <t>1557</t>
  </si>
  <si>
    <t>1558</t>
  </si>
  <si>
    <t>1560</t>
  </si>
  <si>
    <t>1562</t>
  </si>
  <si>
    <t>1563</t>
  </si>
  <si>
    <t>1564</t>
  </si>
  <si>
    <t>1568</t>
  </si>
  <si>
    <t>1569</t>
  </si>
  <si>
    <t>1572</t>
  </si>
  <si>
    <t>1573</t>
  </si>
  <si>
    <t>1574</t>
  </si>
  <si>
    <t>1576</t>
  </si>
  <si>
    <t>1577</t>
  </si>
  <si>
    <t>1578</t>
  </si>
  <si>
    <t>1580</t>
  </si>
  <si>
    <t>1581</t>
  </si>
  <si>
    <t>1582</t>
  </si>
  <si>
    <t>1583</t>
  </si>
  <si>
    <t>1585</t>
  </si>
  <si>
    <t>1586</t>
  </si>
  <si>
    <t>1587</t>
  </si>
  <si>
    <t>1588</t>
  </si>
  <si>
    <t>1590</t>
  </si>
  <si>
    <t>1591</t>
  </si>
  <si>
    <t>1592</t>
  </si>
  <si>
    <t>1594</t>
  </si>
  <si>
    <t>1595</t>
  </si>
  <si>
    <t>1596</t>
  </si>
  <si>
    <t>1597</t>
  </si>
  <si>
    <t>1598</t>
  </si>
  <si>
    <t>1599</t>
  </si>
  <si>
    <t>1601</t>
  </si>
  <si>
    <t>1602</t>
  </si>
  <si>
    <t>1604</t>
  </si>
  <si>
    <t>1605</t>
  </si>
  <si>
    <t>1606</t>
  </si>
  <si>
    <t>1607</t>
  </si>
  <si>
    <t>1608</t>
  </si>
  <si>
    <t>1609</t>
  </si>
  <si>
    <t>1611</t>
  </si>
  <si>
    <t>1612</t>
  </si>
  <si>
    <t>1613</t>
  </si>
  <si>
    <t>1614</t>
  </si>
  <si>
    <t>1615</t>
  </si>
  <si>
    <t>1617</t>
  </si>
  <si>
    <t>1618</t>
  </si>
  <si>
    <t>1619</t>
  </si>
  <si>
    <t>1621</t>
  </si>
  <si>
    <t>1622</t>
  </si>
  <si>
    <t>1623</t>
  </si>
  <si>
    <t>1624</t>
  </si>
  <si>
    <t>1625</t>
  </si>
  <si>
    <t>1627</t>
  </si>
  <si>
    <t>1628</t>
  </si>
  <si>
    <t>1630</t>
  </si>
  <si>
    <t>1631</t>
  </si>
  <si>
    <t>1633</t>
  </si>
  <si>
    <t>1635</t>
  </si>
  <si>
    <t>1638</t>
  </si>
  <si>
    <t>1639</t>
  </si>
  <si>
    <t>1640</t>
  </si>
  <si>
    <t>1641</t>
  </si>
  <si>
    <t>1642</t>
  </si>
  <si>
    <t>1644</t>
  </si>
  <si>
    <t>1645</t>
  </si>
  <si>
    <t>1646</t>
  </si>
  <si>
    <t>1647</t>
  </si>
  <si>
    <t>1648</t>
  </si>
  <si>
    <t>1649</t>
  </si>
  <si>
    <t>1650</t>
  </si>
  <si>
    <t>1651</t>
  </si>
  <si>
    <t>1653</t>
  </si>
  <si>
    <t>1654</t>
  </si>
  <si>
    <t>1655</t>
  </si>
  <si>
    <t>1656</t>
  </si>
  <si>
    <t>1657</t>
  </si>
  <si>
    <t>1658</t>
  </si>
  <si>
    <t>1659</t>
  </si>
  <si>
    <t>1661</t>
  </si>
  <si>
    <t>1662</t>
  </si>
  <si>
    <t>1664</t>
  </si>
  <si>
    <t>1665</t>
  </si>
  <si>
    <t>1666</t>
  </si>
  <si>
    <t>1667</t>
  </si>
  <si>
    <t>1668</t>
  </si>
  <si>
    <t>1669</t>
  </si>
  <si>
    <t>1670</t>
  </si>
  <si>
    <t>1671</t>
  </si>
  <si>
    <t>1673</t>
  </si>
  <si>
    <t>1674</t>
  </si>
  <si>
    <t>1675</t>
  </si>
  <si>
    <t>1676</t>
  </si>
  <si>
    <t>1677</t>
  </si>
  <si>
    <t>1678</t>
  </si>
  <si>
    <t>1680</t>
  </si>
  <si>
    <t>1681</t>
  </si>
  <si>
    <t>1682</t>
  </si>
  <si>
    <t>1683</t>
  </si>
  <si>
    <t>1684</t>
  </si>
  <si>
    <t>1687</t>
  </si>
  <si>
    <t>1689</t>
  </si>
  <si>
    <t>1691</t>
  </si>
  <si>
    <t>1692</t>
  </si>
  <si>
    <t>1693</t>
  </si>
  <si>
    <t>1694</t>
  </si>
  <si>
    <t>1696</t>
  </si>
  <si>
    <t>1697</t>
  </si>
  <si>
    <t>1698</t>
  </si>
  <si>
    <t>1700</t>
  </si>
  <si>
    <t>1701</t>
  </si>
  <si>
    <t>1702</t>
  </si>
  <si>
    <t>1703</t>
  </si>
  <si>
    <t>1704</t>
  </si>
  <si>
    <t>1706</t>
  </si>
  <si>
    <t>1707</t>
  </si>
  <si>
    <t>1708</t>
  </si>
  <si>
    <t>1709</t>
  </si>
  <si>
    <t>1710</t>
  </si>
  <si>
    <t>1712</t>
  </si>
  <si>
    <t>1714</t>
  </si>
  <si>
    <t>1716</t>
  </si>
  <si>
    <t>1718</t>
  </si>
  <si>
    <t>1719</t>
  </si>
  <si>
    <t>1720</t>
  </si>
  <si>
    <t>1721</t>
  </si>
  <si>
    <t>1722</t>
  </si>
  <si>
    <t>1724</t>
  </si>
  <si>
    <t>1725</t>
  </si>
  <si>
    <t>1727</t>
  </si>
  <si>
    <t>1728</t>
  </si>
  <si>
    <t>1729</t>
  </si>
  <si>
    <t>1731</t>
  </si>
  <si>
    <t>1732</t>
  </si>
  <si>
    <t>1733</t>
  </si>
  <si>
    <t>1734</t>
  </si>
  <si>
    <t>1735</t>
  </si>
  <si>
    <t>1736</t>
  </si>
  <si>
    <t>1737</t>
  </si>
  <si>
    <t>1739</t>
  </si>
  <si>
    <t>1740</t>
  </si>
  <si>
    <t>1744</t>
  </si>
  <si>
    <t>1745</t>
  </si>
  <si>
    <t>1746</t>
  </si>
  <si>
    <t>1747</t>
  </si>
  <si>
    <t>1749</t>
  </si>
  <si>
    <t>1751</t>
  </si>
  <si>
    <t>1752</t>
  </si>
  <si>
    <t>1753</t>
  </si>
  <si>
    <t>1754</t>
  </si>
  <si>
    <t>1755</t>
  </si>
  <si>
    <t>1756</t>
  </si>
  <si>
    <t>1757</t>
  </si>
  <si>
    <t>1758</t>
  </si>
  <si>
    <t>1760</t>
  </si>
  <si>
    <t>1761</t>
  </si>
  <si>
    <t>1762</t>
  </si>
  <si>
    <t>1763</t>
  </si>
  <si>
    <t>1764</t>
  </si>
  <si>
    <t>1766</t>
  </si>
  <si>
    <t>1767</t>
  </si>
  <si>
    <t>1768</t>
  </si>
  <si>
    <t>1770</t>
  </si>
  <si>
    <t>1771</t>
  </si>
  <si>
    <t>1772</t>
  </si>
  <si>
    <t>1774</t>
  </si>
  <si>
    <t>1775</t>
  </si>
  <si>
    <t>1778</t>
  </si>
  <si>
    <t>1779</t>
  </si>
  <si>
    <t>1780</t>
  </si>
  <si>
    <t>1782</t>
  </si>
  <si>
    <t>1783</t>
  </si>
  <si>
    <t>1784</t>
  </si>
  <si>
    <t>1786</t>
  </si>
  <si>
    <t>1787</t>
  </si>
  <si>
    <t>1789</t>
  </si>
  <si>
    <t>1790</t>
  </si>
  <si>
    <t>1792</t>
  </si>
  <si>
    <t>1794</t>
  </si>
  <si>
    <t>1797</t>
  </si>
  <si>
    <t>1798</t>
  </si>
  <si>
    <t>1799</t>
  </si>
  <si>
    <t>1800</t>
  </si>
  <si>
    <t>1801</t>
  </si>
  <si>
    <t>1802</t>
  </si>
  <si>
    <t>1803</t>
  </si>
  <si>
    <t>1804</t>
  </si>
  <si>
    <t>1805</t>
  </si>
  <si>
    <t>1807</t>
  </si>
  <si>
    <t>1809</t>
  </si>
  <si>
    <t>1812</t>
  </si>
  <si>
    <t>1813</t>
  </si>
  <si>
    <t>1814</t>
  </si>
  <si>
    <t>1815</t>
  </si>
  <si>
    <t>1816</t>
  </si>
  <si>
    <t>1818</t>
  </si>
  <si>
    <t>1821</t>
  </si>
  <si>
    <t>1822</t>
  </si>
  <si>
    <t>1823</t>
  </si>
  <si>
    <t>1824</t>
  </si>
  <si>
    <t>1826</t>
  </si>
  <si>
    <t>1827</t>
  </si>
  <si>
    <t>1829</t>
  </si>
  <si>
    <t>1830</t>
  </si>
  <si>
    <t>1833</t>
  </si>
  <si>
    <t>1834</t>
  </si>
  <si>
    <t>1835</t>
  </si>
  <si>
    <t>1836</t>
  </si>
  <si>
    <t>1837</t>
  </si>
  <si>
    <t>1839</t>
  </si>
  <si>
    <t>1842</t>
  </si>
  <si>
    <t>1844</t>
  </si>
  <si>
    <t>1845</t>
  </si>
  <si>
    <t>1847</t>
  </si>
  <si>
    <t>1849</t>
  </si>
  <si>
    <t>1850</t>
  </si>
  <si>
    <t>1852</t>
  </si>
  <si>
    <t>1853</t>
  </si>
  <si>
    <t>1854</t>
  </si>
  <si>
    <t>1856</t>
  </si>
  <si>
    <t>1857</t>
  </si>
  <si>
    <t>1858</t>
  </si>
  <si>
    <t>1859</t>
  </si>
  <si>
    <t>1860</t>
  </si>
  <si>
    <t>1862</t>
  </si>
  <si>
    <t>1863</t>
  </si>
  <si>
    <t>1864</t>
  </si>
  <si>
    <t>1865</t>
  </si>
  <si>
    <t>1866</t>
  </si>
  <si>
    <t>1867</t>
  </si>
  <si>
    <t>1868</t>
  </si>
  <si>
    <t>1869</t>
  </si>
  <si>
    <t>1870</t>
  </si>
  <si>
    <t>1871</t>
  </si>
  <si>
    <t>1873</t>
  </si>
  <si>
    <t>1875</t>
  </si>
  <si>
    <t>1876</t>
  </si>
  <si>
    <t>1878</t>
  </si>
  <si>
    <t>1880</t>
  </si>
  <si>
    <t>1881</t>
  </si>
  <si>
    <t>1882</t>
  </si>
  <si>
    <t>1883</t>
  </si>
  <si>
    <t>1885</t>
  </si>
  <si>
    <t>1886</t>
  </si>
  <si>
    <t>1888</t>
  </si>
  <si>
    <t>1890</t>
  </si>
  <si>
    <t>1892</t>
  </si>
  <si>
    <t>1893</t>
  </si>
  <si>
    <t>1898</t>
  </si>
  <si>
    <t>1900</t>
  </si>
  <si>
    <t>1903</t>
  </si>
  <si>
    <t>1905</t>
  </si>
  <si>
    <t>1907</t>
  </si>
  <si>
    <t>1908</t>
  </si>
  <si>
    <t>1909</t>
  </si>
  <si>
    <t>1911</t>
  </si>
  <si>
    <t>1912</t>
  </si>
  <si>
    <t>1915</t>
  </si>
  <si>
    <t>1916</t>
  </si>
  <si>
    <t>1918</t>
  </si>
  <si>
    <t>1922</t>
  </si>
  <si>
    <t>1924</t>
  </si>
  <si>
    <t>1927</t>
  </si>
  <si>
    <t>1928</t>
  </si>
  <si>
    <t>1929</t>
  </si>
  <si>
    <t>1931</t>
  </si>
  <si>
    <t>1932</t>
  </si>
  <si>
    <t>1933</t>
  </si>
  <si>
    <t>1934</t>
  </si>
  <si>
    <t>1935</t>
  </si>
  <si>
    <t>1936</t>
  </si>
  <si>
    <t>1937</t>
  </si>
  <si>
    <t>1938</t>
  </si>
  <si>
    <t>1939</t>
  </si>
  <si>
    <t>1940</t>
  </si>
  <si>
    <t>1941</t>
  </si>
  <si>
    <t>1943</t>
  </si>
  <si>
    <t>1944</t>
  </si>
  <si>
    <t>1945</t>
  </si>
  <si>
    <t>1947</t>
  </si>
  <si>
    <t>1948</t>
  </si>
  <si>
    <t>1949</t>
  </si>
  <si>
    <t>1950</t>
  </si>
  <si>
    <t>1951</t>
  </si>
  <si>
    <t>1952</t>
  </si>
  <si>
    <t>1954</t>
  </si>
  <si>
    <t>1955</t>
  </si>
  <si>
    <t>1956</t>
  </si>
  <si>
    <t>1960</t>
  </si>
  <si>
    <t>1961</t>
  </si>
  <si>
    <t>1962</t>
  </si>
  <si>
    <t>1965</t>
  </si>
  <si>
    <t>1966</t>
  </si>
  <si>
    <t>1967</t>
  </si>
  <si>
    <t>1968</t>
  </si>
  <si>
    <t>1969</t>
  </si>
  <si>
    <t>1970</t>
  </si>
  <si>
    <t>1971</t>
  </si>
  <si>
    <t>1972</t>
  </si>
  <si>
    <t>1973</t>
  </si>
  <si>
    <t>1974</t>
  </si>
  <si>
    <t>1975</t>
  </si>
  <si>
    <t>1976</t>
  </si>
  <si>
    <t>1979</t>
  </si>
  <si>
    <t>1980</t>
  </si>
  <si>
    <t>1981</t>
  </si>
  <si>
    <t>1982</t>
  </si>
  <si>
    <t>1985</t>
  </si>
  <si>
    <t>1986</t>
  </si>
  <si>
    <t>1987</t>
  </si>
  <si>
    <t>1989</t>
  </si>
  <si>
    <t>1992</t>
  </si>
  <si>
    <t>1993</t>
  </si>
  <si>
    <t>1994</t>
  </si>
  <si>
    <t>1995</t>
  </si>
  <si>
    <t>1996</t>
  </si>
  <si>
    <t>1997</t>
  </si>
  <si>
    <t>1998</t>
  </si>
  <si>
    <t>1999</t>
  </si>
  <si>
    <t>2000</t>
  </si>
  <si>
    <t>2003</t>
  </si>
  <si>
    <t>2007</t>
  </si>
  <si>
    <t>2008</t>
  </si>
  <si>
    <t>2009</t>
  </si>
  <si>
    <t>2010</t>
  </si>
  <si>
    <t>2012</t>
  </si>
  <si>
    <t>2013</t>
  </si>
  <si>
    <t>2014</t>
  </si>
  <si>
    <t>2015</t>
  </si>
  <si>
    <t>2016</t>
  </si>
  <si>
    <t>2017</t>
  </si>
  <si>
    <t>2018</t>
  </si>
  <si>
    <t>2019</t>
  </si>
  <si>
    <t>2020</t>
  </si>
  <si>
    <t>2021</t>
  </si>
  <si>
    <t>2022</t>
  </si>
  <si>
    <t>2023</t>
  </si>
  <si>
    <t>2024</t>
  </si>
  <si>
    <t>2025</t>
  </si>
  <si>
    <t>2026</t>
  </si>
  <si>
    <t>2027</t>
  </si>
  <si>
    <t>2031</t>
  </si>
  <si>
    <t>2032</t>
  </si>
  <si>
    <t>2034</t>
  </si>
  <si>
    <t>2035</t>
  </si>
  <si>
    <t>2036</t>
  </si>
  <si>
    <t>2037</t>
  </si>
  <si>
    <t>2038</t>
  </si>
  <si>
    <t>2040</t>
  </si>
  <si>
    <t>2041</t>
  </si>
  <si>
    <t>2044</t>
  </si>
  <si>
    <t>2045</t>
  </si>
  <si>
    <t>2046</t>
  </si>
  <si>
    <t>2048</t>
  </si>
  <si>
    <t>2049</t>
  </si>
  <si>
    <t>2051</t>
  </si>
  <si>
    <t>2052</t>
  </si>
  <si>
    <t>2053</t>
  </si>
  <si>
    <t>2054</t>
  </si>
  <si>
    <t>2055</t>
  </si>
  <si>
    <t>2056</t>
  </si>
  <si>
    <t>2057</t>
  </si>
  <si>
    <t>2060</t>
  </si>
  <si>
    <t>2061</t>
  </si>
  <si>
    <t>2062</t>
  </si>
  <si>
    <t>2064</t>
  </si>
  <si>
    <t>2065</t>
  </si>
  <si>
    <t>2068</t>
  </si>
  <si>
    <t>Total Employees</t>
  </si>
  <si>
    <t>Employees Left</t>
  </si>
  <si>
    <t>Average_salary</t>
  </si>
  <si>
    <t>Employees_attrition_rate</t>
  </si>
  <si>
    <t>Grand Total</t>
  </si>
  <si>
    <t>Sum of Attrition_flag</t>
  </si>
  <si>
    <t>Overtime</t>
  </si>
  <si>
    <t>Job Role</t>
  </si>
  <si>
    <t>36-45</t>
  </si>
  <si>
    <t>26-35</t>
  </si>
  <si>
    <t>Income_band</t>
  </si>
  <si>
    <t>Experience</t>
  </si>
  <si>
    <t>Years_at_company</t>
  </si>
  <si>
    <t>Tenure_group</t>
  </si>
  <si>
    <t>10+</t>
  </si>
  <si>
    <t>6-10</t>
  </si>
  <si>
    <t>Active Employee</t>
  </si>
  <si>
    <t>Prepared By: Taniksha | Tools: Excel, Power Query, Pivot Tables, Pivot Charts, Slicers</t>
  </si>
  <si>
    <t>COUNTA(cleaned_data[EmployeeNumber])</t>
  </si>
  <si>
    <t>COUNTIF(cleaned_data[Attrition], "Yes")</t>
  </si>
  <si>
    <t>Employees Left/ Total Employees</t>
  </si>
  <si>
    <t>AVERAGE(cleaned_data[MonthlyIncome])</t>
  </si>
  <si>
    <t>COUNTIF('cleaned_data'!B2:B1471,"No")</t>
  </si>
  <si>
    <t>Formula</t>
  </si>
  <si>
    <t>KPI's</t>
  </si>
  <si>
    <t>Values</t>
  </si>
  <si>
    <t>Column1</t>
  </si>
  <si>
    <t>Column2</t>
  </si>
  <si>
    <t>Column3</t>
  </si>
  <si>
    <t>Column4</t>
  </si>
  <si>
    <t>Job Satisfaction</t>
  </si>
  <si>
    <t>Average_Tenure</t>
  </si>
  <si>
    <t>AVERAGE(cleaned_data[YearsAtCompany])</t>
  </si>
  <si>
    <t xml:space="preserve">Average Salary </t>
  </si>
  <si>
    <t>ROUND(AVERAGE(cleaned_data[MonthlyIncome]),2)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</si>
</sst>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3" x14ac:knownFonts="1">
    <font>
      <sz val="11"/>
      <color theme="1"/>
      <name val="Calibri"/>
      <family val="2"/>
      <scheme val="minor"/>
    </font>
    <font>
      <sz val="8"/>
      <name val="Calibri"/>
      <family val="2"/>
      <scheme val="minor"/>
    </font>
    <font>
      <i/>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2" fontId="0" fillId="0" borderId="0" xfId="0" applyNumberFormat="1"/>
    <xf numFmtId="0" fontId="2" fillId="0" borderId="0" xfId="0" applyFont="1" applyAlignment="1">
      <alignment horizontal="center"/>
    </xf>
    <xf numFmtId="0" fontId="0" fillId="0" borderId="0" xfId="0" applyAlignment="1">
      <alignment horizontal="center"/>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[Employee_attriton.xlsx]pivot_summary!PivotTable14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pivot_summary!$E$22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D7B-415E-97DC-D4655A66A42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D7B-415E-97DC-D4655A66A42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D7B-415E-97DC-D4655A66A42C}"/>
              </c:ext>
            </c:extLst>
          </c:dPt>
          <c:cat>
            <c:strRef>
              <c:f>pivot_summary!$D$23:$D$26</c:f>
              <c:strCache>
                <c:ptCount val="3"/>
                <c:pt idx="0">
                  <c:v>0-5</c:v>
                </c:pt>
                <c:pt idx="1">
                  <c:v>10+</c:v>
                </c:pt>
                <c:pt idx="2">
                  <c:v>6-10</c:v>
                </c:pt>
              </c:strCache>
            </c:strRef>
          </c:cat>
          <c:val>
            <c:numRef>
              <c:f>pivot_summary!$E$23:$E$26</c:f>
              <c:numCache>
                <c:formatCode>General</c:formatCode>
                <c:ptCount val="3"/>
                <c:pt idx="0">
                  <c:v>162</c:v>
                </c:pt>
                <c:pt idx="1">
                  <c:v>20</c:v>
                </c:pt>
                <c:pt idx="2">
                  <c:v>55</c:v>
                </c:pt>
              </c:numCache>
            </c:numRef>
          </c:val>
          <c:extLst>
            <c:ext xmlns:c16="http://schemas.microsoft.com/office/drawing/2014/chart" uri="{C3380CC4-5D6E-409C-BE32-E72D297353CC}">
              <c16:uniqueId val="{00000000-6B9B-4366-A957-A60A3260532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[Employee_attriton.xlsx]pivot_summary!PivotTable1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Department</a:t>
            </a:r>
            <a:r>
              <a:rPr lang="en-US" b="0" baseline="0">
                <a:solidFill>
                  <a:sysClr val="windowText" lastClr="000000"/>
                </a:solidFill>
              </a:rPr>
              <a:t>-wise Attrition</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01841074213551E-2"/>
          <c:y val="0.24433440863944875"/>
          <c:w val="0.89119683481701284"/>
          <c:h val="0.53047887294720575"/>
        </c:manualLayout>
      </c:layout>
      <c:barChart>
        <c:barDir val="col"/>
        <c:grouping val="clustered"/>
        <c:varyColors val="0"/>
        <c:ser>
          <c:idx val="0"/>
          <c:order val="0"/>
          <c:tx>
            <c:strRef>
              <c:f>pivot_summary!$B$4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pivot_summary!$A$5:$A$8</c:f>
              <c:strCache>
                <c:ptCount val="3"/>
                <c:pt idx="0">
                  <c:v>Human Resources</c:v>
                </c:pt>
                <c:pt idx="1">
                  <c:v>Research &amp; Development</c:v>
                </c:pt>
                <c:pt idx="2">
                  <c:v>Sales</c:v>
                </c:pt>
              </c:strCache>
            </c:strRef>
          </c:cat>
          <c:val>
            <c:numRef>
              <c:f>pivot_summary!$B$5:$B$8</c:f>
              <c:numCache>
                <c:formatCode>General</c:formatCode>
                <c:ptCount val="3"/>
                <c:pt idx="0">
                  <c:v>12</c:v>
                </c:pt>
                <c:pt idx="1">
                  <c:v>133</c:v>
                </c:pt>
                <c:pt idx="2">
                  <c:v>92</c:v>
                </c:pt>
              </c:numCache>
            </c:numRef>
          </c:val>
          <c:extLst>
            <c:ext xmlns:c16="http://schemas.microsoft.com/office/drawing/2014/chart" uri="{C3380CC4-5D6E-409C-BE32-E72D297353CC}">
              <c16:uniqueId val="{00000000-4378-474C-A7C2-CB0DC72E53EA}"/>
            </c:ext>
          </c:extLst>
        </c:ser>
        <c:dLbls>
          <c:dLblPos val="outEnd"/>
          <c:showLegendKey val="0"/>
          <c:showVal val="1"/>
          <c:showCatName val="0"/>
          <c:showSerName val="0"/>
          <c:showPercent val="0"/>
          <c:showBubbleSize val="0"/>
        </c:dLbls>
        <c:gapWidth val="219"/>
        <c:axId val="210302288"/>
        <c:axId val="210306608"/>
      </c:barChart>
      <c:catAx>
        <c:axId val="21030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306608"/>
        <c:crosses val="autoZero"/>
        <c:auto val="1"/>
        <c:lblAlgn val="ctr"/>
        <c:lblOffset val="100"/>
        <c:noMultiLvlLbl val="0"/>
      </c:catAx>
      <c:valAx>
        <c:axId val="210306608"/>
        <c:scaling>
          <c:orientation val="minMax"/>
        </c:scaling>
        <c:delete val="1"/>
        <c:axPos val="l"/>
        <c:numFmt formatCode="General" sourceLinked="1"/>
        <c:majorTickMark val="none"/>
        <c:minorTickMark val="none"/>
        <c:tickLblPos val="nextTo"/>
        <c:crossAx val="21030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[Employee_attriton.xlsx]pivot_summary!PivotTable2</c:name>
    <c:fmtId val="2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Job Role Attrition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77206664747199"/>
          <c:y val="0.21629213483146065"/>
          <c:w val="0.64243143096779043"/>
          <c:h val="0.71504369538077406"/>
        </c:manualLayout>
      </c:layout>
      <c:barChart>
        <c:barDir val="bar"/>
        <c:grouping val="clustered"/>
        <c:varyColors val="0"/>
        <c:ser>
          <c:idx val="0"/>
          <c:order val="0"/>
          <c:tx>
            <c:strRef>
              <c:f>pivot_summary!$B$13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pivot_summary!$A$14:$A$23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pivot_summary!$B$14:$B$23</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C82C-4C6D-8A8C-9CD4412B0131}"/>
            </c:ext>
          </c:extLst>
        </c:ser>
        <c:dLbls>
          <c:dLblPos val="outEnd"/>
          <c:showLegendKey val="0"/>
          <c:showVal val="1"/>
          <c:showCatName val="0"/>
          <c:showSerName val="0"/>
          <c:showPercent val="0"/>
          <c:showBubbleSize val="0"/>
        </c:dLbls>
        <c:gapWidth val="182"/>
        <c:axId val="40533024"/>
        <c:axId val="40518624"/>
      </c:barChart>
      <c:catAx>
        <c:axId val="40533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0518624"/>
        <c:crosses val="autoZero"/>
        <c:auto val="1"/>
        <c:lblAlgn val="ctr"/>
        <c:lblOffset val="100"/>
        <c:noMultiLvlLbl val="0"/>
      </c:catAx>
      <c:valAx>
        <c:axId val="40518624"/>
        <c:scaling>
          <c:orientation val="minMax"/>
        </c:scaling>
        <c:delete val="1"/>
        <c:axPos val="b"/>
        <c:numFmt formatCode="General" sourceLinked="1"/>
        <c:majorTickMark val="out"/>
        <c:minorTickMark val="none"/>
        <c:tickLblPos val="nextTo"/>
        <c:crossAx val="4053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lumMod val="25000"/>
        </a:schemeClr>
      </a:solidFill>
      <a:round/>
      <a:extLst>
        <a:ext uri="{C807C97D-BFC1-408E-A445-0C87EB9F89A2}">
          <ask:lineSketchStyleProps xmlns:ask="http://schemas.microsoft.com/office/drawing/2018/sketchyshapes">
            <ask:type>
              <ask:lineSketchNone/>
            </ask:type>
          </ask:lineSketchStyleProps>
        </a:ext>
      </a:extLst>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[Employee_attriton.xlsx]pivot_summary!PivotTable6</c:name>
    <c:fmtId val="12"/>
  </c:pivotSource>
  <c:chart>
    <c:title>
      <c:tx>
        <c:rich>
          <a:bodyPr rot="0" spcFirstLastPara="1" vertOverflow="ellipsis" vert="horz" wrap="square" anchor="ctr" anchorCtr="1"/>
          <a:lstStyle/>
          <a:p>
            <a:pPr algn="ctr" rtl="0">
              <a:defRPr lang="en-US" sz="1200" b="0"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r>
              <a:rPr lang="en-US"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Attrition by Age Group </a:t>
            </a:r>
          </a:p>
        </c:rich>
      </c:tx>
      <c:overlay val="0"/>
      <c:spPr>
        <a:noFill/>
        <a:ln>
          <a:noFill/>
        </a:ln>
        <a:effectLst/>
      </c:spPr>
      <c:txPr>
        <a:bodyPr rot="0" spcFirstLastPara="1" vertOverflow="ellipsis" vert="horz" wrap="square" anchor="ctr" anchorCtr="1"/>
        <a:lstStyle/>
        <a:p>
          <a:pPr algn="ctr" rtl="0">
            <a:defRPr lang="en-US" sz="1200" b="0"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283154121863799E-2"/>
          <c:y val="0.28868312757201647"/>
          <c:w val="0.90143369175627241"/>
          <c:h val="0.58650022142293945"/>
        </c:manualLayout>
      </c:layout>
      <c:barChart>
        <c:barDir val="col"/>
        <c:grouping val="clustered"/>
        <c:varyColors val="0"/>
        <c:ser>
          <c:idx val="0"/>
          <c:order val="0"/>
          <c:tx>
            <c:strRef>
              <c:f>pivot_summary!$E$13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pivot_summary!$D$14:$D$18</c:f>
              <c:strCache>
                <c:ptCount val="4"/>
                <c:pt idx="0">
                  <c:v>18-25</c:v>
                </c:pt>
                <c:pt idx="1">
                  <c:v>26-35</c:v>
                </c:pt>
                <c:pt idx="2">
                  <c:v>36-45</c:v>
                </c:pt>
                <c:pt idx="3">
                  <c:v>45</c:v>
                </c:pt>
              </c:strCache>
            </c:strRef>
          </c:cat>
          <c:val>
            <c:numRef>
              <c:f>pivot_summary!$E$14:$E$18</c:f>
              <c:numCache>
                <c:formatCode>General</c:formatCode>
                <c:ptCount val="4"/>
                <c:pt idx="0">
                  <c:v>44</c:v>
                </c:pt>
                <c:pt idx="1">
                  <c:v>116</c:v>
                </c:pt>
                <c:pt idx="2">
                  <c:v>43</c:v>
                </c:pt>
                <c:pt idx="3">
                  <c:v>34</c:v>
                </c:pt>
              </c:numCache>
            </c:numRef>
          </c:val>
          <c:extLst>
            <c:ext xmlns:c16="http://schemas.microsoft.com/office/drawing/2014/chart" uri="{C3380CC4-5D6E-409C-BE32-E72D297353CC}">
              <c16:uniqueId val="{00000000-05D9-41A7-8C89-B8670ABEFB37}"/>
            </c:ext>
          </c:extLst>
        </c:ser>
        <c:dLbls>
          <c:dLblPos val="outEnd"/>
          <c:showLegendKey val="0"/>
          <c:showVal val="1"/>
          <c:showCatName val="0"/>
          <c:showSerName val="0"/>
          <c:showPercent val="0"/>
          <c:showBubbleSize val="0"/>
        </c:dLbls>
        <c:gapWidth val="219"/>
        <c:overlap val="-27"/>
        <c:axId val="273409040"/>
        <c:axId val="273404720"/>
      </c:barChart>
      <c:catAx>
        <c:axId val="27340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404720"/>
        <c:crosses val="autoZero"/>
        <c:auto val="1"/>
        <c:lblAlgn val="ctr"/>
        <c:lblOffset val="100"/>
        <c:noMultiLvlLbl val="0"/>
      </c:catAx>
      <c:valAx>
        <c:axId val="273404720"/>
        <c:scaling>
          <c:orientation val="minMax"/>
        </c:scaling>
        <c:delete val="1"/>
        <c:axPos val="l"/>
        <c:numFmt formatCode="General" sourceLinked="1"/>
        <c:majorTickMark val="none"/>
        <c:minorTickMark val="none"/>
        <c:tickLblPos val="nextTo"/>
        <c:crossAx val="2734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7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[Employee_attriton.xlsx]pivot_summary!PivotTable13</c:name>
    <c:fmtId val="11"/>
  </c:pivotSource>
  <c:chart>
    <c:title>
      <c:tx>
        <c:rich>
          <a:bodyPr rot="0" vert="horz"/>
          <a:lstStyle/>
          <a:p>
            <a:pPr>
              <a:defRPr/>
            </a:pPr>
            <a:r>
              <a:rPr lang="en-IN" b="0" cap="none" spc="0">
                <a:ln w="0"/>
                <a:solidFill>
                  <a:schemeClr val="tx1"/>
                </a:solidFill>
                <a:effectLst>
                  <a:outerShdw blurRad="38100" dist="19050" dir="2700000" algn="tl" rotWithShape="0">
                    <a:schemeClr val="dk1">
                      <a:alpha val="40000"/>
                    </a:schemeClr>
                  </a:outerShdw>
                </a:effectLst>
              </a:rPr>
              <a:t>Attrition by Income</a:t>
            </a:r>
            <a:r>
              <a:rPr lang="en-IN" b="0" cap="none" spc="0" baseline="0">
                <a:ln w="0"/>
                <a:solidFill>
                  <a:schemeClr val="tx1"/>
                </a:solidFill>
                <a:effectLst>
                  <a:outerShdw blurRad="38100" dist="19050" dir="2700000" algn="tl" rotWithShape="0">
                    <a:schemeClr val="dk1">
                      <a:alpha val="40000"/>
                    </a:schemeClr>
                  </a:outerShdw>
                </a:effectLst>
              </a:rPr>
              <a:t> Group </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84339457567803E-2"/>
          <c:y val="0.24552310707996944"/>
          <c:w val="0.89553656220322886"/>
          <c:h val="0.58883158716730655"/>
        </c:manualLayout>
      </c:layout>
      <c:barChart>
        <c:barDir val="col"/>
        <c:grouping val="clustered"/>
        <c:varyColors val="0"/>
        <c:ser>
          <c:idx val="0"/>
          <c:order val="0"/>
          <c:tx>
            <c:strRef>
              <c:f>pivot_summary!$K$13</c:f>
              <c:strCache>
                <c:ptCount val="1"/>
                <c:pt idx="0">
                  <c:v>Total</c:v>
                </c:pt>
              </c:strCache>
            </c:strRef>
          </c:tx>
          <c:spPr>
            <a:solidFill>
              <a:schemeClr val="accent1"/>
            </a:solidFill>
            <a:ln>
              <a:noFill/>
            </a:ln>
            <a:effectLst/>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pivot_summary!$J$14:$J$17</c:f>
              <c:strCache>
                <c:ptCount val="3"/>
                <c:pt idx="0">
                  <c:v>High</c:v>
                </c:pt>
                <c:pt idx="1">
                  <c:v>Low</c:v>
                </c:pt>
                <c:pt idx="2">
                  <c:v>Medium</c:v>
                </c:pt>
              </c:strCache>
            </c:strRef>
          </c:cat>
          <c:val>
            <c:numRef>
              <c:f>pivot_summary!$K$14:$K$17</c:f>
              <c:numCache>
                <c:formatCode>General</c:formatCode>
                <c:ptCount val="3"/>
                <c:pt idx="0">
                  <c:v>11</c:v>
                </c:pt>
                <c:pt idx="1">
                  <c:v>163</c:v>
                </c:pt>
                <c:pt idx="2">
                  <c:v>63</c:v>
                </c:pt>
              </c:numCache>
            </c:numRef>
          </c:val>
          <c:extLst>
            <c:ext xmlns:c16="http://schemas.microsoft.com/office/drawing/2014/chart" uri="{C3380CC4-5D6E-409C-BE32-E72D297353CC}">
              <c16:uniqueId val="{00000000-47CF-4EDB-966D-155671BE72B4}"/>
            </c:ext>
          </c:extLst>
        </c:ser>
        <c:dLbls>
          <c:dLblPos val="outEnd"/>
          <c:showLegendKey val="0"/>
          <c:showVal val="1"/>
          <c:showCatName val="0"/>
          <c:showSerName val="0"/>
          <c:showPercent val="0"/>
          <c:showBubbleSize val="0"/>
        </c:dLbls>
        <c:gapWidth val="219"/>
        <c:overlap val="-27"/>
        <c:axId val="273409040"/>
        <c:axId val="273404720"/>
      </c:barChart>
      <c:catAx>
        <c:axId val="27340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73404720"/>
        <c:crosses val="autoZero"/>
        <c:auto val="1"/>
        <c:lblAlgn val="ctr"/>
        <c:lblOffset val="100"/>
        <c:noMultiLvlLbl val="0"/>
      </c:catAx>
      <c:valAx>
        <c:axId val="273404720"/>
        <c:scaling>
          <c:orientation val="minMax"/>
        </c:scaling>
        <c:delete val="1"/>
        <c:axPos val="l"/>
        <c:numFmt formatCode="General" sourceLinked="1"/>
        <c:majorTickMark val="none"/>
        <c:minorTickMark val="none"/>
        <c:tickLblPos val="nextTo"/>
        <c:crossAx val="273409040"/>
        <c:crosses val="autoZero"/>
        <c:crossBetween val="between"/>
      </c:valAx>
      <c:spPr>
        <a:solidFill>
          <a:schemeClr val="bg2"/>
        </a:solidFill>
      </c:spPr>
    </c:plotArea>
    <c:plotVisOnly val="1"/>
    <c:dispBlanksAs val="gap"/>
    <c:showDLblsOverMax val="0"/>
    <c:extLst/>
  </c:chart>
  <c:spPr>
    <a:solidFill>
      <a:schemeClr val="bg2"/>
    </a:solidFill>
    <a:ln>
      <a:solidFill>
        <a:schemeClr val="bg2">
          <a:lumMod val="25000"/>
        </a:schemeClr>
      </a:solid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[Employee_attriton.xlsx]pivot_summary!PivotTable16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tx1"/>
                </a:solidFill>
              </a:rPr>
              <a:t>Overtime</a:t>
            </a:r>
            <a:r>
              <a:rPr lang="en-US" b="0" baseline="0">
                <a:solidFill>
                  <a:schemeClr val="tx1"/>
                </a:solidFill>
              </a:rPr>
              <a:t> vs Attrition</a:t>
            </a:r>
            <a:endParaRPr lang="en-US"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0BC3139-8D54-447E-9C41-9605D273E5AF}" type="CATEGORYNAME">
                  <a:rPr lang="en-US" b="1">
                    <a:solidFill>
                      <a:schemeClr val="tx1">
                        <a:lumMod val="95000"/>
                        <a:lumOff val="5000"/>
                      </a:schemeClr>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lumMod val="95000"/>
                        <a:lumOff val="5000"/>
                      </a:schemeClr>
                    </a:solidFill>
                  </a:rPr>
                  <a:t>, </a:t>
                </a:r>
                <a:fld id="{243CFD15-7CDC-4E57-B57B-D8EC4DE811CC}" type="PERCENTAGE">
                  <a:rPr lang="en-US" b="1" baseline="0">
                    <a:solidFill>
                      <a:schemeClr val="tx1">
                        <a:lumMod val="95000"/>
                        <a:lumOff val="5000"/>
                      </a:schemeClr>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lumMod val="95000"/>
                      <a:lumOff val="5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AAC2A8-6CBB-486B-B27B-99965CA1C8B3}"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C75DE57B-C4D4-44EE-BF47-9A5D6E070592}"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0BC3139-8D54-447E-9C41-9605D273E5AF}" type="CATEGORYNAME">
                  <a:rPr lang="en-US" b="1">
                    <a:solidFill>
                      <a:schemeClr val="tx1">
                        <a:lumMod val="95000"/>
                        <a:lumOff val="5000"/>
                      </a:schemeClr>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lumMod val="95000"/>
                        <a:lumOff val="5000"/>
                      </a:schemeClr>
                    </a:solidFill>
                  </a:rPr>
                  <a:t>, </a:t>
                </a:r>
                <a:fld id="{243CFD15-7CDC-4E57-B57B-D8EC4DE811CC}" type="PERCENTAGE">
                  <a:rPr lang="en-US" b="1" baseline="0">
                    <a:solidFill>
                      <a:schemeClr val="tx1">
                        <a:lumMod val="95000"/>
                        <a:lumOff val="5000"/>
                      </a:schemeClr>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lumMod val="95000"/>
                      <a:lumOff val="5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AAC2A8-6CBB-486B-B27B-99965CA1C8B3}"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C75DE57B-C4D4-44EE-BF47-9A5D6E070592}"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0BC3139-8D54-447E-9C41-9605D273E5AF}" type="CATEGORYNAME">
                  <a:rPr lang="en-US" b="1">
                    <a:solidFill>
                      <a:schemeClr val="tx1">
                        <a:lumMod val="95000"/>
                        <a:lumOff val="5000"/>
                      </a:schemeClr>
                    </a:solidFill>
                  </a:rPr>
                  <a:pPr>
                    <a:defRPr/>
                  </a:pPr>
                  <a:t>[CATEGORY NAME]</a:t>
                </a:fld>
                <a:r>
                  <a:rPr lang="en-US" b="1" baseline="0">
                    <a:solidFill>
                      <a:schemeClr val="tx1">
                        <a:lumMod val="95000"/>
                        <a:lumOff val="5000"/>
                      </a:schemeClr>
                    </a:solidFill>
                  </a:rPr>
                  <a:t>, </a:t>
                </a:r>
                <a:fld id="{243CFD15-7CDC-4E57-B57B-D8EC4DE811CC}" type="PERCENTAGE">
                  <a:rPr lang="en-US" b="1" baseline="0">
                    <a:solidFill>
                      <a:schemeClr val="tx1">
                        <a:lumMod val="95000"/>
                        <a:lumOff val="5000"/>
                      </a:schemeClr>
                    </a:solidFill>
                  </a:rPr>
                  <a:pPr>
                    <a:defRPr/>
                  </a:pPr>
                  <a:t>[PERCENTAGE]</a:t>
                </a:fld>
                <a:endParaRPr lang="en-US" b="1" baseline="0">
                  <a:solidFill>
                    <a:schemeClr val="tx1">
                      <a:lumMod val="95000"/>
                      <a:lumOff val="5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1AAC2A8-6CBB-486B-B27B-99965CA1C8B3}" type="CATEGORYNAME">
                  <a:rPr lang="en-US" b="1">
                    <a:solidFill>
                      <a:schemeClr val="tx1"/>
                    </a:solidFill>
                  </a:rPr>
                  <a:pPr>
                    <a:defRPr/>
                  </a:pPr>
                  <a:t>[CATEGORY NAME]</a:t>
                </a:fld>
                <a:r>
                  <a:rPr lang="en-US" b="1" baseline="0">
                    <a:solidFill>
                      <a:schemeClr val="tx1"/>
                    </a:solidFill>
                  </a:rPr>
                  <a:t>, </a:t>
                </a:r>
                <a:fld id="{C75DE57B-C4D4-44EE-BF47-9A5D6E070592}" type="PERCENTAGE">
                  <a:rPr lang="en-US" b="1" baseline="0">
                    <a:solidFill>
                      <a:schemeClr val="tx1"/>
                    </a:solidFill>
                  </a:rPr>
                  <a:pPr>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pivot_summary!$K$22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2C-44EC-97FF-F24C85B1FB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2C-44EC-97FF-F24C85B1FB7E}"/>
              </c:ext>
            </c:extLst>
          </c:dPt>
          <c:dLbls>
            <c:dLbl>
              <c:idx val="0"/>
              <c:tx>
                <c:rich>
                  <a:bodyPr/>
                  <a:lstStyle/>
                  <a:p>
                    <a:fld id="{F0BC3139-8D54-447E-9C41-9605D273E5AF}" type="CATEGORYNAME">
                      <a:rPr lang="en-US" b="1">
                        <a:solidFill>
                          <a:schemeClr val="tx1">
                            <a:lumMod val="95000"/>
                            <a:lumOff val="5000"/>
                          </a:schemeClr>
                        </a:solidFill>
                      </a:rPr>
                      <a:pPr/>
                      <a:t>[CATEGORY NAME]</a:t>
                    </a:fld>
                    <a:r>
                      <a:rPr lang="en-US" b="1" baseline="0">
                        <a:solidFill>
                          <a:schemeClr val="tx1">
                            <a:lumMod val="95000"/>
                            <a:lumOff val="5000"/>
                          </a:schemeClr>
                        </a:solidFill>
                      </a:rPr>
                      <a:t>, </a:t>
                    </a:r>
                    <a:fld id="{243CFD15-7CDC-4E57-B57B-D8EC4DE811CC}" type="PERCENTAGE">
                      <a:rPr lang="en-US" b="1" baseline="0">
                        <a:solidFill>
                          <a:schemeClr val="tx1">
                            <a:lumMod val="95000"/>
                            <a:lumOff val="5000"/>
                          </a:schemeClr>
                        </a:solidFill>
                      </a:rPr>
                      <a:pPr/>
                      <a:t>[PERCENTAGE]</a:t>
                    </a:fld>
                    <a:endParaRPr lang="en-US" b="1" baseline="0">
                      <a:solidFill>
                        <a:schemeClr val="tx1">
                          <a:lumMod val="95000"/>
                          <a:lumOff val="5000"/>
                        </a:schemeClr>
                      </a:solidFill>
                    </a:endParaRPr>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D82C-44EC-97FF-F24C85B1FB7E}"/>
                </c:ext>
              </c:extLst>
            </c:dLbl>
            <c:dLbl>
              <c:idx val="1"/>
              <c:tx>
                <c:rich>
                  <a:bodyPr/>
                  <a:lstStyle/>
                  <a:p>
                    <a:fld id="{A1AAC2A8-6CBB-486B-B27B-99965CA1C8B3}" type="CATEGORYNAME">
                      <a:rPr lang="en-US" b="1">
                        <a:solidFill>
                          <a:schemeClr val="tx1"/>
                        </a:solidFill>
                      </a:rPr>
                      <a:pPr/>
                      <a:t>[CATEGORY NAME]</a:t>
                    </a:fld>
                    <a:r>
                      <a:rPr lang="en-US" b="1" baseline="0">
                        <a:solidFill>
                          <a:schemeClr val="tx1"/>
                        </a:solidFill>
                      </a:rPr>
                      <a:t>, </a:t>
                    </a:r>
                    <a:fld id="{C75DE57B-C4D4-44EE-BF47-9A5D6E070592}" type="PERCENTAGE">
                      <a:rPr lang="en-US" b="1" baseline="0">
                        <a:solidFill>
                          <a:schemeClr val="tx1"/>
                        </a:solidFill>
                      </a:rPr>
                      <a:pPr/>
                      <a:t>[PERCENTAGE]</a:t>
                    </a:fld>
                    <a:endParaRPr lang="en-US" b="1" baseline="0">
                      <a:solidFill>
                        <a:schemeClr val="tx1"/>
                      </a:solidFill>
                    </a:endParaRPr>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D82C-44EC-97FF-F24C85B1FB7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pivot_summary!$J$23:$J$25</c:f>
              <c:strCache>
                <c:ptCount val="2"/>
                <c:pt idx="0">
                  <c:v>No</c:v>
                </c:pt>
                <c:pt idx="1">
                  <c:v>Yes</c:v>
                </c:pt>
              </c:strCache>
            </c:strRef>
          </c:cat>
          <c:val>
            <c:numRef>
              <c:f>pivot_summary!$K$23:$K$25</c:f>
              <c:numCache>
                <c:formatCode>General</c:formatCode>
                <c:ptCount val="2"/>
                <c:pt idx="0">
                  <c:v>110</c:v>
                </c:pt>
                <c:pt idx="1">
                  <c:v>127</c:v>
                </c:pt>
              </c:numCache>
            </c:numRef>
          </c:val>
          <c:extLst>
            <c:ext xmlns:c16="http://schemas.microsoft.com/office/drawing/2014/chart" uri="{C3380CC4-5D6E-409C-BE32-E72D297353CC}">
              <c16:uniqueId val="{00000004-D82C-44EC-97FF-F24C85B1FB7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[Employee_attriton.xlsx]pivot_summary!PivotTable17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tx1"/>
                </a:solidFill>
              </a:rPr>
              <a:t>Gender</a:t>
            </a:r>
            <a:r>
              <a:rPr lang="en-IN" b="0" baseline="0">
                <a:solidFill>
                  <a:schemeClr val="tx1"/>
                </a:solidFill>
              </a:rPr>
              <a:t> vs Attrition</a:t>
            </a:r>
            <a:endParaRPr lang="en-IN"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7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tx2">
              <a:lumMod val="7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337415084143894E-2"/>
              <c:y val="-0.1024590163934426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2E7F0FB-C4AE-4729-95C1-5CD549A6FDA7}"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C294D519-60E4-47AE-97EC-A4EDB97F6AC6}"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256976609541454"/>
                  <c:h val="0.2479927713953789"/>
                </c:manualLayout>
              </c15:layout>
              <c15:dlblFieldTable/>
              <c15:showDataLabelsRange val="0"/>
            </c:ext>
          </c:extLst>
        </c:dLbl>
      </c:pivotFmt>
      <c:pivotFmt>
        <c:idx val="7"/>
        <c:spPr>
          <a:solidFill>
            <a:schemeClr val="tx2">
              <a:lumMod val="75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122D443-3D3B-4D02-AEDD-A9D0790E1BA4}"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3F67B597-D501-4AE2-A37A-7498238231E0}"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4.337415084143894E-2"/>
              <c:y val="-0.1024590163934426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2E7F0FB-C4AE-4729-95C1-5CD549A6FDA7}"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C294D519-60E4-47AE-97EC-A4EDB97F6AC6}"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256976609541454"/>
                  <c:h val="0.2479927713953789"/>
                </c:manualLayout>
              </c15:layout>
              <c15:dlblFieldTable/>
              <c15:showDataLabelsRange val="0"/>
            </c:ext>
          </c:extLst>
        </c:dLbl>
      </c:pivotFmt>
      <c:pivotFmt>
        <c:idx val="10"/>
        <c:spPr>
          <a:solidFill>
            <a:schemeClr val="tx2">
              <a:lumMod val="75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122D443-3D3B-4D02-AEDD-A9D0790E1BA4}" type="CATEGORYNAME">
                  <a:rPr lang="en-US"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3F67B597-D501-4AE2-A37A-7498238231E0}"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4.337415084143894E-2"/>
              <c:y val="-0.1024590163934426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2E7F0FB-C4AE-4729-95C1-5CD549A6FDA7}" type="CATEGORYNAME">
                  <a:rPr lang="en-US" b="1">
                    <a:solidFill>
                      <a:schemeClr val="tx1"/>
                    </a:solidFill>
                  </a:rPr>
                  <a:pPr>
                    <a:defRPr/>
                  </a:pPr>
                  <a:t>[CATEGORY NAME]</a:t>
                </a:fld>
                <a:r>
                  <a:rPr lang="en-US" b="1" baseline="0">
                    <a:solidFill>
                      <a:schemeClr val="tx1"/>
                    </a:solidFill>
                  </a:rPr>
                  <a:t>
</a:t>
                </a:r>
                <a:fld id="{C294D519-60E4-47AE-97EC-A4EDB97F6AC6}" type="PERCENTAGE">
                  <a:rPr lang="en-US" b="1" baseline="0">
                    <a:solidFill>
                      <a:schemeClr val="tx1"/>
                    </a:solidFill>
                  </a:rPr>
                  <a:pPr>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256976609541454"/>
                  <c:h val="0.2479927713953789"/>
                </c:manualLayout>
              </c15:layout>
              <c15:dlblFieldTable/>
              <c15:showDataLabelsRange val="0"/>
            </c:ext>
          </c:extLst>
        </c:dLbl>
      </c:pivotFmt>
      <c:pivotFmt>
        <c:idx val="13"/>
        <c:spPr>
          <a:solidFill>
            <a:schemeClr val="tx2">
              <a:lumMod val="75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122D443-3D3B-4D02-AEDD-A9D0790E1BA4}" type="CATEGORYNAME">
                  <a:rPr lang="en-US" b="1">
                    <a:solidFill>
                      <a:schemeClr val="tx1"/>
                    </a:solidFill>
                  </a:rPr>
                  <a:pPr>
                    <a:defRPr/>
                  </a:pPr>
                  <a:t>[CATEGORY NAME]</a:t>
                </a:fld>
                <a:r>
                  <a:rPr lang="en-US" b="1" baseline="0">
                    <a:solidFill>
                      <a:schemeClr val="tx1"/>
                    </a:solidFill>
                  </a:rPr>
                  <a:t>
</a:t>
                </a:r>
                <a:fld id="{3F67B597-D501-4AE2-A37A-7498238231E0}" type="PERCENTAGE">
                  <a:rPr lang="en-US" b="1" baseline="0">
                    <a:solidFill>
                      <a:schemeClr val="tx1"/>
                    </a:solidFill>
                  </a:rPr>
                  <a:pPr>
                    <a:defRPr/>
                  </a:pPr>
                  <a:t>[PERCENTAGE]</a:t>
                </a:fld>
                <a:endParaRPr lang="en-US"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pivot_summary!$M$4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98-4B19-89FF-B901F2CA4C48}"/>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EF98-4B19-89FF-B901F2CA4C48}"/>
              </c:ext>
            </c:extLst>
          </c:dPt>
          <c:dLbls>
            <c:dLbl>
              <c:idx val="0"/>
              <c:layout>
                <c:manualLayout>
                  <c:x val="-4.337415084143894E-2"/>
                  <c:y val="-0.10245901639344263"/>
                </c:manualLayout>
              </c:layout>
              <c:tx>
                <c:rich>
                  <a:bodyPr/>
                  <a:lstStyle/>
                  <a:p>
                    <a:fld id="{72E7F0FB-C4AE-4729-95C1-5CD549A6FDA7}" type="CATEGORYNAME">
                      <a:rPr lang="en-US" b="1">
                        <a:solidFill>
                          <a:schemeClr val="tx1"/>
                        </a:solidFill>
                      </a:rPr>
                      <a:pPr/>
                      <a:t>[CATEGORY NAME]</a:t>
                    </a:fld>
                    <a:r>
                      <a:rPr lang="en-US" b="1" baseline="0">
                        <a:solidFill>
                          <a:schemeClr val="tx1"/>
                        </a:solidFill>
                      </a:rPr>
                      <a:t>
</a:t>
                    </a:r>
                    <a:fld id="{C294D519-60E4-47AE-97EC-A4EDB97F6AC6}"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22256976609541454"/>
                      <c:h val="0.2479927713953789"/>
                    </c:manualLayout>
                  </c15:layout>
                  <c15:dlblFieldTable/>
                  <c15:showDataLabelsRange val="0"/>
                </c:ext>
                <c:ext xmlns:c16="http://schemas.microsoft.com/office/drawing/2014/chart" uri="{C3380CC4-5D6E-409C-BE32-E72D297353CC}">
                  <c16:uniqueId val="{00000001-EF98-4B19-89FF-B901F2CA4C48}"/>
                </c:ext>
              </c:extLst>
            </c:dLbl>
            <c:dLbl>
              <c:idx val="1"/>
              <c:tx>
                <c:rich>
                  <a:bodyPr/>
                  <a:lstStyle/>
                  <a:p>
                    <a:fld id="{9122D443-3D3B-4D02-AEDD-A9D0790E1BA4}" type="CATEGORYNAME">
                      <a:rPr lang="en-US" b="1">
                        <a:solidFill>
                          <a:schemeClr val="tx1"/>
                        </a:solidFill>
                      </a:rPr>
                      <a:pPr/>
                      <a:t>[CATEGORY NAME]</a:t>
                    </a:fld>
                    <a:r>
                      <a:rPr lang="en-US" b="1" baseline="0">
                        <a:solidFill>
                          <a:schemeClr val="tx1"/>
                        </a:solidFill>
                      </a:rPr>
                      <a:t>
</a:t>
                    </a:r>
                    <a:fld id="{3F67B597-D501-4AE2-A37A-7498238231E0}" type="PERCENTAGE">
                      <a:rPr lang="en-US" b="1" baseline="0">
                        <a:solidFill>
                          <a:schemeClr val="tx1"/>
                        </a:solidFill>
                      </a:rPr>
                      <a:pPr/>
                      <a:t>[PERCENTAGE]</a:t>
                    </a:fld>
                    <a:endParaRPr lang="en-US"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F98-4B19-89FF-B901F2CA4C4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pivot_summary!$L$5:$L$7</c:f>
              <c:strCache>
                <c:ptCount val="2"/>
                <c:pt idx="0">
                  <c:v>Female</c:v>
                </c:pt>
                <c:pt idx="1">
                  <c:v>Male</c:v>
                </c:pt>
              </c:strCache>
            </c:strRef>
          </c:cat>
          <c:val>
            <c:numRef>
              <c:f>pivot_summary!$M$5:$M$7</c:f>
              <c:numCache>
                <c:formatCode>General</c:formatCode>
                <c:ptCount val="2"/>
                <c:pt idx="0">
                  <c:v>87</c:v>
                </c:pt>
                <c:pt idx="1">
                  <c:v>150</c:v>
                </c:pt>
              </c:numCache>
            </c:numRef>
          </c:val>
          <c:extLst>
            <c:ext xmlns:c16="http://schemas.microsoft.com/office/drawing/2014/chart" uri="{C3380CC4-5D6E-409C-BE32-E72D297353CC}">
              <c16:uniqueId val="{00000004-EF98-4B19-89FF-B901F2CA4C4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[Employee_attriton.xlsx]pivot_summary!PivotTable14</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0">
                <a:solidFill>
                  <a:schemeClr val="tx1">
                    <a:lumMod val="95000"/>
                    <a:lumOff val="5000"/>
                  </a:schemeClr>
                </a:solidFill>
              </a:rPr>
              <a:t>Attrition</a:t>
            </a:r>
            <a:r>
              <a:rPr lang="en-IN" sz="1200" b="0" baseline="0">
                <a:solidFill>
                  <a:schemeClr val="tx1">
                    <a:lumMod val="95000"/>
                    <a:lumOff val="5000"/>
                  </a:schemeClr>
                </a:solidFill>
              </a:rPr>
              <a:t> by Years at Company</a:t>
            </a:r>
            <a:endParaRPr lang="en-IN" sz="1200" b="0">
              <a:solidFill>
                <a:schemeClr val="tx1">
                  <a:lumMod val="95000"/>
                  <a:lumOff val="5000"/>
                </a:schemeClr>
              </a:solidFill>
            </a:endParaRPr>
          </a:p>
        </c:rich>
      </c:tx>
      <c:layout>
        <c:manualLayout>
          <c:xMode val="edge"/>
          <c:yMode val="edge"/>
          <c:x val="4.0995141564751196E-2"/>
          <c:y val="2.145922746781115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pivot_summary!$E$22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66B-4C2C-BA1F-5ECF50BACD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66B-4C2C-BA1F-5ECF50BACD4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66B-4C2C-BA1F-5ECF50BACD42}"/>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pivot_summary!$D$23:$D$26</c:f>
              <c:strCache>
                <c:ptCount val="3"/>
                <c:pt idx="0">
                  <c:v>0-5</c:v>
                </c:pt>
                <c:pt idx="1">
                  <c:v>10+</c:v>
                </c:pt>
                <c:pt idx="2">
                  <c:v>6-10</c:v>
                </c:pt>
              </c:strCache>
            </c:strRef>
          </c:cat>
          <c:val>
            <c:numRef>
              <c:f>pivot_summary!$E$23:$E$26</c:f>
              <c:numCache>
                <c:formatCode>General</c:formatCode>
                <c:ptCount val="3"/>
                <c:pt idx="0">
                  <c:v>162</c:v>
                </c:pt>
                <c:pt idx="1">
                  <c:v>20</c:v>
                </c:pt>
                <c:pt idx="2">
                  <c:v>55</c:v>
                </c:pt>
              </c:numCache>
            </c:numRef>
          </c:val>
          <c:extLst>
            <c:ext xmlns:c16="http://schemas.microsoft.com/office/drawing/2014/chart" uri="{C3380CC4-5D6E-409C-BE32-E72D297353CC}">
              <c16:uniqueId val="{00000006-666B-4C2C-BA1F-5ECF50BACD42}"/>
            </c:ext>
          </c:extLst>
        </c:ser>
        <c:dLbls>
          <c:dLblPos val="outEnd"/>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20" Type="http://schemas.openxmlformats.org/officeDocument/2006/relationships/image" Target="../media/image13.svg"/><Relationship Id="rId1" Type="http://schemas.openxmlformats.org/officeDocument/2006/relationships/image" Target="../media/image1.jpg"/><Relationship Id="rId6" Type="http://schemas.openxmlformats.org/officeDocument/2006/relationships/chart" Target="../charts/chart6.xml"/><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2.pn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2</xdr:col>
      <xdr:colOff>922020</xdr:colOff>
      <xdr:row>0</xdr:row>
      <xdr:rowOff>144780</xdr:rowOff>
    </xdr:from>
    <xdr:ext cx="184731" cy="264560"/>
    <xdr:sp macro="" textlink="">
      <xdr:nvSpPr>
        <xdr:cNvPr id="2" name="TextBox 1">
          <a:extLst>
            <a:ext uri="{FF2B5EF4-FFF2-40B4-BE49-F238E27FC236}">
              <a16:creationId xmlns:a16="http://schemas.microsoft.com/office/drawing/2014/main" id="{8ADE8222-0DB9-7879-8E7C-43412C7C33AB}"/>
            </a:ext>
          </a:extLst>
        </xdr:cNvPr>
        <xdr:cNvSpPr txBox="1"/>
      </xdr:nvSpPr>
      <xdr:spPr>
        <a:xfrm>
          <a:off x="2065020" y="144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495300</xdr:colOff>
      <xdr:row>2</xdr:row>
      <xdr:rowOff>175260</xdr:rowOff>
    </xdr:from>
    <xdr:to>
      <xdr:col>6</xdr:col>
      <xdr:colOff>640080</xdr:colOff>
      <xdr:row>8</xdr:row>
      <xdr:rowOff>7619</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B37411B-CB46-844D-0C8A-2F9EF6D6C70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54880" y="541020"/>
              <a:ext cx="182880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518160</xdr:colOff>
      <xdr:row>3</xdr:row>
      <xdr:rowOff>1</xdr:rowOff>
    </xdr:from>
    <xdr:to>
      <xdr:col>10</xdr:col>
      <xdr:colOff>723900</xdr:colOff>
      <xdr:row>9</xdr:row>
      <xdr:rowOff>106681</xdr:rowOff>
    </xdr:to>
    <mc:AlternateContent xmlns:mc="http://schemas.openxmlformats.org/markup-compatibility/2006" xmlns:a14="http://schemas.microsoft.com/office/drawing/2010/main">
      <mc:Choice Requires="a14">
        <xdr:graphicFrame macro="">
          <xdr:nvGraphicFramePr>
            <xdr:cNvPr id="3" name="MaritalStatus">
              <a:extLst>
                <a:ext uri="{FF2B5EF4-FFF2-40B4-BE49-F238E27FC236}">
                  <a16:creationId xmlns:a16="http://schemas.microsoft.com/office/drawing/2014/main" id="{EAF07B27-B824-3763-E66B-BB7191A1ACEB}"/>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8602980" y="54864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723900</xdr:colOff>
      <xdr:row>2</xdr:row>
      <xdr:rowOff>167641</xdr:rowOff>
    </xdr:from>
    <xdr:to>
      <xdr:col>8</xdr:col>
      <xdr:colOff>137160</xdr:colOff>
      <xdr:row>10</xdr:row>
      <xdr:rowOff>129541</xdr:rowOff>
    </xdr:to>
    <mc:AlternateContent xmlns:mc="http://schemas.openxmlformats.org/markup-compatibility/2006" xmlns:a14="http://schemas.microsoft.com/office/drawing/2010/main">
      <mc:Choice Requires="a14">
        <xdr:graphicFrame macro="">
          <xdr:nvGraphicFramePr>
            <xdr:cNvPr id="6" name="EnvironmentSatisfaction">
              <a:extLst>
                <a:ext uri="{FF2B5EF4-FFF2-40B4-BE49-F238E27FC236}">
                  <a16:creationId xmlns:a16="http://schemas.microsoft.com/office/drawing/2014/main" id="{E28D2AC8-152F-D1E5-4DCA-DCB3A652AAB2}"/>
                </a:ext>
              </a:extLst>
            </xdr:cNvPr>
            <xdr:cNvGraphicFramePr/>
          </xdr:nvGraphicFramePr>
          <xdr:xfrm>
            <a:off x="0" y="0"/>
            <a:ext cx="0" cy="0"/>
          </xdr:xfrm>
          <a:graphic>
            <a:graphicData uri="http://schemas.microsoft.com/office/drawing/2010/slicer">
              <sle:slicer xmlns:sle="http://schemas.microsoft.com/office/drawing/2010/slicer" name="EnvironmentSatisfaction"/>
            </a:graphicData>
          </a:graphic>
        </xdr:graphicFrame>
      </mc:Choice>
      <mc:Fallback xmlns="">
        <xdr:sp macro="" textlink="">
          <xdr:nvSpPr>
            <xdr:cNvPr id="0" name=""/>
            <xdr:cNvSpPr>
              <a:spLocks noTextEdit="1"/>
            </xdr:cNvSpPr>
          </xdr:nvSpPr>
          <xdr:spPr>
            <a:xfrm>
              <a:off x="6667500" y="53340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83820</xdr:colOff>
      <xdr:row>3</xdr:row>
      <xdr:rowOff>7621</xdr:rowOff>
    </xdr:from>
    <xdr:to>
      <xdr:col>4</xdr:col>
      <xdr:colOff>441960</xdr:colOff>
      <xdr:row>7</xdr:row>
      <xdr:rowOff>160021</xdr:rowOff>
    </xdr:to>
    <mc:AlternateContent xmlns:mc="http://schemas.openxmlformats.org/markup-compatibility/2006" xmlns:a14="http://schemas.microsoft.com/office/drawing/2010/main">
      <mc:Choice Requires="a14">
        <xdr:graphicFrame macro="">
          <xdr:nvGraphicFramePr>
            <xdr:cNvPr id="7" name="OverTime">
              <a:extLst>
                <a:ext uri="{FF2B5EF4-FFF2-40B4-BE49-F238E27FC236}">
                  <a16:creationId xmlns:a16="http://schemas.microsoft.com/office/drawing/2014/main" id="{C14A7FE1-4393-C94E-15B9-69BB5853C46C}"/>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2872740" y="556261"/>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342900</xdr:colOff>
      <xdr:row>7</xdr:row>
      <xdr:rowOff>41910</xdr:rowOff>
    </xdr:from>
    <xdr:to>
      <xdr:col>7</xdr:col>
      <xdr:colOff>906780</xdr:colOff>
      <xdr:row>22</xdr:row>
      <xdr:rowOff>41910</xdr:rowOff>
    </xdr:to>
    <xdr:graphicFrame macro="">
      <xdr:nvGraphicFramePr>
        <xdr:cNvPr id="5" name="Chart 4">
          <a:extLst>
            <a:ext uri="{FF2B5EF4-FFF2-40B4-BE49-F238E27FC236}">
              <a16:creationId xmlns:a16="http://schemas.microsoft.com/office/drawing/2014/main" id="{889C83F6-2014-8AC6-801C-728E39DA0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7619</xdr:colOff>
      <xdr:row>0</xdr:row>
      <xdr:rowOff>0</xdr:rowOff>
    </xdr:from>
    <xdr:to>
      <xdr:col>22</xdr:col>
      <xdr:colOff>586740</xdr:colOff>
      <xdr:row>30</xdr:row>
      <xdr:rowOff>91440</xdr:rowOff>
    </xdr:to>
    <xdr:pic>
      <xdr:nvPicPr>
        <xdr:cNvPr id="2" name="Picture 1" descr="Textured background">
          <a:extLst>
            <a:ext uri="{FF2B5EF4-FFF2-40B4-BE49-F238E27FC236}">
              <a16:creationId xmlns:a16="http://schemas.microsoft.com/office/drawing/2014/main" id="{1818840E-8474-49D6-A3F5-DF6095BCB5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36419" y="0"/>
          <a:ext cx="12161521" cy="5577840"/>
        </a:xfrm>
        <a:prstGeom prst="rect">
          <a:avLst/>
        </a:prstGeom>
      </xdr:spPr>
    </xdr:pic>
    <xdr:clientData/>
  </xdr:twoCellAnchor>
  <xdr:twoCellAnchor>
    <xdr:from>
      <xdr:col>13</xdr:col>
      <xdr:colOff>198120</xdr:colOff>
      <xdr:row>9</xdr:row>
      <xdr:rowOff>30480</xdr:rowOff>
    </xdr:from>
    <xdr:to>
      <xdr:col>18</xdr:col>
      <xdr:colOff>441960</xdr:colOff>
      <xdr:row>20</xdr:row>
      <xdr:rowOff>53340</xdr:rowOff>
    </xdr:to>
    <xdr:graphicFrame macro="">
      <xdr:nvGraphicFramePr>
        <xdr:cNvPr id="3" name="Chart 2">
          <a:extLst>
            <a:ext uri="{FF2B5EF4-FFF2-40B4-BE49-F238E27FC236}">
              <a16:creationId xmlns:a16="http://schemas.microsoft.com/office/drawing/2014/main" id="{128B3014-FF6C-41B5-8176-B5BD56101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259080</xdr:colOff>
      <xdr:row>9</xdr:row>
      <xdr:rowOff>30480</xdr:rowOff>
    </xdr:from>
    <xdr:to>
      <xdr:col>13</xdr:col>
      <xdr:colOff>175260</xdr:colOff>
      <xdr:row>20</xdr:row>
      <xdr:rowOff>53340</xdr:rowOff>
    </xdr:to>
    <xdr:graphicFrame macro="">
      <xdr:nvGraphicFramePr>
        <xdr:cNvPr id="4" name="Chart 3">
          <a:extLst>
            <a:ext uri="{FF2B5EF4-FFF2-40B4-BE49-F238E27FC236}">
              <a16:creationId xmlns:a16="http://schemas.microsoft.com/office/drawing/2014/main" id="{F9888AD3-1520-403D-83BF-7D46035DE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289560</xdr:colOff>
      <xdr:row>20</xdr:row>
      <xdr:rowOff>83820</xdr:rowOff>
    </xdr:from>
    <xdr:to>
      <xdr:col>10</xdr:col>
      <xdr:colOff>464820</xdr:colOff>
      <xdr:row>30</xdr:row>
      <xdr:rowOff>68580</xdr:rowOff>
    </xdr:to>
    <xdr:graphicFrame macro="">
      <xdr:nvGraphicFramePr>
        <xdr:cNvPr id="5" name="Chart 4">
          <a:extLst>
            <a:ext uri="{FF2B5EF4-FFF2-40B4-BE49-F238E27FC236}">
              <a16:creationId xmlns:a16="http://schemas.microsoft.com/office/drawing/2014/main" id="{EFFCFC02-FF23-4A18-B6D9-847430690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495300</xdr:colOff>
      <xdr:row>20</xdr:row>
      <xdr:rowOff>91440</xdr:rowOff>
    </xdr:from>
    <xdr:to>
      <xdr:col>14</xdr:col>
      <xdr:colOff>228600</xdr:colOff>
      <xdr:row>30</xdr:row>
      <xdr:rowOff>68580</xdr:rowOff>
    </xdr:to>
    <xdr:graphicFrame macro="">
      <xdr:nvGraphicFramePr>
        <xdr:cNvPr id="6" name="Chart 5">
          <a:extLst>
            <a:ext uri="{FF2B5EF4-FFF2-40B4-BE49-F238E27FC236}">
              <a16:creationId xmlns:a16="http://schemas.microsoft.com/office/drawing/2014/main" id="{3ECAFBE9-D63A-4A15-8C48-3C36299C4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251460</xdr:colOff>
      <xdr:row>20</xdr:row>
      <xdr:rowOff>99060</xdr:rowOff>
    </xdr:from>
    <xdr:to>
      <xdr:col>18</xdr:col>
      <xdr:colOff>457200</xdr:colOff>
      <xdr:row>30</xdr:row>
      <xdr:rowOff>60960</xdr:rowOff>
    </xdr:to>
    <xdr:graphicFrame macro="">
      <xdr:nvGraphicFramePr>
        <xdr:cNvPr id="7" name="Chart 6">
          <a:extLst>
            <a:ext uri="{FF2B5EF4-FFF2-40B4-BE49-F238E27FC236}">
              <a16:creationId xmlns:a16="http://schemas.microsoft.com/office/drawing/2014/main" id="{49FB1862-21EA-422E-A4F4-1EAD4709F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472440</xdr:colOff>
      <xdr:row>11</xdr:row>
      <xdr:rowOff>144780</xdr:rowOff>
    </xdr:from>
    <xdr:to>
      <xdr:col>22</xdr:col>
      <xdr:colOff>533400</xdr:colOff>
      <xdr:row>20</xdr:row>
      <xdr:rowOff>38100</xdr:rowOff>
    </xdr:to>
    <xdr:graphicFrame macro="">
      <xdr:nvGraphicFramePr>
        <xdr:cNvPr id="8" name="Chart 7">
          <a:extLst>
            <a:ext uri="{FF2B5EF4-FFF2-40B4-BE49-F238E27FC236}">
              <a16:creationId xmlns:a16="http://schemas.microsoft.com/office/drawing/2014/main" id="{2FB7D113-BEE9-46C3-9098-D35FB33CB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457200</xdr:colOff>
      <xdr:row>3</xdr:row>
      <xdr:rowOff>83820</xdr:rowOff>
    </xdr:from>
    <xdr:to>
      <xdr:col>18</xdr:col>
      <xdr:colOff>455775</xdr:colOff>
      <xdr:row>8</xdr:row>
      <xdr:rowOff>177420</xdr:rowOff>
    </xdr:to>
    <mc:AlternateContent xmlns:mc="http://schemas.openxmlformats.org/markup-compatibility/2006" xmlns:a14="http://schemas.microsoft.com/office/drawing/2010/main">
      <mc:Choice Requires="a14">
        <xdr:graphicFrame macro="">
          <xdr:nvGraphicFramePr>
            <xdr:cNvPr id="9" name="Department 1">
              <a:extLst>
                <a:ext uri="{FF2B5EF4-FFF2-40B4-BE49-F238E27FC236}">
                  <a16:creationId xmlns:a16="http://schemas.microsoft.com/office/drawing/2014/main" id="{D30ECB59-FCCC-4635-80ED-1337F810A36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991600" y="632460"/>
              <a:ext cx="1827375"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274320</xdr:colOff>
      <xdr:row>3</xdr:row>
      <xdr:rowOff>121920</xdr:rowOff>
    </xdr:from>
    <xdr:to>
      <xdr:col>7</xdr:col>
      <xdr:colOff>312420</xdr:colOff>
      <xdr:row>9</xdr:row>
      <xdr:rowOff>7620</xdr:rowOff>
    </xdr:to>
    <mc:AlternateContent xmlns:mc="http://schemas.openxmlformats.org/markup-compatibility/2006" xmlns:a14="http://schemas.microsoft.com/office/drawing/2010/main">
      <mc:Choice Requires="a14">
        <xdr:graphicFrame macro="">
          <xdr:nvGraphicFramePr>
            <xdr:cNvPr id="10" name="Gender 2">
              <a:extLst>
                <a:ext uri="{FF2B5EF4-FFF2-40B4-BE49-F238E27FC236}">
                  <a16:creationId xmlns:a16="http://schemas.microsoft.com/office/drawing/2014/main" id="{5FF0F716-654E-4F31-9AC7-1A0C43AF790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322320" y="670560"/>
              <a:ext cx="12573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xdr:colOff>
      <xdr:row>3</xdr:row>
      <xdr:rowOff>99060</xdr:rowOff>
    </xdr:from>
    <xdr:to>
      <xdr:col>15</xdr:col>
      <xdr:colOff>441960</xdr:colOff>
      <xdr:row>9</xdr:row>
      <xdr:rowOff>0</xdr:rowOff>
    </xdr:to>
    <mc:AlternateContent xmlns:mc="http://schemas.openxmlformats.org/markup-compatibility/2006" xmlns:a14="http://schemas.microsoft.com/office/drawing/2010/main">
      <mc:Choice Requires="a14">
        <xdr:graphicFrame macro="">
          <xdr:nvGraphicFramePr>
            <xdr:cNvPr id="11" name="MaritalStatus 2">
              <a:extLst>
                <a:ext uri="{FF2B5EF4-FFF2-40B4-BE49-F238E27FC236}">
                  <a16:creationId xmlns:a16="http://schemas.microsoft.com/office/drawing/2014/main" id="{30E64FAD-CC2D-4044-A995-4FED132F997F}"/>
                </a:ext>
              </a:extLst>
            </xdr:cNvPr>
            <xdr:cNvGraphicFramePr/>
          </xdr:nvGraphicFramePr>
          <xdr:xfrm>
            <a:off x="0" y="0"/>
            <a:ext cx="0" cy="0"/>
          </xdr:xfrm>
          <a:graphic>
            <a:graphicData uri="http://schemas.microsoft.com/office/drawing/2010/slicer">
              <sle:slicer xmlns:sle="http://schemas.microsoft.com/office/drawing/2010/slicer" name="MaritalStatus 2"/>
            </a:graphicData>
          </a:graphic>
        </xdr:graphicFrame>
      </mc:Choice>
      <mc:Fallback xmlns="">
        <xdr:sp macro="" textlink="">
          <xdr:nvSpPr>
            <xdr:cNvPr id="0" name=""/>
            <xdr:cNvSpPr>
              <a:spLocks noTextEdit="1"/>
            </xdr:cNvSpPr>
          </xdr:nvSpPr>
          <xdr:spPr>
            <a:xfrm>
              <a:off x="7345680" y="647700"/>
              <a:ext cx="163068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335280</xdr:colOff>
      <xdr:row>3</xdr:row>
      <xdr:rowOff>99060</xdr:rowOff>
    </xdr:from>
    <xdr:to>
      <xdr:col>9</xdr:col>
      <xdr:colOff>487680</xdr:colOff>
      <xdr:row>9</xdr:row>
      <xdr:rowOff>7620</xdr:rowOff>
    </xdr:to>
    <mc:AlternateContent xmlns:mc="http://schemas.openxmlformats.org/markup-compatibility/2006" xmlns:a14="http://schemas.microsoft.com/office/drawing/2010/main">
      <mc:Choice Requires="a14">
        <xdr:graphicFrame macro="">
          <xdr:nvGraphicFramePr>
            <xdr:cNvPr id="12" name="OverTime 2">
              <a:extLst>
                <a:ext uri="{FF2B5EF4-FFF2-40B4-BE49-F238E27FC236}">
                  <a16:creationId xmlns:a16="http://schemas.microsoft.com/office/drawing/2014/main" id="{D433257C-53CB-4A6D-9BBF-6C44702E08DC}"/>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mlns="">
        <xdr:sp macro="" textlink="">
          <xdr:nvSpPr>
            <xdr:cNvPr id="0" name=""/>
            <xdr:cNvSpPr>
              <a:spLocks noTextEdit="1"/>
            </xdr:cNvSpPr>
          </xdr:nvSpPr>
          <xdr:spPr>
            <a:xfrm>
              <a:off x="4602480" y="647700"/>
              <a:ext cx="13716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83821</xdr:colOff>
      <xdr:row>0</xdr:row>
      <xdr:rowOff>53340</xdr:rowOff>
    </xdr:from>
    <xdr:to>
      <xdr:col>18</xdr:col>
      <xdr:colOff>449580</xdr:colOff>
      <xdr:row>3</xdr:row>
      <xdr:rowOff>60960</xdr:rowOff>
    </xdr:to>
    <xdr:sp macro="" textlink="">
      <xdr:nvSpPr>
        <xdr:cNvPr id="13" name="Rectangle: Diagonal Corners Rounded 12">
          <a:extLst>
            <a:ext uri="{FF2B5EF4-FFF2-40B4-BE49-F238E27FC236}">
              <a16:creationId xmlns:a16="http://schemas.microsoft.com/office/drawing/2014/main" id="{618199DD-A5B9-48FF-9899-8844406F17D5}"/>
            </a:ext>
          </a:extLst>
        </xdr:cNvPr>
        <xdr:cNvSpPr/>
      </xdr:nvSpPr>
      <xdr:spPr>
        <a:xfrm>
          <a:off x="1912621" y="53340"/>
          <a:ext cx="9509759" cy="556260"/>
        </a:xfrm>
        <a:prstGeom prst="round2DiagRect">
          <a:avLst/>
        </a:prstGeom>
        <a:scene3d>
          <a:camera prst="orthographicFront">
            <a:rot lat="0" lon="21599994" rev="0"/>
          </a:camera>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HR ATTRITION &amp; WORKFORCE ANALYTICS DASHBOARD  </a:t>
          </a:r>
          <a:r>
            <a:rPr lang="en-IN" sz="1100" i="1"/>
            <a:t>Workforce Insights | Retention Analysis | HR KPIs</a:t>
          </a:r>
          <a:endParaRPr lang="en-IN" sz="1100" b="1" i="1"/>
        </a:p>
      </xdr:txBody>
    </xdr:sp>
    <xdr:clientData/>
  </xdr:twoCellAnchor>
  <xdr:twoCellAnchor>
    <xdr:from>
      <xdr:col>13</xdr:col>
      <xdr:colOff>533400</xdr:colOff>
      <xdr:row>11</xdr:row>
      <xdr:rowOff>41910</xdr:rowOff>
    </xdr:from>
    <xdr:to>
      <xdr:col>15</xdr:col>
      <xdr:colOff>228600</xdr:colOff>
      <xdr:row>16</xdr:row>
      <xdr:rowOff>41910</xdr:rowOff>
    </xdr:to>
    <xdr:sp macro="" textlink="">
      <xdr:nvSpPr>
        <xdr:cNvPr id="14" name="TextBox 13" hidden="1">
          <a:extLst>
            <a:ext uri="{FF2B5EF4-FFF2-40B4-BE49-F238E27FC236}">
              <a16:creationId xmlns:a16="http://schemas.microsoft.com/office/drawing/2014/main" id="{7F06CB28-E5BA-4703-A11D-727C5197BFCC}"/>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13</xdr:col>
      <xdr:colOff>533400</xdr:colOff>
      <xdr:row>11</xdr:row>
      <xdr:rowOff>41910</xdr:rowOff>
    </xdr:from>
    <xdr:to>
      <xdr:col>15</xdr:col>
      <xdr:colOff>228600</xdr:colOff>
      <xdr:row>16</xdr:row>
      <xdr:rowOff>41910</xdr:rowOff>
    </xdr:to>
    <xdr:sp macro="" textlink="">
      <xdr:nvSpPr>
        <xdr:cNvPr id="15" name="TextBox 14" hidden="1">
          <a:extLst>
            <a:ext uri="{FF2B5EF4-FFF2-40B4-BE49-F238E27FC236}">
              <a16:creationId xmlns:a16="http://schemas.microsoft.com/office/drawing/2014/main" id="{B9EC75A0-0462-4C3C-96F7-9B56BEA815EC}"/>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60960</xdr:colOff>
      <xdr:row>3</xdr:row>
      <xdr:rowOff>91440</xdr:rowOff>
    </xdr:from>
    <xdr:to>
      <xdr:col>5</xdr:col>
      <xdr:colOff>198120</xdr:colOff>
      <xdr:row>7</xdr:row>
      <xdr:rowOff>91440</xdr:rowOff>
    </xdr:to>
    <xdr:sp macro="" textlink="">
      <xdr:nvSpPr>
        <xdr:cNvPr id="16" name="Rectangle: Rounded Corners 15">
          <a:extLst>
            <a:ext uri="{FF2B5EF4-FFF2-40B4-BE49-F238E27FC236}">
              <a16:creationId xmlns:a16="http://schemas.microsoft.com/office/drawing/2014/main" id="{159E012F-5288-4D61-8320-348FE6083272}"/>
            </a:ext>
          </a:extLst>
        </xdr:cNvPr>
        <xdr:cNvSpPr/>
      </xdr:nvSpPr>
      <xdr:spPr>
        <a:xfrm>
          <a:off x="60960" y="640080"/>
          <a:ext cx="1356360" cy="7315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a:p>
          <a:pPr algn="l"/>
          <a:endParaRPr lang="en-IN" sz="1100">
            <a:solidFill>
              <a:schemeClr val="accent3">
                <a:lumMod val="20000"/>
                <a:lumOff val="80000"/>
              </a:schemeClr>
            </a:solidFill>
          </a:endParaRPr>
        </a:p>
        <a:p>
          <a:pPr algn="ctr"/>
          <a:r>
            <a:rPr lang="en-IN" sz="1100"/>
            <a:t>Total Employees</a:t>
          </a:r>
        </a:p>
      </xdr:txBody>
    </xdr:sp>
    <xdr:clientData/>
  </xdr:twoCellAnchor>
  <xdr:twoCellAnchor>
    <xdr:from>
      <xdr:col>13</xdr:col>
      <xdr:colOff>533400</xdr:colOff>
      <xdr:row>11</xdr:row>
      <xdr:rowOff>41910</xdr:rowOff>
    </xdr:from>
    <xdr:to>
      <xdr:col>15</xdr:col>
      <xdr:colOff>228600</xdr:colOff>
      <xdr:row>14</xdr:row>
      <xdr:rowOff>38100</xdr:rowOff>
    </xdr:to>
    <xdr:sp macro="" textlink="">
      <xdr:nvSpPr>
        <xdr:cNvPr id="17" name="TextBox 16" hidden="1">
          <a:extLst>
            <a:ext uri="{FF2B5EF4-FFF2-40B4-BE49-F238E27FC236}">
              <a16:creationId xmlns:a16="http://schemas.microsoft.com/office/drawing/2014/main" id="{00FD54DE-7B1E-4E2D-81C9-CD00A29E5DD8}"/>
            </a:ext>
          </a:extLst>
        </xdr:cNvPr>
        <xdr:cNvSpPr txBox="1"/>
      </xdr:nvSpPr>
      <xdr:spPr>
        <a:xfrm>
          <a:off x="6629400" y="2053590"/>
          <a:ext cx="914400" cy="5448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3</xdr:col>
      <xdr:colOff>586740</xdr:colOff>
      <xdr:row>3</xdr:row>
      <xdr:rowOff>121920</xdr:rowOff>
    </xdr:from>
    <xdr:ext cx="929640" cy="468013"/>
    <xdr:sp macro="" textlink="calculation!$E$4">
      <xdr:nvSpPr>
        <xdr:cNvPr id="18" name="TextBox 17">
          <a:extLst>
            <a:ext uri="{FF2B5EF4-FFF2-40B4-BE49-F238E27FC236}">
              <a16:creationId xmlns:a16="http://schemas.microsoft.com/office/drawing/2014/main" id="{DCE3CD27-56EF-47A7-AB5C-F338E1F73410}"/>
            </a:ext>
          </a:extLst>
        </xdr:cNvPr>
        <xdr:cNvSpPr txBox="1"/>
      </xdr:nvSpPr>
      <xdr:spPr>
        <a:xfrm>
          <a:off x="586740" y="670560"/>
          <a:ext cx="92964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D4E558B-4C91-45F4-9691-A46AF6512D13}" type="TxLink">
            <a:rPr lang="en-US" sz="2400" b="0" i="0" u="none" strike="noStrike">
              <a:solidFill>
                <a:schemeClr val="tx2">
                  <a:lumMod val="75000"/>
                </a:schemeClr>
              </a:solidFill>
              <a:latin typeface="Calibri"/>
              <a:ea typeface="Calibri"/>
              <a:cs typeface="Calibri"/>
            </a:rPr>
            <a:pPr/>
            <a:t>1470</a:t>
          </a:fld>
          <a:endParaRPr lang="en-IN" sz="2400" b="0">
            <a:solidFill>
              <a:schemeClr val="tx2">
                <a:lumMod val="75000"/>
              </a:schemeClr>
            </a:solidFill>
          </a:endParaRPr>
        </a:p>
      </xdr:txBody>
    </xdr:sp>
    <xdr:clientData/>
  </xdr:oneCellAnchor>
  <xdr:twoCellAnchor>
    <xdr:from>
      <xdr:col>3</xdr:col>
      <xdr:colOff>53340</xdr:colOff>
      <xdr:row>7</xdr:row>
      <xdr:rowOff>137160</xdr:rowOff>
    </xdr:from>
    <xdr:to>
      <xdr:col>5</xdr:col>
      <xdr:colOff>198120</xdr:colOff>
      <xdr:row>11</xdr:row>
      <xdr:rowOff>121920</xdr:rowOff>
    </xdr:to>
    <xdr:sp macro="" textlink="">
      <xdr:nvSpPr>
        <xdr:cNvPr id="19" name="Rectangle: Rounded Corners 18">
          <a:extLst>
            <a:ext uri="{FF2B5EF4-FFF2-40B4-BE49-F238E27FC236}">
              <a16:creationId xmlns:a16="http://schemas.microsoft.com/office/drawing/2014/main" id="{7F2B763C-4158-4BCA-954C-68249A0A3C9F}"/>
            </a:ext>
          </a:extLst>
        </xdr:cNvPr>
        <xdr:cNvSpPr/>
      </xdr:nvSpPr>
      <xdr:spPr>
        <a:xfrm>
          <a:off x="53340" y="1417320"/>
          <a:ext cx="1363980" cy="7162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a:p>
          <a:pPr algn="l"/>
          <a:endParaRPr lang="en-US" sz="1100"/>
        </a:p>
        <a:p>
          <a:pPr algn="ctr"/>
          <a:r>
            <a:rPr lang="en-US" sz="1100"/>
            <a:t>Employees</a:t>
          </a:r>
          <a:r>
            <a:rPr lang="en-US" sz="1100" baseline="0"/>
            <a:t> Left</a:t>
          </a:r>
          <a:endParaRPr lang="en-US" sz="1100"/>
        </a:p>
      </xdr:txBody>
    </xdr:sp>
    <xdr:clientData/>
  </xdr:twoCellAnchor>
  <xdr:oneCellAnchor>
    <xdr:from>
      <xdr:col>4</xdr:col>
      <xdr:colOff>68580</xdr:colOff>
      <xdr:row>7</xdr:row>
      <xdr:rowOff>175260</xdr:rowOff>
    </xdr:from>
    <xdr:ext cx="672411" cy="468013"/>
    <xdr:sp macro="" textlink="calculation!$E$6">
      <xdr:nvSpPr>
        <xdr:cNvPr id="20" name="TextBox 19">
          <a:extLst>
            <a:ext uri="{FF2B5EF4-FFF2-40B4-BE49-F238E27FC236}">
              <a16:creationId xmlns:a16="http://schemas.microsoft.com/office/drawing/2014/main" id="{B2E35D17-3979-4450-AE09-E99FB24B95A1}"/>
            </a:ext>
          </a:extLst>
        </xdr:cNvPr>
        <xdr:cNvSpPr txBox="1"/>
      </xdr:nvSpPr>
      <xdr:spPr>
        <a:xfrm>
          <a:off x="678180" y="1455420"/>
          <a:ext cx="67241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987D088D-D8C2-4B96-A16B-F3A2A240B8A1}" type="TxLink">
            <a:rPr lang="en-US" sz="2400" b="0" i="0" u="none" strike="noStrike">
              <a:solidFill>
                <a:srgbClr val="C00000"/>
              </a:solidFill>
              <a:latin typeface="Calibri"/>
              <a:ea typeface="Calibri"/>
              <a:cs typeface="Calibri"/>
            </a:rPr>
            <a:pPr marL="0" indent="0"/>
            <a:t>237</a:t>
          </a:fld>
          <a:endParaRPr lang="en-IN" sz="2400" b="0" i="0" u="none" strike="noStrike">
            <a:solidFill>
              <a:srgbClr val="C00000"/>
            </a:solidFill>
            <a:latin typeface="Calibri"/>
            <a:ea typeface="Calibri"/>
            <a:cs typeface="Calibri"/>
          </a:endParaRPr>
        </a:p>
      </xdr:txBody>
    </xdr:sp>
    <xdr:clientData/>
  </xdr:oneCellAnchor>
  <xdr:twoCellAnchor>
    <xdr:from>
      <xdr:col>3</xdr:col>
      <xdr:colOff>60960</xdr:colOff>
      <xdr:row>16</xdr:row>
      <xdr:rowOff>38100</xdr:rowOff>
    </xdr:from>
    <xdr:to>
      <xdr:col>5</xdr:col>
      <xdr:colOff>205740</xdr:colOff>
      <xdr:row>20</xdr:row>
      <xdr:rowOff>22860</xdr:rowOff>
    </xdr:to>
    <xdr:sp macro="" textlink="">
      <xdr:nvSpPr>
        <xdr:cNvPr id="21" name="Rectangle: Rounded Corners 20">
          <a:extLst>
            <a:ext uri="{FF2B5EF4-FFF2-40B4-BE49-F238E27FC236}">
              <a16:creationId xmlns:a16="http://schemas.microsoft.com/office/drawing/2014/main" id="{3CE474F2-7F1D-4711-806E-5E54BD25944C}"/>
            </a:ext>
          </a:extLst>
        </xdr:cNvPr>
        <xdr:cNvSpPr/>
      </xdr:nvSpPr>
      <xdr:spPr>
        <a:xfrm>
          <a:off x="60960" y="2964180"/>
          <a:ext cx="1363980" cy="7162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a:p>
          <a:pPr algn="l"/>
          <a:endParaRPr lang="en-US" sz="1100"/>
        </a:p>
        <a:p>
          <a:pPr algn="ctr"/>
          <a:r>
            <a:rPr lang="en-US" sz="1100"/>
            <a:t>Attrition</a:t>
          </a:r>
          <a:r>
            <a:rPr lang="en-US" sz="1100" baseline="0"/>
            <a:t> Rate</a:t>
          </a:r>
          <a:endParaRPr lang="en-US" sz="1100"/>
        </a:p>
      </xdr:txBody>
    </xdr:sp>
    <xdr:clientData/>
  </xdr:twoCellAnchor>
  <xdr:oneCellAnchor>
    <xdr:from>
      <xdr:col>3</xdr:col>
      <xdr:colOff>281940</xdr:colOff>
      <xdr:row>16</xdr:row>
      <xdr:rowOff>45720</xdr:rowOff>
    </xdr:from>
    <xdr:ext cx="1203960" cy="468013"/>
    <xdr:sp macro="" textlink="calculation!E8">
      <xdr:nvSpPr>
        <xdr:cNvPr id="22" name="TextBox 21">
          <a:extLst>
            <a:ext uri="{FF2B5EF4-FFF2-40B4-BE49-F238E27FC236}">
              <a16:creationId xmlns:a16="http://schemas.microsoft.com/office/drawing/2014/main" id="{704F0CA0-C0A7-48E1-BAD7-9FAA0FE52627}"/>
            </a:ext>
          </a:extLst>
        </xdr:cNvPr>
        <xdr:cNvSpPr txBox="1"/>
      </xdr:nvSpPr>
      <xdr:spPr>
        <a:xfrm>
          <a:off x="281940" y="2971800"/>
          <a:ext cx="120396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9591E5E6-E59A-47E0-BB83-66291339C80D}" type="TxLink">
            <a:rPr lang="en-US" sz="2400" b="0" i="0" u="none" strike="noStrike">
              <a:solidFill>
                <a:schemeClr val="accent1">
                  <a:lumMod val="50000"/>
                </a:schemeClr>
              </a:solidFill>
              <a:latin typeface="Calibri"/>
              <a:ea typeface="Calibri"/>
              <a:cs typeface="Calibri"/>
            </a:rPr>
            <a:pPr algn="r"/>
            <a:t>16.12%</a:t>
          </a:fld>
          <a:endParaRPr lang="en-US" sz="2400">
            <a:solidFill>
              <a:schemeClr val="accent1">
                <a:lumMod val="50000"/>
              </a:schemeClr>
            </a:solidFill>
          </a:endParaRPr>
        </a:p>
      </xdr:txBody>
    </xdr:sp>
    <xdr:clientData/>
  </xdr:oneCellAnchor>
  <xdr:twoCellAnchor>
    <xdr:from>
      <xdr:col>3</xdr:col>
      <xdr:colOff>53340</xdr:colOff>
      <xdr:row>12</xdr:row>
      <xdr:rowOff>0</xdr:rowOff>
    </xdr:from>
    <xdr:to>
      <xdr:col>5</xdr:col>
      <xdr:colOff>198120</xdr:colOff>
      <xdr:row>15</xdr:row>
      <xdr:rowOff>167640</xdr:rowOff>
    </xdr:to>
    <xdr:sp macro="" textlink="">
      <xdr:nvSpPr>
        <xdr:cNvPr id="23" name="Rectangle: Rounded Corners 22">
          <a:extLst>
            <a:ext uri="{FF2B5EF4-FFF2-40B4-BE49-F238E27FC236}">
              <a16:creationId xmlns:a16="http://schemas.microsoft.com/office/drawing/2014/main" id="{059EF1EC-DBBD-4154-B71A-E9307B8F2964}"/>
            </a:ext>
          </a:extLst>
        </xdr:cNvPr>
        <xdr:cNvSpPr/>
      </xdr:nvSpPr>
      <xdr:spPr>
        <a:xfrm>
          <a:off x="53340" y="2194560"/>
          <a:ext cx="1363980" cy="7162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a:p>
          <a:pPr algn="l"/>
          <a:endParaRPr lang="en-US" sz="1100"/>
        </a:p>
        <a:p>
          <a:pPr algn="ctr"/>
          <a:r>
            <a:rPr lang="en-US" sz="1100"/>
            <a:t>Active</a:t>
          </a:r>
          <a:r>
            <a:rPr lang="en-US" sz="1100" baseline="0"/>
            <a:t> Employee</a:t>
          </a:r>
          <a:endParaRPr lang="en-US" sz="1100"/>
        </a:p>
      </xdr:txBody>
    </xdr:sp>
    <xdr:clientData/>
  </xdr:twoCellAnchor>
  <xdr:twoCellAnchor editAs="oneCell">
    <xdr:from>
      <xdr:col>3</xdr:col>
      <xdr:colOff>220980</xdr:colOff>
      <xdr:row>4</xdr:row>
      <xdr:rowOff>0</xdr:rowOff>
    </xdr:from>
    <xdr:to>
      <xdr:col>4</xdr:col>
      <xdr:colOff>15240</xdr:colOff>
      <xdr:row>6</xdr:row>
      <xdr:rowOff>38100</xdr:rowOff>
    </xdr:to>
    <xdr:pic>
      <xdr:nvPicPr>
        <xdr:cNvPr id="25" name="Graphic 24" descr="Users with solid fill">
          <a:extLst>
            <a:ext uri="{FF2B5EF4-FFF2-40B4-BE49-F238E27FC236}">
              <a16:creationId xmlns:a16="http://schemas.microsoft.com/office/drawing/2014/main" id="{C51FD5E8-A5FE-4406-9621-CA2E52062C4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0980" y="731520"/>
          <a:ext cx="403860" cy="403860"/>
        </a:xfrm>
        <a:prstGeom prst="rect">
          <a:avLst/>
        </a:prstGeom>
      </xdr:spPr>
    </xdr:pic>
    <xdr:clientData/>
  </xdr:twoCellAnchor>
  <xdr:twoCellAnchor editAs="oneCell">
    <xdr:from>
      <xdr:col>3</xdr:col>
      <xdr:colOff>236220</xdr:colOff>
      <xdr:row>12</xdr:row>
      <xdr:rowOff>60960</xdr:rowOff>
    </xdr:from>
    <xdr:to>
      <xdr:col>3</xdr:col>
      <xdr:colOff>579120</xdr:colOff>
      <xdr:row>14</xdr:row>
      <xdr:rowOff>38100</xdr:rowOff>
    </xdr:to>
    <xdr:pic>
      <xdr:nvPicPr>
        <xdr:cNvPr id="26" name="Graphic 25" descr="Employee badge with solid fill">
          <a:extLst>
            <a:ext uri="{FF2B5EF4-FFF2-40B4-BE49-F238E27FC236}">
              <a16:creationId xmlns:a16="http://schemas.microsoft.com/office/drawing/2014/main" id="{C7B8C548-AB8D-43BC-B149-1A8E6F4685C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36220" y="2255520"/>
          <a:ext cx="342900" cy="342900"/>
        </a:xfrm>
        <a:prstGeom prst="rect">
          <a:avLst/>
        </a:prstGeom>
      </xdr:spPr>
    </xdr:pic>
    <xdr:clientData/>
  </xdr:twoCellAnchor>
  <xdr:twoCellAnchor editAs="oneCell">
    <xdr:from>
      <xdr:col>3</xdr:col>
      <xdr:colOff>220980</xdr:colOff>
      <xdr:row>8</xdr:row>
      <xdr:rowOff>45720</xdr:rowOff>
    </xdr:from>
    <xdr:to>
      <xdr:col>3</xdr:col>
      <xdr:colOff>541020</xdr:colOff>
      <xdr:row>10</xdr:row>
      <xdr:rowOff>0</xdr:rowOff>
    </xdr:to>
    <xdr:pic>
      <xdr:nvPicPr>
        <xdr:cNvPr id="27" name="Graphic 26" descr="User with solid fill">
          <a:extLst>
            <a:ext uri="{FF2B5EF4-FFF2-40B4-BE49-F238E27FC236}">
              <a16:creationId xmlns:a16="http://schemas.microsoft.com/office/drawing/2014/main" id="{8EF59F36-97B9-4FDC-BFFE-1E197BF750A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0980" y="1508760"/>
          <a:ext cx="320040" cy="320040"/>
        </a:xfrm>
        <a:prstGeom prst="rect">
          <a:avLst/>
        </a:prstGeom>
      </xdr:spPr>
    </xdr:pic>
    <xdr:clientData/>
  </xdr:twoCellAnchor>
  <xdr:twoCellAnchor editAs="oneCell">
    <xdr:from>
      <xdr:col>3</xdr:col>
      <xdr:colOff>182880</xdr:colOff>
      <xdr:row>8</xdr:row>
      <xdr:rowOff>7620</xdr:rowOff>
    </xdr:from>
    <xdr:to>
      <xdr:col>3</xdr:col>
      <xdr:colOff>586080</xdr:colOff>
      <xdr:row>10</xdr:row>
      <xdr:rowOff>45060</xdr:rowOff>
    </xdr:to>
    <xdr:pic>
      <xdr:nvPicPr>
        <xdr:cNvPr id="28" name="Graphic 27" descr="Close with solid fill">
          <a:extLst>
            <a:ext uri="{FF2B5EF4-FFF2-40B4-BE49-F238E27FC236}">
              <a16:creationId xmlns:a16="http://schemas.microsoft.com/office/drawing/2014/main" id="{D1182F2F-91F5-4C05-893C-8DF172D722D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2880" y="1470660"/>
          <a:ext cx="403200" cy="403200"/>
        </a:xfrm>
        <a:prstGeom prst="rect">
          <a:avLst/>
        </a:prstGeom>
      </xdr:spPr>
    </xdr:pic>
    <xdr:clientData/>
  </xdr:twoCellAnchor>
  <xdr:twoCellAnchor editAs="oneCell">
    <xdr:from>
      <xdr:col>3</xdr:col>
      <xdr:colOff>167640</xdr:colOff>
      <xdr:row>16</xdr:row>
      <xdr:rowOff>106680</xdr:rowOff>
    </xdr:from>
    <xdr:to>
      <xdr:col>3</xdr:col>
      <xdr:colOff>495300</xdr:colOff>
      <xdr:row>18</xdr:row>
      <xdr:rowOff>68580</xdr:rowOff>
    </xdr:to>
    <xdr:pic>
      <xdr:nvPicPr>
        <xdr:cNvPr id="29" name="Graphic 1" descr="Downward trend graph with solid fill">
          <a:extLst>
            <a:ext uri="{FF2B5EF4-FFF2-40B4-BE49-F238E27FC236}">
              <a16:creationId xmlns:a16="http://schemas.microsoft.com/office/drawing/2014/main" id="{D3E14F33-45AC-49D9-8A92-00931DD5D2C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7640" y="3032760"/>
          <a:ext cx="327660" cy="327660"/>
        </a:xfrm>
        <a:prstGeom prst="rect">
          <a:avLst/>
        </a:prstGeom>
      </xdr:spPr>
    </xdr:pic>
    <xdr:clientData/>
  </xdr:twoCellAnchor>
  <xdr:twoCellAnchor editAs="oneCell">
    <xdr:from>
      <xdr:col>3</xdr:col>
      <xdr:colOff>137160</xdr:colOff>
      <xdr:row>0</xdr:row>
      <xdr:rowOff>152400</xdr:rowOff>
    </xdr:from>
    <xdr:to>
      <xdr:col>3</xdr:col>
      <xdr:colOff>426720</xdr:colOff>
      <xdr:row>2</xdr:row>
      <xdr:rowOff>76200</xdr:rowOff>
    </xdr:to>
    <xdr:pic>
      <xdr:nvPicPr>
        <xdr:cNvPr id="30" name="Graphic 29" descr="Users with solid fill">
          <a:extLst>
            <a:ext uri="{FF2B5EF4-FFF2-40B4-BE49-F238E27FC236}">
              <a16:creationId xmlns:a16="http://schemas.microsoft.com/office/drawing/2014/main" id="{500B346B-1C1D-4BEC-BD1C-7CA19C5119C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7160" y="152400"/>
          <a:ext cx="289560" cy="289560"/>
        </a:xfrm>
        <a:prstGeom prst="rect">
          <a:avLst/>
        </a:prstGeom>
      </xdr:spPr>
    </xdr:pic>
    <xdr:clientData/>
  </xdr:twoCellAnchor>
  <xdr:twoCellAnchor>
    <xdr:from>
      <xdr:col>18</xdr:col>
      <xdr:colOff>480060</xdr:colOff>
      <xdr:row>20</xdr:row>
      <xdr:rowOff>99060</xdr:rowOff>
    </xdr:from>
    <xdr:to>
      <xdr:col>22</xdr:col>
      <xdr:colOff>548640</xdr:colOff>
      <xdr:row>30</xdr:row>
      <xdr:rowOff>53340</xdr:rowOff>
    </xdr:to>
    <xdr:graphicFrame macro="">
      <xdr:nvGraphicFramePr>
        <xdr:cNvPr id="32" name="Chart 31">
          <a:extLst>
            <a:ext uri="{FF2B5EF4-FFF2-40B4-BE49-F238E27FC236}">
              <a16:creationId xmlns:a16="http://schemas.microsoft.com/office/drawing/2014/main" id="{FF9A8FDE-8D22-40F6-B04D-C1BEEDF5A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480060</xdr:colOff>
      <xdr:row>0</xdr:row>
      <xdr:rowOff>60960</xdr:rowOff>
    </xdr:from>
    <xdr:to>
      <xdr:col>22</xdr:col>
      <xdr:colOff>541020</xdr:colOff>
      <xdr:row>11</xdr:row>
      <xdr:rowOff>114300</xdr:rowOff>
    </xdr:to>
    <xdr:sp macro="" textlink="">
      <xdr:nvSpPr>
        <xdr:cNvPr id="33" name="TextBox 32">
          <a:extLst>
            <a:ext uri="{FF2B5EF4-FFF2-40B4-BE49-F238E27FC236}">
              <a16:creationId xmlns:a16="http://schemas.microsoft.com/office/drawing/2014/main" id="{180A4E2C-E943-A974-639B-918A1586658D}"/>
            </a:ext>
          </a:extLst>
        </xdr:cNvPr>
        <xdr:cNvSpPr txBox="1"/>
      </xdr:nvSpPr>
      <xdr:spPr>
        <a:xfrm>
          <a:off x="11452860" y="60960"/>
          <a:ext cx="2499360" cy="20650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Insights</a:t>
          </a:r>
        </a:p>
        <a:p>
          <a:endParaRPr lang="en-IN" sz="1050"/>
        </a:p>
        <a:p>
          <a:r>
            <a:rPr lang="en-IN" sz="1050" i="1"/>
            <a:t>• R&amp;D drives the majority of employee attrition (56%).</a:t>
          </a:r>
        </a:p>
        <a:p>
          <a:r>
            <a:rPr lang="en-IN" sz="1050" i="1"/>
            <a:t>• Most exits occur within the first 5 years (68%).</a:t>
          </a:r>
        </a:p>
        <a:p>
          <a:r>
            <a:rPr lang="en-IN" sz="1050" i="1"/>
            <a:t>• Attrition is highest among employees aged 26–35.</a:t>
          </a:r>
        </a:p>
        <a:p>
          <a:pPr marL="0" marR="0" lvl="0" indent="0" algn="l" defTabSz="914400" eaLnBrk="1" fontAlgn="auto" latinLnBrk="0" hangingPunct="1">
            <a:lnSpc>
              <a:spcPct val="100000"/>
            </a:lnSpc>
            <a:spcBef>
              <a:spcPts val="0"/>
            </a:spcBef>
            <a:spcAft>
              <a:spcPts val="0"/>
            </a:spcAft>
            <a:buClrTx/>
            <a:buSzTx/>
            <a:buFontTx/>
            <a:buNone/>
            <a:tabLst/>
            <a:defRPr/>
          </a:pPr>
          <a:r>
            <a:rPr lang="en-IN" sz="1050" i="1">
              <a:solidFill>
                <a:schemeClr val="dk1"/>
              </a:solidFill>
              <a:latin typeface="+mn-lt"/>
              <a:ea typeface="+mn-ea"/>
              <a:cs typeface="+mn-cs"/>
            </a:rPr>
            <a:t>• Employees working overtime account for 54% of attrition</a:t>
          </a:r>
          <a:r>
            <a:rPr lang="en-IN" sz="1050"/>
            <a:t>.</a:t>
          </a:r>
          <a:endParaRPr lang="en-IN" sz="1050" b="0" i="1">
            <a:solidFill>
              <a:schemeClr val="dk1"/>
            </a:solidFill>
            <a:latin typeface="+mn-lt"/>
            <a:ea typeface="+mn-ea"/>
            <a:cs typeface="+mn-cs"/>
          </a:endParaRPr>
        </a:p>
        <a:p>
          <a:pPr algn="l"/>
          <a:endParaRPr lang="en-IN" sz="1000" b="0" i="1"/>
        </a:p>
      </xdr:txBody>
    </xdr:sp>
    <xdr:clientData/>
  </xdr:twoCellAnchor>
  <xdr:twoCellAnchor>
    <xdr:from>
      <xdr:col>3</xdr:col>
      <xdr:colOff>76200</xdr:colOff>
      <xdr:row>24</xdr:row>
      <xdr:rowOff>99060</xdr:rowOff>
    </xdr:from>
    <xdr:to>
      <xdr:col>5</xdr:col>
      <xdr:colOff>213360</xdr:colOff>
      <xdr:row>28</xdr:row>
      <xdr:rowOff>99060</xdr:rowOff>
    </xdr:to>
    <xdr:sp macro="" textlink="">
      <xdr:nvSpPr>
        <xdr:cNvPr id="34" name="Rectangle: Rounded Corners 33">
          <a:extLst>
            <a:ext uri="{FF2B5EF4-FFF2-40B4-BE49-F238E27FC236}">
              <a16:creationId xmlns:a16="http://schemas.microsoft.com/office/drawing/2014/main" id="{5EE3DC05-7CB1-4E94-B95C-16209808F7AC}"/>
            </a:ext>
          </a:extLst>
        </xdr:cNvPr>
        <xdr:cNvSpPr/>
      </xdr:nvSpPr>
      <xdr:spPr>
        <a:xfrm>
          <a:off x="1905000" y="4488180"/>
          <a:ext cx="1356360" cy="7315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a:p>
          <a:pPr algn="ctr"/>
          <a:endParaRPr lang="en-IN" sz="1100">
            <a:solidFill>
              <a:schemeClr val="tx1">
                <a:lumMod val="85000"/>
                <a:lumOff val="15000"/>
              </a:schemeClr>
            </a:solidFill>
          </a:endParaRPr>
        </a:p>
        <a:p>
          <a:pPr algn="ctr"/>
          <a:r>
            <a:rPr lang="en-IN" sz="1100">
              <a:solidFill>
                <a:schemeClr val="tx1">
                  <a:lumMod val="85000"/>
                  <a:lumOff val="15000"/>
                </a:schemeClr>
              </a:solidFill>
              <a:latin typeface="+mn-lt"/>
              <a:ea typeface="+mn-ea"/>
              <a:cs typeface="+mn-cs"/>
            </a:rPr>
            <a:t>Average</a:t>
          </a:r>
          <a:r>
            <a:rPr lang="en-IN" sz="1100" baseline="0">
              <a:solidFill>
                <a:schemeClr val="tx1">
                  <a:lumMod val="85000"/>
                  <a:lumOff val="15000"/>
                </a:schemeClr>
              </a:solidFill>
            </a:rPr>
            <a:t> </a:t>
          </a:r>
          <a:r>
            <a:rPr lang="en-IN" sz="1100">
              <a:solidFill>
                <a:schemeClr val="tx1">
                  <a:lumMod val="85000"/>
                  <a:lumOff val="15000"/>
                </a:schemeClr>
              </a:solidFill>
            </a:rPr>
            <a:t>salary</a:t>
          </a:r>
        </a:p>
      </xdr:txBody>
    </xdr:sp>
    <xdr:clientData/>
  </xdr:twoCellAnchor>
  <xdr:oneCellAnchor>
    <xdr:from>
      <xdr:col>1</xdr:col>
      <xdr:colOff>403860</xdr:colOff>
      <xdr:row>20</xdr:row>
      <xdr:rowOff>137160</xdr:rowOff>
    </xdr:from>
    <xdr:ext cx="533400" cy="152400"/>
    <xdr:sp macro="" textlink="dashboard!$E$19">
      <xdr:nvSpPr>
        <xdr:cNvPr id="35" name="TextBox 34">
          <a:extLst>
            <a:ext uri="{FF2B5EF4-FFF2-40B4-BE49-F238E27FC236}">
              <a16:creationId xmlns:a16="http://schemas.microsoft.com/office/drawing/2014/main" id="{6CF31C1B-550F-48F7-9B52-C2D5538A779C}"/>
            </a:ext>
          </a:extLst>
        </xdr:cNvPr>
        <xdr:cNvSpPr txBox="1"/>
      </xdr:nvSpPr>
      <xdr:spPr>
        <a:xfrm>
          <a:off x="1013460" y="3794760"/>
          <a:ext cx="533400" cy="152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1588BE16-20ED-4C16-B437-35BC75C037BB}" type="TxLink">
            <a:rPr lang="en-US" sz="1100" b="0" i="0" u="none" strike="noStrike">
              <a:solidFill>
                <a:srgbClr val="000000"/>
              </a:solidFill>
              <a:latin typeface="Calibri"/>
              <a:ea typeface="Calibri"/>
              <a:cs typeface="Calibri"/>
            </a:rPr>
            <a:pPr algn="r"/>
            <a:t> </a:t>
          </a:fld>
          <a:endParaRPr lang="en-US" sz="2400" b="0" i="0" u="none" strike="noStrike">
            <a:solidFill>
              <a:schemeClr val="accent1">
                <a:lumMod val="50000"/>
              </a:schemeClr>
            </a:solidFill>
            <a:latin typeface="Calibri"/>
            <a:ea typeface="Calibri"/>
            <a:cs typeface="Calibri"/>
          </a:endParaRPr>
        </a:p>
      </xdr:txBody>
    </xdr:sp>
    <xdr:clientData/>
  </xdr:oneCellAnchor>
  <xdr:oneCellAnchor>
    <xdr:from>
      <xdr:col>3</xdr:col>
      <xdr:colOff>160020</xdr:colOff>
      <xdr:row>12</xdr:row>
      <xdr:rowOff>7620</xdr:rowOff>
    </xdr:from>
    <xdr:ext cx="1203960" cy="468013"/>
    <xdr:sp macro="" textlink="">
      <xdr:nvSpPr>
        <xdr:cNvPr id="36" name="TextBox 35">
          <a:extLst>
            <a:ext uri="{FF2B5EF4-FFF2-40B4-BE49-F238E27FC236}">
              <a16:creationId xmlns:a16="http://schemas.microsoft.com/office/drawing/2014/main" id="{1BD1DBC8-36AF-4AC4-8C61-081B4F8F8A7A}"/>
            </a:ext>
          </a:extLst>
        </xdr:cNvPr>
        <xdr:cNvSpPr txBox="1"/>
      </xdr:nvSpPr>
      <xdr:spPr>
        <a:xfrm>
          <a:off x="1988820" y="2202180"/>
          <a:ext cx="120396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r>
            <a:rPr lang="en-US" sz="2400" b="0" i="0" u="none" strike="noStrike">
              <a:solidFill>
                <a:schemeClr val="accent1">
                  <a:lumMod val="50000"/>
                </a:schemeClr>
              </a:solidFill>
              <a:latin typeface="Calibri"/>
              <a:ea typeface="Calibri"/>
              <a:cs typeface="Calibri"/>
            </a:rPr>
            <a:t>1233</a:t>
          </a:r>
        </a:p>
      </xdr:txBody>
    </xdr:sp>
    <xdr:clientData/>
  </xdr:oneCellAnchor>
  <xdr:oneCellAnchor>
    <xdr:from>
      <xdr:col>3</xdr:col>
      <xdr:colOff>243840</xdr:colOff>
      <xdr:row>24</xdr:row>
      <xdr:rowOff>106680</xdr:rowOff>
    </xdr:from>
    <xdr:ext cx="1196340" cy="468013"/>
    <xdr:sp macro="" textlink="calculation!E16">
      <xdr:nvSpPr>
        <xdr:cNvPr id="37" name="TextBox 36">
          <a:extLst>
            <a:ext uri="{FF2B5EF4-FFF2-40B4-BE49-F238E27FC236}">
              <a16:creationId xmlns:a16="http://schemas.microsoft.com/office/drawing/2014/main" id="{476F069A-0DE2-4B71-B481-0F9B97BA57D9}"/>
            </a:ext>
          </a:extLst>
        </xdr:cNvPr>
        <xdr:cNvSpPr txBox="1"/>
      </xdr:nvSpPr>
      <xdr:spPr>
        <a:xfrm>
          <a:off x="2072640" y="4495800"/>
          <a:ext cx="119634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fld id="{7EB06A5C-CA85-402A-87B7-B246B66F6911}" type="TxLink">
            <a:rPr lang="en-US" sz="2400" b="0" i="0" u="none" strike="noStrike">
              <a:solidFill>
                <a:schemeClr val="accent1">
                  <a:lumMod val="50000"/>
                </a:schemeClr>
              </a:solidFill>
              <a:latin typeface="Calibri"/>
              <a:ea typeface="Calibri"/>
              <a:cs typeface="Calibri"/>
            </a:rPr>
            <a:pPr marL="0" indent="0" algn="r"/>
            <a:t>₹ 6,503</a:t>
          </a:fld>
          <a:endParaRPr lang="en-US" sz="2400" b="0" i="0" u="none" strike="noStrike">
            <a:solidFill>
              <a:schemeClr val="accent1">
                <a:lumMod val="50000"/>
              </a:schemeClr>
            </a:solidFill>
            <a:latin typeface="Calibri"/>
            <a:ea typeface="Calibri"/>
            <a:cs typeface="Calibri"/>
          </a:endParaRPr>
        </a:p>
      </xdr:txBody>
    </xdr:sp>
    <xdr:clientData/>
  </xdr:oneCellAnchor>
  <xdr:twoCellAnchor>
    <xdr:from>
      <xdr:col>3</xdr:col>
      <xdr:colOff>68580</xdr:colOff>
      <xdr:row>20</xdr:row>
      <xdr:rowOff>60960</xdr:rowOff>
    </xdr:from>
    <xdr:to>
      <xdr:col>5</xdr:col>
      <xdr:colOff>205740</xdr:colOff>
      <xdr:row>24</xdr:row>
      <xdr:rowOff>60960</xdr:rowOff>
    </xdr:to>
    <xdr:sp macro="" textlink="">
      <xdr:nvSpPr>
        <xdr:cNvPr id="40" name="Rectangle: Rounded Corners 39">
          <a:extLst>
            <a:ext uri="{FF2B5EF4-FFF2-40B4-BE49-F238E27FC236}">
              <a16:creationId xmlns:a16="http://schemas.microsoft.com/office/drawing/2014/main" id="{D4D06B34-94F7-4AC6-A730-5D70D83350BC}"/>
            </a:ext>
          </a:extLst>
        </xdr:cNvPr>
        <xdr:cNvSpPr/>
      </xdr:nvSpPr>
      <xdr:spPr>
        <a:xfrm>
          <a:off x="1897380" y="3718560"/>
          <a:ext cx="1356360" cy="7315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a:p>
          <a:pPr algn="ctr"/>
          <a:endParaRPr lang="en-IN" sz="1100">
            <a:solidFill>
              <a:schemeClr val="tx1">
                <a:lumMod val="85000"/>
                <a:lumOff val="15000"/>
              </a:schemeClr>
            </a:solidFill>
          </a:endParaRPr>
        </a:p>
        <a:p>
          <a:pPr algn="ctr"/>
          <a:r>
            <a:rPr lang="en-IN" sz="1100">
              <a:solidFill>
                <a:schemeClr val="tx1">
                  <a:lumMod val="85000"/>
                  <a:lumOff val="15000"/>
                </a:schemeClr>
              </a:solidFill>
            </a:rPr>
            <a:t>Average</a:t>
          </a:r>
          <a:r>
            <a:rPr lang="en-IN" sz="1100" baseline="0">
              <a:solidFill>
                <a:schemeClr val="tx1">
                  <a:lumMod val="85000"/>
                  <a:lumOff val="15000"/>
                </a:schemeClr>
              </a:solidFill>
            </a:rPr>
            <a:t> </a:t>
          </a:r>
          <a:r>
            <a:rPr lang="en-IN" sz="1100">
              <a:solidFill>
                <a:schemeClr val="dk1"/>
              </a:solidFill>
              <a:latin typeface="+mn-lt"/>
              <a:ea typeface="+mn-ea"/>
              <a:cs typeface="+mn-cs"/>
            </a:rPr>
            <a:t>Tenure</a:t>
          </a:r>
        </a:p>
      </xdr:txBody>
    </xdr:sp>
    <xdr:clientData/>
  </xdr:twoCellAnchor>
  <xdr:oneCellAnchor>
    <xdr:from>
      <xdr:col>3</xdr:col>
      <xdr:colOff>236220</xdr:colOff>
      <xdr:row>20</xdr:row>
      <xdr:rowOff>76200</xdr:rowOff>
    </xdr:from>
    <xdr:ext cx="1196340" cy="468013"/>
    <xdr:sp macro="" textlink="calculation!E12">
      <xdr:nvSpPr>
        <xdr:cNvPr id="41" name="TextBox 40">
          <a:extLst>
            <a:ext uri="{FF2B5EF4-FFF2-40B4-BE49-F238E27FC236}">
              <a16:creationId xmlns:a16="http://schemas.microsoft.com/office/drawing/2014/main" id="{910FBCBE-CE48-4548-8936-F2F3CBF8DF04}"/>
            </a:ext>
          </a:extLst>
        </xdr:cNvPr>
        <xdr:cNvSpPr txBox="1"/>
      </xdr:nvSpPr>
      <xdr:spPr>
        <a:xfrm>
          <a:off x="2065020" y="3733800"/>
          <a:ext cx="119634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fld id="{53A8A4A1-4367-47CA-B77B-C3F44324BA16}" type="TxLink">
            <a:rPr lang="en-US" sz="2400" b="0" i="0" u="none" strike="noStrike">
              <a:solidFill>
                <a:schemeClr val="accent1">
                  <a:lumMod val="50000"/>
                </a:schemeClr>
              </a:solidFill>
              <a:latin typeface="Calibri"/>
              <a:ea typeface="Calibri"/>
              <a:cs typeface="Calibri"/>
            </a:rPr>
            <a:pPr marL="0" indent="0" algn="r"/>
            <a:t>7.01</a:t>
          </a:fld>
          <a:endParaRPr lang="en-US" sz="2400" b="0" i="0" u="none" strike="noStrike">
            <a:solidFill>
              <a:schemeClr val="accent1">
                <a:lumMod val="50000"/>
              </a:schemeClr>
            </a:solidFill>
            <a:latin typeface="Calibri"/>
            <a:ea typeface="Calibri"/>
            <a:cs typeface="Calibri"/>
          </a:endParaRPr>
        </a:p>
      </xdr:txBody>
    </xdr:sp>
    <xdr:clientData/>
  </xdr:oneCellAnchor>
  <xdr:twoCellAnchor editAs="oneCell">
    <xdr:from>
      <xdr:col>3</xdr:col>
      <xdr:colOff>259080</xdr:colOff>
      <xdr:row>20</xdr:row>
      <xdr:rowOff>121920</xdr:rowOff>
    </xdr:from>
    <xdr:to>
      <xdr:col>4</xdr:col>
      <xdr:colOff>22860</xdr:colOff>
      <xdr:row>22</xdr:row>
      <xdr:rowOff>129540</xdr:rowOff>
    </xdr:to>
    <xdr:pic>
      <xdr:nvPicPr>
        <xdr:cNvPr id="43" name="Graphic 42" descr="Daily calendar with solid fill">
          <a:extLst>
            <a:ext uri="{FF2B5EF4-FFF2-40B4-BE49-F238E27FC236}">
              <a16:creationId xmlns:a16="http://schemas.microsoft.com/office/drawing/2014/main" id="{1CAA70CF-17CE-EEDE-696F-B2CB9C132FB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087880" y="3779520"/>
          <a:ext cx="373380" cy="373380"/>
        </a:xfrm>
        <a:prstGeom prst="rect">
          <a:avLst/>
        </a:prstGeom>
      </xdr:spPr>
    </xdr:pic>
    <xdr:clientData/>
  </xdr:twoCellAnchor>
  <xdr:twoCellAnchor editAs="oneCell">
    <xdr:from>
      <xdr:col>9</xdr:col>
      <xdr:colOff>510540</xdr:colOff>
      <xdr:row>3</xdr:row>
      <xdr:rowOff>91440</xdr:rowOff>
    </xdr:from>
    <xdr:to>
      <xdr:col>13</xdr:col>
      <xdr:colOff>0</xdr:colOff>
      <xdr:row>9</xdr:row>
      <xdr:rowOff>7620</xdr:rowOff>
    </xdr:to>
    <mc:AlternateContent xmlns:mc="http://schemas.openxmlformats.org/markup-compatibility/2006" xmlns:a14="http://schemas.microsoft.com/office/drawing/2010/main">
      <mc:Choice Requires="a14">
        <xdr:graphicFrame macro="">
          <xdr:nvGraphicFramePr>
            <xdr:cNvPr id="47" name="BusinessTravel">
              <a:extLst>
                <a:ext uri="{FF2B5EF4-FFF2-40B4-BE49-F238E27FC236}">
                  <a16:creationId xmlns:a16="http://schemas.microsoft.com/office/drawing/2014/main" id="{9EAC722D-FC0F-C91A-1D91-0A4272253750}"/>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5387340" y="640080"/>
              <a:ext cx="192786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ksha Saini" refreshedDate="46183.414153472222" createdVersion="8" refreshedVersion="8" minRefreshableVersion="3" recordCount="1470" xr:uid="{63605599-D4F3-4055-8A46-72842972C228}">
  <cacheSource type="worksheet">
    <worksheetSource name="cleaned_data"/>
  </cacheSource>
  <cacheFields count="28">
    <cacheField name="Age" numFmtId="1">
      <sharedItems containsSemiMixedTypes="0" containsString="0" containsNumber="1" containsInteger="1" minValue="18" maxValue="60"/>
    </cacheField>
    <cacheField name="Attrition" numFmtId="0">
      <sharedItems/>
    </cacheField>
    <cacheField name="Attrition_flag" numFmtId="0">
      <sharedItems containsSemiMixedTypes="0" containsString="0" containsNumber="1" containsInteger="1" minValue="0" maxValue="1"/>
    </cacheField>
    <cacheField name="BusinessTravel" numFmtId="0">
      <sharedItems count="3">
        <s v="Travel_Rarely"/>
        <s v="Travel_Frequently"/>
        <s v="Non-Travel"/>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Field" numFmtId="0">
      <sharedItems/>
    </cacheField>
    <cacheField name="EmployeeNumber" numFmtId="0">
      <sharedItems/>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164">
      <sharedItems containsSemiMixedTypes="0" containsString="0" containsNumber="1" containsInteger="1" minValue="1009" maxValue="19999"/>
    </cacheField>
    <cacheField name="Monthly_Income" numFmtId="0">
      <sharedItems count="3">
        <s v="Medium"/>
        <s v="Low"/>
        <s v="High"/>
      </sharedItems>
    </cacheField>
    <cacheField name="OverTime" numFmtId="0">
      <sharedItems count="2">
        <s v="Yes"/>
        <s v="No"/>
      </sharedItems>
    </cacheField>
    <cacheField name="PerformanceRating" numFmtId="0">
      <sharedItems containsSemiMixedTypes="0" containsString="0" containsNumber="1" containsInteger="1" minValue="3" maxValue="4"/>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_group" numFmtId="0">
      <sharedItems count="5">
        <s v="36-45"/>
        <s v="45"/>
        <s v="26-35"/>
        <s v="18-25"/>
        <s v="45+" u="1"/>
      </sharedItems>
    </cacheField>
    <cacheField name="Years_of_experience" numFmtId="0">
      <sharedItems count="4">
        <s v="6-15"/>
        <s v="0-5"/>
        <s v="15"/>
        <s v="15+" u="1"/>
      </sharedItems>
    </cacheField>
    <cacheField name="Tenure_group" numFmtId="0">
      <sharedItems count="3">
        <s v="6-10"/>
        <s v="0-5"/>
        <s v="10+"/>
      </sharedItems>
    </cacheField>
  </cacheFields>
  <extLst>
    <ext xmlns:x14="http://schemas.microsoft.com/office/spreadsheetml/2009/9/main" uri="{725AE2AE-9491-48be-B2B4-4EB974FC3084}">
      <x14:pivotCacheDefinition pivotCacheId="648871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n v="1"/>
    <x v="0"/>
    <x v="0"/>
    <n v="1"/>
    <s v="Life Sciences"/>
    <s v="1"/>
    <x v="0"/>
    <x v="0"/>
    <n v="3"/>
    <n v="2"/>
    <x v="0"/>
    <x v="0"/>
    <x v="0"/>
    <n v="5993"/>
    <x v="0"/>
    <x v="0"/>
    <n v="3"/>
    <n v="8"/>
    <n v="1"/>
    <x v="0"/>
    <n v="4"/>
    <n v="0"/>
    <n v="5"/>
    <x v="0"/>
    <x v="0"/>
    <x v="0"/>
  </r>
  <r>
    <n v="49"/>
    <s v="No"/>
    <n v="0"/>
    <x v="1"/>
    <x v="1"/>
    <n v="8"/>
    <s v="Life Sciences"/>
    <s v="2"/>
    <x v="1"/>
    <x v="1"/>
    <n v="2"/>
    <n v="2"/>
    <x v="1"/>
    <x v="1"/>
    <x v="1"/>
    <n v="5130"/>
    <x v="0"/>
    <x v="1"/>
    <n v="4"/>
    <n v="10"/>
    <n v="3"/>
    <x v="1"/>
    <n v="7"/>
    <n v="1"/>
    <n v="7"/>
    <x v="1"/>
    <x v="0"/>
    <x v="0"/>
  </r>
  <r>
    <n v="37"/>
    <s v="Yes"/>
    <n v="1"/>
    <x v="0"/>
    <x v="1"/>
    <n v="2"/>
    <s v="Other"/>
    <s v="4"/>
    <x v="2"/>
    <x v="1"/>
    <n v="2"/>
    <n v="1"/>
    <x v="2"/>
    <x v="2"/>
    <x v="0"/>
    <n v="2090"/>
    <x v="1"/>
    <x v="0"/>
    <n v="3"/>
    <n v="7"/>
    <n v="3"/>
    <x v="2"/>
    <n v="0"/>
    <n v="0"/>
    <n v="0"/>
    <x v="0"/>
    <x v="0"/>
    <x v="1"/>
  </r>
  <r>
    <n v="33"/>
    <s v="No"/>
    <n v="0"/>
    <x v="1"/>
    <x v="1"/>
    <n v="3"/>
    <s v="Life Sciences"/>
    <s v="5"/>
    <x v="2"/>
    <x v="0"/>
    <n v="3"/>
    <n v="1"/>
    <x v="1"/>
    <x v="2"/>
    <x v="1"/>
    <n v="2909"/>
    <x v="1"/>
    <x v="0"/>
    <n v="3"/>
    <n v="8"/>
    <n v="3"/>
    <x v="3"/>
    <n v="7"/>
    <n v="3"/>
    <n v="0"/>
    <x v="2"/>
    <x v="0"/>
    <x v="0"/>
  </r>
  <r>
    <n v="27"/>
    <s v="No"/>
    <n v="0"/>
    <x v="0"/>
    <x v="1"/>
    <n v="2"/>
    <s v="Medical"/>
    <s v="7"/>
    <x v="3"/>
    <x v="1"/>
    <n v="3"/>
    <n v="1"/>
    <x v="2"/>
    <x v="1"/>
    <x v="1"/>
    <n v="3468"/>
    <x v="1"/>
    <x v="1"/>
    <n v="3"/>
    <n v="6"/>
    <n v="3"/>
    <x v="4"/>
    <n v="2"/>
    <n v="2"/>
    <n v="2"/>
    <x v="2"/>
    <x v="0"/>
    <x v="1"/>
  </r>
  <r>
    <n v="32"/>
    <s v="No"/>
    <n v="0"/>
    <x v="1"/>
    <x v="1"/>
    <n v="2"/>
    <s v="Life Sciences"/>
    <s v="8"/>
    <x v="2"/>
    <x v="1"/>
    <n v="3"/>
    <n v="1"/>
    <x v="2"/>
    <x v="0"/>
    <x v="0"/>
    <n v="3068"/>
    <x v="1"/>
    <x v="1"/>
    <n v="3"/>
    <n v="8"/>
    <n v="2"/>
    <x v="5"/>
    <n v="7"/>
    <n v="3"/>
    <n v="6"/>
    <x v="2"/>
    <x v="0"/>
    <x v="0"/>
  </r>
  <r>
    <n v="59"/>
    <s v="No"/>
    <n v="0"/>
    <x v="0"/>
    <x v="1"/>
    <n v="3"/>
    <s v="Medical"/>
    <s v="10"/>
    <x v="1"/>
    <x v="0"/>
    <n v="4"/>
    <n v="1"/>
    <x v="2"/>
    <x v="3"/>
    <x v="1"/>
    <n v="2670"/>
    <x v="1"/>
    <x v="0"/>
    <n v="4"/>
    <n v="12"/>
    <n v="2"/>
    <x v="6"/>
    <n v="0"/>
    <n v="0"/>
    <n v="0"/>
    <x v="1"/>
    <x v="0"/>
    <x v="1"/>
  </r>
  <r>
    <n v="30"/>
    <s v="No"/>
    <n v="0"/>
    <x v="0"/>
    <x v="1"/>
    <n v="24"/>
    <s v="Life Sciences"/>
    <s v="11"/>
    <x v="2"/>
    <x v="1"/>
    <n v="3"/>
    <n v="1"/>
    <x v="2"/>
    <x v="2"/>
    <x v="2"/>
    <n v="2693"/>
    <x v="1"/>
    <x v="1"/>
    <n v="4"/>
    <n v="1"/>
    <n v="3"/>
    <x v="6"/>
    <n v="0"/>
    <n v="0"/>
    <n v="0"/>
    <x v="2"/>
    <x v="1"/>
    <x v="1"/>
  </r>
  <r>
    <n v="38"/>
    <s v="No"/>
    <n v="0"/>
    <x v="1"/>
    <x v="1"/>
    <n v="23"/>
    <s v="Life Sciences"/>
    <s v="12"/>
    <x v="2"/>
    <x v="1"/>
    <n v="2"/>
    <n v="3"/>
    <x v="3"/>
    <x v="2"/>
    <x v="0"/>
    <n v="9526"/>
    <x v="0"/>
    <x v="1"/>
    <n v="4"/>
    <n v="10"/>
    <n v="3"/>
    <x v="7"/>
    <n v="7"/>
    <n v="1"/>
    <n v="8"/>
    <x v="0"/>
    <x v="0"/>
    <x v="0"/>
  </r>
  <r>
    <n v="36"/>
    <s v="No"/>
    <n v="0"/>
    <x v="0"/>
    <x v="1"/>
    <n v="27"/>
    <s v="Medical"/>
    <s v="13"/>
    <x v="1"/>
    <x v="1"/>
    <n v="3"/>
    <n v="2"/>
    <x v="4"/>
    <x v="2"/>
    <x v="1"/>
    <n v="5237"/>
    <x v="0"/>
    <x v="1"/>
    <n v="3"/>
    <n v="17"/>
    <n v="2"/>
    <x v="5"/>
    <n v="7"/>
    <n v="7"/>
    <n v="7"/>
    <x v="0"/>
    <x v="2"/>
    <x v="0"/>
  </r>
  <r>
    <n v="35"/>
    <s v="No"/>
    <n v="0"/>
    <x v="0"/>
    <x v="1"/>
    <n v="16"/>
    <s v="Medical"/>
    <s v="14"/>
    <x v="3"/>
    <x v="1"/>
    <n v="4"/>
    <n v="1"/>
    <x v="2"/>
    <x v="1"/>
    <x v="1"/>
    <n v="2426"/>
    <x v="1"/>
    <x v="1"/>
    <n v="3"/>
    <n v="6"/>
    <n v="3"/>
    <x v="8"/>
    <n v="4"/>
    <n v="0"/>
    <n v="3"/>
    <x v="2"/>
    <x v="0"/>
    <x v="1"/>
  </r>
  <r>
    <n v="29"/>
    <s v="No"/>
    <n v="0"/>
    <x v="0"/>
    <x v="1"/>
    <n v="15"/>
    <s v="Life Sciences"/>
    <s v="15"/>
    <x v="2"/>
    <x v="0"/>
    <n v="2"/>
    <n v="2"/>
    <x v="2"/>
    <x v="2"/>
    <x v="0"/>
    <n v="4193"/>
    <x v="1"/>
    <x v="0"/>
    <n v="3"/>
    <n v="10"/>
    <n v="3"/>
    <x v="7"/>
    <n v="5"/>
    <n v="0"/>
    <n v="8"/>
    <x v="2"/>
    <x v="0"/>
    <x v="0"/>
  </r>
  <r>
    <n v="31"/>
    <s v="No"/>
    <n v="0"/>
    <x v="0"/>
    <x v="1"/>
    <n v="26"/>
    <s v="Life Sciences"/>
    <s v="16"/>
    <x v="3"/>
    <x v="1"/>
    <n v="3"/>
    <n v="1"/>
    <x v="1"/>
    <x v="2"/>
    <x v="2"/>
    <n v="2911"/>
    <x v="1"/>
    <x v="1"/>
    <n v="3"/>
    <n v="5"/>
    <n v="2"/>
    <x v="8"/>
    <n v="2"/>
    <n v="4"/>
    <n v="3"/>
    <x v="2"/>
    <x v="1"/>
    <x v="1"/>
  </r>
  <r>
    <n v="34"/>
    <s v="No"/>
    <n v="0"/>
    <x v="0"/>
    <x v="1"/>
    <n v="19"/>
    <s v="Medical"/>
    <s v="18"/>
    <x v="0"/>
    <x v="1"/>
    <n v="3"/>
    <n v="1"/>
    <x v="2"/>
    <x v="0"/>
    <x v="2"/>
    <n v="2661"/>
    <x v="1"/>
    <x v="1"/>
    <n v="3"/>
    <n v="3"/>
    <n v="3"/>
    <x v="4"/>
    <n v="2"/>
    <n v="1"/>
    <n v="2"/>
    <x v="2"/>
    <x v="1"/>
    <x v="1"/>
  </r>
  <r>
    <n v="28"/>
    <s v="Yes"/>
    <n v="1"/>
    <x v="0"/>
    <x v="1"/>
    <n v="24"/>
    <s v="Life Sciences"/>
    <s v="19"/>
    <x v="1"/>
    <x v="1"/>
    <n v="2"/>
    <n v="1"/>
    <x v="2"/>
    <x v="2"/>
    <x v="0"/>
    <n v="2028"/>
    <x v="1"/>
    <x v="0"/>
    <n v="3"/>
    <n v="6"/>
    <n v="3"/>
    <x v="9"/>
    <n v="2"/>
    <n v="0"/>
    <n v="3"/>
    <x v="2"/>
    <x v="0"/>
    <x v="1"/>
  </r>
  <r>
    <n v="29"/>
    <s v="No"/>
    <n v="0"/>
    <x v="0"/>
    <x v="1"/>
    <n v="21"/>
    <s v="Life Sciences"/>
    <s v="20"/>
    <x v="0"/>
    <x v="0"/>
    <n v="4"/>
    <n v="3"/>
    <x v="3"/>
    <x v="3"/>
    <x v="2"/>
    <n v="9980"/>
    <x v="0"/>
    <x v="1"/>
    <n v="3"/>
    <n v="10"/>
    <n v="3"/>
    <x v="1"/>
    <n v="9"/>
    <n v="8"/>
    <n v="8"/>
    <x v="2"/>
    <x v="0"/>
    <x v="0"/>
  </r>
  <r>
    <n v="32"/>
    <s v="No"/>
    <n v="0"/>
    <x v="0"/>
    <x v="1"/>
    <n v="5"/>
    <s v="Life Sciences"/>
    <s v="21"/>
    <x v="3"/>
    <x v="1"/>
    <n v="4"/>
    <n v="1"/>
    <x v="1"/>
    <x v="1"/>
    <x v="2"/>
    <n v="3298"/>
    <x v="1"/>
    <x v="0"/>
    <n v="3"/>
    <n v="7"/>
    <n v="2"/>
    <x v="0"/>
    <n v="2"/>
    <n v="0"/>
    <n v="5"/>
    <x v="2"/>
    <x v="0"/>
    <x v="0"/>
  </r>
  <r>
    <n v="22"/>
    <s v="No"/>
    <n v="0"/>
    <x v="2"/>
    <x v="1"/>
    <n v="16"/>
    <s v="Medical"/>
    <s v="22"/>
    <x v="2"/>
    <x v="1"/>
    <n v="4"/>
    <n v="1"/>
    <x v="2"/>
    <x v="0"/>
    <x v="2"/>
    <n v="2935"/>
    <x v="1"/>
    <x v="0"/>
    <n v="3"/>
    <n v="1"/>
    <n v="2"/>
    <x v="6"/>
    <n v="0"/>
    <n v="0"/>
    <n v="0"/>
    <x v="3"/>
    <x v="1"/>
    <x v="1"/>
  </r>
  <r>
    <n v="53"/>
    <s v="No"/>
    <n v="0"/>
    <x v="0"/>
    <x v="0"/>
    <n v="2"/>
    <s v="Life Sciences"/>
    <s v="23"/>
    <x v="3"/>
    <x v="0"/>
    <n v="2"/>
    <n v="4"/>
    <x v="5"/>
    <x v="0"/>
    <x v="1"/>
    <n v="15427"/>
    <x v="2"/>
    <x v="1"/>
    <n v="3"/>
    <n v="31"/>
    <n v="3"/>
    <x v="10"/>
    <n v="8"/>
    <n v="3"/>
    <n v="7"/>
    <x v="1"/>
    <x v="2"/>
    <x v="2"/>
  </r>
  <r>
    <n v="38"/>
    <s v="No"/>
    <n v="0"/>
    <x v="0"/>
    <x v="1"/>
    <n v="2"/>
    <s v="Life Sciences"/>
    <s v="24"/>
    <x v="2"/>
    <x v="1"/>
    <n v="3"/>
    <n v="1"/>
    <x v="1"/>
    <x v="0"/>
    <x v="0"/>
    <n v="3944"/>
    <x v="1"/>
    <x v="0"/>
    <n v="3"/>
    <n v="6"/>
    <n v="3"/>
    <x v="11"/>
    <n v="2"/>
    <n v="1"/>
    <n v="2"/>
    <x v="0"/>
    <x v="0"/>
    <x v="1"/>
  </r>
  <r>
    <n v="24"/>
    <s v="No"/>
    <n v="0"/>
    <x v="2"/>
    <x v="1"/>
    <n v="11"/>
    <s v="Other"/>
    <s v="26"/>
    <x v="3"/>
    <x v="0"/>
    <n v="4"/>
    <n v="2"/>
    <x v="3"/>
    <x v="2"/>
    <x v="2"/>
    <n v="4011"/>
    <x v="1"/>
    <x v="1"/>
    <n v="3"/>
    <n v="5"/>
    <n v="2"/>
    <x v="9"/>
    <n v="2"/>
    <n v="1"/>
    <n v="3"/>
    <x v="3"/>
    <x v="1"/>
    <x v="1"/>
  </r>
  <r>
    <n v="36"/>
    <s v="Yes"/>
    <n v="1"/>
    <x v="0"/>
    <x v="0"/>
    <n v="9"/>
    <s v="Life Sciences"/>
    <s v="27"/>
    <x v="1"/>
    <x v="1"/>
    <n v="2"/>
    <n v="1"/>
    <x v="6"/>
    <x v="3"/>
    <x v="0"/>
    <n v="3407"/>
    <x v="1"/>
    <x v="1"/>
    <n v="4"/>
    <n v="10"/>
    <n v="3"/>
    <x v="8"/>
    <n v="3"/>
    <n v="0"/>
    <n v="3"/>
    <x v="0"/>
    <x v="0"/>
    <x v="1"/>
  </r>
  <r>
    <n v="34"/>
    <s v="No"/>
    <n v="0"/>
    <x v="0"/>
    <x v="1"/>
    <n v="7"/>
    <s v="Life Sciences"/>
    <s v="28"/>
    <x v="3"/>
    <x v="0"/>
    <n v="3"/>
    <n v="3"/>
    <x v="7"/>
    <x v="1"/>
    <x v="0"/>
    <n v="11994"/>
    <x v="0"/>
    <x v="1"/>
    <n v="3"/>
    <n v="13"/>
    <n v="3"/>
    <x v="12"/>
    <n v="6"/>
    <n v="2"/>
    <n v="11"/>
    <x v="2"/>
    <x v="0"/>
    <x v="2"/>
  </r>
  <r>
    <n v="21"/>
    <s v="No"/>
    <n v="0"/>
    <x v="0"/>
    <x v="1"/>
    <n v="15"/>
    <s v="Life Sciences"/>
    <s v="30"/>
    <x v="1"/>
    <x v="1"/>
    <n v="3"/>
    <n v="1"/>
    <x v="1"/>
    <x v="0"/>
    <x v="0"/>
    <n v="1232"/>
    <x v="1"/>
    <x v="1"/>
    <n v="3"/>
    <n v="0"/>
    <n v="3"/>
    <x v="2"/>
    <n v="0"/>
    <n v="0"/>
    <n v="0"/>
    <x v="3"/>
    <x v="1"/>
    <x v="1"/>
  </r>
  <r>
    <n v="34"/>
    <s v="Yes"/>
    <n v="1"/>
    <x v="0"/>
    <x v="1"/>
    <n v="6"/>
    <s v="Medical"/>
    <s v="31"/>
    <x v="0"/>
    <x v="1"/>
    <n v="3"/>
    <n v="1"/>
    <x v="1"/>
    <x v="3"/>
    <x v="0"/>
    <n v="2960"/>
    <x v="1"/>
    <x v="1"/>
    <n v="3"/>
    <n v="8"/>
    <n v="3"/>
    <x v="9"/>
    <n v="2"/>
    <n v="1"/>
    <n v="3"/>
    <x v="2"/>
    <x v="0"/>
    <x v="1"/>
  </r>
  <r>
    <n v="53"/>
    <s v="No"/>
    <n v="0"/>
    <x v="0"/>
    <x v="1"/>
    <n v="5"/>
    <s v="Other"/>
    <s v="32"/>
    <x v="1"/>
    <x v="0"/>
    <n v="3"/>
    <n v="5"/>
    <x v="5"/>
    <x v="2"/>
    <x v="2"/>
    <n v="19094"/>
    <x v="2"/>
    <x v="1"/>
    <n v="3"/>
    <n v="26"/>
    <n v="2"/>
    <x v="13"/>
    <n v="13"/>
    <n v="4"/>
    <n v="8"/>
    <x v="1"/>
    <x v="2"/>
    <x v="2"/>
  </r>
  <r>
    <n v="32"/>
    <s v="Yes"/>
    <n v="1"/>
    <x v="1"/>
    <x v="1"/>
    <n v="16"/>
    <s v="Life Sciences"/>
    <s v="33"/>
    <x v="0"/>
    <x v="0"/>
    <n v="1"/>
    <n v="1"/>
    <x v="1"/>
    <x v="3"/>
    <x v="0"/>
    <n v="3919"/>
    <x v="1"/>
    <x v="0"/>
    <n v="4"/>
    <n v="10"/>
    <n v="3"/>
    <x v="1"/>
    <n v="2"/>
    <n v="6"/>
    <n v="7"/>
    <x v="2"/>
    <x v="0"/>
    <x v="0"/>
  </r>
  <r>
    <n v="42"/>
    <s v="No"/>
    <n v="0"/>
    <x v="0"/>
    <x v="0"/>
    <n v="8"/>
    <s v="Marketing"/>
    <s v="35"/>
    <x v="1"/>
    <x v="1"/>
    <n v="3"/>
    <n v="2"/>
    <x v="0"/>
    <x v="1"/>
    <x v="1"/>
    <n v="6825"/>
    <x v="0"/>
    <x v="1"/>
    <n v="3"/>
    <n v="10"/>
    <n v="3"/>
    <x v="7"/>
    <n v="7"/>
    <n v="4"/>
    <n v="2"/>
    <x v="0"/>
    <x v="0"/>
    <x v="0"/>
  </r>
  <r>
    <n v="44"/>
    <s v="No"/>
    <n v="0"/>
    <x v="0"/>
    <x v="1"/>
    <n v="7"/>
    <s v="Medical"/>
    <s v="36"/>
    <x v="3"/>
    <x v="0"/>
    <n v="2"/>
    <n v="3"/>
    <x v="4"/>
    <x v="0"/>
    <x v="1"/>
    <n v="10248"/>
    <x v="0"/>
    <x v="1"/>
    <n v="3"/>
    <n v="24"/>
    <n v="3"/>
    <x v="14"/>
    <n v="6"/>
    <n v="5"/>
    <n v="17"/>
    <x v="0"/>
    <x v="2"/>
    <x v="2"/>
  </r>
  <r>
    <n v="46"/>
    <s v="No"/>
    <n v="0"/>
    <x v="0"/>
    <x v="0"/>
    <n v="2"/>
    <s v="Marketing"/>
    <s v="38"/>
    <x v="0"/>
    <x v="0"/>
    <n v="3"/>
    <n v="5"/>
    <x v="5"/>
    <x v="3"/>
    <x v="0"/>
    <n v="18947"/>
    <x v="2"/>
    <x v="1"/>
    <n v="3"/>
    <n v="22"/>
    <n v="2"/>
    <x v="4"/>
    <n v="2"/>
    <n v="2"/>
    <n v="1"/>
    <x v="1"/>
    <x v="2"/>
    <x v="1"/>
  </r>
  <r>
    <n v="33"/>
    <s v="No"/>
    <n v="0"/>
    <x v="0"/>
    <x v="1"/>
    <n v="2"/>
    <s v="Medical"/>
    <s v="39"/>
    <x v="1"/>
    <x v="1"/>
    <n v="3"/>
    <n v="1"/>
    <x v="2"/>
    <x v="0"/>
    <x v="0"/>
    <n v="2496"/>
    <x v="1"/>
    <x v="1"/>
    <n v="3"/>
    <n v="7"/>
    <n v="3"/>
    <x v="6"/>
    <n v="1"/>
    <n v="0"/>
    <n v="0"/>
    <x v="2"/>
    <x v="0"/>
    <x v="1"/>
  </r>
  <r>
    <n v="44"/>
    <s v="No"/>
    <n v="0"/>
    <x v="0"/>
    <x v="1"/>
    <n v="10"/>
    <s v="Other"/>
    <s v="40"/>
    <x v="2"/>
    <x v="1"/>
    <n v="3"/>
    <n v="2"/>
    <x v="4"/>
    <x v="0"/>
    <x v="1"/>
    <n v="6465"/>
    <x v="0"/>
    <x v="0"/>
    <n v="3"/>
    <n v="9"/>
    <n v="4"/>
    <x v="9"/>
    <n v="2"/>
    <n v="1"/>
    <n v="3"/>
    <x v="0"/>
    <x v="0"/>
    <x v="1"/>
  </r>
  <r>
    <n v="30"/>
    <s v="No"/>
    <n v="0"/>
    <x v="0"/>
    <x v="1"/>
    <n v="9"/>
    <s v="Medical"/>
    <s v="41"/>
    <x v="2"/>
    <x v="1"/>
    <n v="2"/>
    <n v="1"/>
    <x v="2"/>
    <x v="2"/>
    <x v="0"/>
    <n v="2206"/>
    <x v="1"/>
    <x v="1"/>
    <n v="3"/>
    <n v="10"/>
    <n v="3"/>
    <x v="1"/>
    <n v="0"/>
    <n v="1"/>
    <n v="8"/>
    <x v="2"/>
    <x v="0"/>
    <x v="0"/>
  </r>
  <r>
    <n v="39"/>
    <s v="Yes"/>
    <n v="1"/>
    <x v="0"/>
    <x v="0"/>
    <n v="5"/>
    <s v="Technical Degree"/>
    <s v="42"/>
    <x v="2"/>
    <x v="1"/>
    <n v="3"/>
    <n v="2"/>
    <x v="6"/>
    <x v="0"/>
    <x v="1"/>
    <n v="2086"/>
    <x v="1"/>
    <x v="1"/>
    <n v="3"/>
    <n v="19"/>
    <n v="4"/>
    <x v="6"/>
    <n v="0"/>
    <n v="0"/>
    <n v="0"/>
    <x v="0"/>
    <x v="2"/>
    <x v="1"/>
  </r>
  <r>
    <n v="24"/>
    <s v="Yes"/>
    <n v="1"/>
    <x v="0"/>
    <x v="1"/>
    <n v="1"/>
    <s v="Medical"/>
    <s v="45"/>
    <x v="0"/>
    <x v="1"/>
    <n v="3"/>
    <n v="1"/>
    <x v="1"/>
    <x v="0"/>
    <x v="1"/>
    <n v="2293"/>
    <x v="1"/>
    <x v="0"/>
    <n v="3"/>
    <n v="6"/>
    <n v="2"/>
    <x v="4"/>
    <n v="0"/>
    <n v="2"/>
    <n v="0"/>
    <x v="3"/>
    <x v="0"/>
    <x v="1"/>
  </r>
  <r>
    <n v="43"/>
    <s v="No"/>
    <n v="0"/>
    <x v="0"/>
    <x v="1"/>
    <n v="2"/>
    <s v="Medical"/>
    <s v="46"/>
    <x v="2"/>
    <x v="0"/>
    <n v="4"/>
    <n v="1"/>
    <x v="1"/>
    <x v="2"/>
    <x v="2"/>
    <n v="2645"/>
    <x v="1"/>
    <x v="1"/>
    <n v="3"/>
    <n v="6"/>
    <n v="2"/>
    <x v="8"/>
    <n v="3"/>
    <n v="1"/>
    <n v="4"/>
    <x v="0"/>
    <x v="0"/>
    <x v="1"/>
  </r>
  <r>
    <n v="50"/>
    <s v="Yes"/>
    <n v="1"/>
    <x v="0"/>
    <x v="0"/>
    <n v="3"/>
    <s v="Marketing"/>
    <s v="47"/>
    <x v="3"/>
    <x v="1"/>
    <n v="2"/>
    <n v="1"/>
    <x v="6"/>
    <x v="2"/>
    <x v="1"/>
    <n v="2683"/>
    <x v="1"/>
    <x v="0"/>
    <n v="3"/>
    <n v="3"/>
    <n v="3"/>
    <x v="11"/>
    <n v="2"/>
    <n v="0"/>
    <n v="2"/>
    <x v="1"/>
    <x v="1"/>
    <x v="1"/>
  </r>
  <r>
    <n v="35"/>
    <s v="No"/>
    <n v="0"/>
    <x v="0"/>
    <x v="0"/>
    <n v="2"/>
    <s v="Marketing"/>
    <s v="49"/>
    <x v="2"/>
    <x v="0"/>
    <n v="3"/>
    <n v="1"/>
    <x v="6"/>
    <x v="0"/>
    <x v="1"/>
    <n v="2014"/>
    <x v="1"/>
    <x v="1"/>
    <n v="3"/>
    <n v="2"/>
    <n v="3"/>
    <x v="4"/>
    <n v="2"/>
    <n v="2"/>
    <n v="2"/>
    <x v="2"/>
    <x v="1"/>
    <x v="1"/>
  </r>
  <r>
    <n v="36"/>
    <s v="No"/>
    <n v="0"/>
    <x v="0"/>
    <x v="1"/>
    <n v="5"/>
    <s v="Life Sciences"/>
    <s v="51"/>
    <x v="0"/>
    <x v="0"/>
    <n v="2"/>
    <n v="1"/>
    <x v="1"/>
    <x v="3"/>
    <x v="1"/>
    <n v="3419"/>
    <x v="1"/>
    <x v="0"/>
    <n v="3"/>
    <n v="6"/>
    <n v="4"/>
    <x v="6"/>
    <n v="1"/>
    <n v="0"/>
    <n v="0"/>
    <x v="0"/>
    <x v="0"/>
    <x v="1"/>
  </r>
  <r>
    <n v="33"/>
    <s v="No"/>
    <n v="0"/>
    <x v="1"/>
    <x v="0"/>
    <n v="1"/>
    <s v="Life Sciences"/>
    <s v="52"/>
    <x v="1"/>
    <x v="0"/>
    <n v="4"/>
    <n v="2"/>
    <x v="0"/>
    <x v="3"/>
    <x v="1"/>
    <n v="5376"/>
    <x v="0"/>
    <x v="1"/>
    <n v="3"/>
    <n v="10"/>
    <n v="3"/>
    <x v="8"/>
    <n v="3"/>
    <n v="1"/>
    <n v="3"/>
    <x v="2"/>
    <x v="0"/>
    <x v="1"/>
  </r>
  <r>
    <n v="35"/>
    <s v="No"/>
    <n v="0"/>
    <x v="0"/>
    <x v="1"/>
    <n v="4"/>
    <s v="Other"/>
    <s v="53"/>
    <x v="1"/>
    <x v="1"/>
    <n v="3"/>
    <n v="1"/>
    <x v="2"/>
    <x v="0"/>
    <x v="2"/>
    <n v="1951"/>
    <x v="1"/>
    <x v="1"/>
    <n v="3"/>
    <n v="1"/>
    <n v="3"/>
    <x v="6"/>
    <n v="0"/>
    <n v="0"/>
    <n v="0"/>
    <x v="2"/>
    <x v="1"/>
    <x v="1"/>
  </r>
  <r>
    <n v="27"/>
    <s v="No"/>
    <n v="0"/>
    <x v="0"/>
    <x v="1"/>
    <n v="2"/>
    <s v="Life Sciences"/>
    <s v="54"/>
    <x v="2"/>
    <x v="0"/>
    <n v="3"/>
    <n v="1"/>
    <x v="2"/>
    <x v="3"/>
    <x v="2"/>
    <n v="2341"/>
    <x v="1"/>
    <x v="1"/>
    <n v="3"/>
    <n v="1"/>
    <n v="3"/>
    <x v="6"/>
    <n v="0"/>
    <n v="0"/>
    <n v="0"/>
    <x v="2"/>
    <x v="1"/>
    <x v="1"/>
  </r>
  <r>
    <n v="26"/>
    <s v="Yes"/>
    <n v="1"/>
    <x v="0"/>
    <x v="1"/>
    <n v="25"/>
    <s v="Life Sciences"/>
    <s v="55"/>
    <x v="3"/>
    <x v="1"/>
    <n v="1"/>
    <n v="1"/>
    <x v="2"/>
    <x v="2"/>
    <x v="0"/>
    <n v="2293"/>
    <x v="1"/>
    <x v="1"/>
    <n v="3"/>
    <n v="1"/>
    <n v="2"/>
    <x v="6"/>
    <n v="0"/>
    <n v="0"/>
    <n v="1"/>
    <x v="2"/>
    <x v="1"/>
    <x v="1"/>
  </r>
  <r>
    <n v="27"/>
    <s v="No"/>
    <n v="0"/>
    <x v="1"/>
    <x v="0"/>
    <n v="8"/>
    <s v="Life Sciences"/>
    <s v="56"/>
    <x v="2"/>
    <x v="1"/>
    <n v="3"/>
    <n v="3"/>
    <x v="0"/>
    <x v="2"/>
    <x v="0"/>
    <n v="8726"/>
    <x v="0"/>
    <x v="1"/>
    <n v="3"/>
    <n v="9"/>
    <n v="3"/>
    <x v="7"/>
    <n v="8"/>
    <n v="1"/>
    <n v="7"/>
    <x v="2"/>
    <x v="0"/>
    <x v="0"/>
  </r>
  <r>
    <n v="30"/>
    <s v="No"/>
    <n v="0"/>
    <x v="1"/>
    <x v="1"/>
    <n v="1"/>
    <s v="Medical"/>
    <s v="57"/>
    <x v="1"/>
    <x v="0"/>
    <n v="3"/>
    <n v="2"/>
    <x v="2"/>
    <x v="0"/>
    <x v="0"/>
    <n v="4011"/>
    <x v="1"/>
    <x v="1"/>
    <n v="4"/>
    <n v="12"/>
    <n v="3"/>
    <x v="12"/>
    <n v="8"/>
    <n v="3"/>
    <n v="7"/>
    <x v="2"/>
    <x v="0"/>
    <x v="2"/>
  </r>
  <r>
    <n v="41"/>
    <s v="Yes"/>
    <n v="1"/>
    <x v="0"/>
    <x v="1"/>
    <n v="12"/>
    <s v="Technical Degree"/>
    <s v="58"/>
    <x v="0"/>
    <x v="0"/>
    <n v="3"/>
    <n v="5"/>
    <x v="7"/>
    <x v="2"/>
    <x v="1"/>
    <n v="19545"/>
    <x v="2"/>
    <x v="1"/>
    <n v="3"/>
    <n v="23"/>
    <n v="3"/>
    <x v="14"/>
    <n v="15"/>
    <n v="15"/>
    <n v="8"/>
    <x v="0"/>
    <x v="2"/>
    <x v="2"/>
  </r>
  <r>
    <n v="34"/>
    <s v="No"/>
    <n v="0"/>
    <x v="2"/>
    <x v="0"/>
    <n v="23"/>
    <s v="Marketing"/>
    <s v="60"/>
    <x v="0"/>
    <x v="1"/>
    <n v="3"/>
    <n v="2"/>
    <x v="0"/>
    <x v="2"/>
    <x v="0"/>
    <n v="4568"/>
    <x v="1"/>
    <x v="1"/>
    <n v="4"/>
    <n v="10"/>
    <n v="3"/>
    <x v="7"/>
    <n v="5"/>
    <n v="8"/>
    <n v="7"/>
    <x v="2"/>
    <x v="0"/>
    <x v="0"/>
  </r>
  <r>
    <n v="37"/>
    <s v="No"/>
    <n v="0"/>
    <x v="0"/>
    <x v="1"/>
    <n v="19"/>
    <s v="Life Sciences"/>
    <s v="61"/>
    <x v="0"/>
    <x v="1"/>
    <n v="3"/>
    <n v="1"/>
    <x v="1"/>
    <x v="1"/>
    <x v="1"/>
    <n v="3022"/>
    <x v="1"/>
    <x v="1"/>
    <n v="4"/>
    <n v="8"/>
    <n v="3"/>
    <x v="6"/>
    <n v="0"/>
    <n v="0"/>
    <n v="0"/>
    <x v="0"/>
    <x v="0"/>
    <x v="1"/>
  </r>
  <r>
    <n v="46"/>
    <s v="No"/>
    <n v="0"/>
    <x v="1"/>
    <x v="0"/>
    <n v="5"/>
    <s v="Marketing"/>
    <s v="62"/>
    <x v="3"/>
    <x v="1"/>
    <n v="3"/>
    <n v="2"/>
    <x v="0"/>
    <x v="0"/>
    <x v="0"/>
    <n v="5772"/>
    <x v="0"/>
    <x v="0"/>
    <n v="4"/>
    <n v="14"/>
    <n v="3"/>
    <x v="7"/>
    <n v="6"/>
    <n v="0"/>
    <n v="8"/>
    <x v="1"/>
    <x v="0"/>
    <x v="0"/>
  </r>
  <r>
    <n v="35"/>
    <s v="No"/>
    <n v="0"/>
    <x v="0"/>
    <x v="1"/>
    <n v="8"/>
    <s v="Life Sciences"/>
    <s v="63"/>
    <x v="2"/>
    <x v="1"/>
    <n v="4"/>
    <n v="1"/>
    <x v="2"/>
    <x v="0"/>
    <x v="1"/>
    <n v="2269"/>
    <x v="1"/>
    <x v="1"/>
    <n v="3"/>
    <n v="1"/>
    <n v="3"/>
    <x v="6"/>
    <n v="0"/>
    <n v="0"/>
    <n v="1"/>
    <x v="2"/>
    <x v="1"/>
    <x v="1"/>
  </r>
  <r>
    <n v="48"/>
    <s v="Yes"/>
    <n v="1"/>
    <x v="0"/>
    <x v="1"/>
    <n v="1"/>
    <s v="Life Sciences"/>
    <s v="64"/>
    <x v="3"/>
    <x v="1"/>
    <n v="2"/>
    <n v="3"/>
    <x v="2"/>
    <x v="2"/>
    <x v="0"/>
    <n v="5381"/>
    <x v="0"/>
    <x v="0"/>
    <n v="3"/>
    <n v="23"/>
    <n v="3"/>
    <x v="6"/>
    <n v="0"/>
    <n v="0"/>
    <n v="0"/>
    <x v="1"/>
    <x v="2"/>
    <x v="1"/>
  </r>
  <r>
    <n v="28"/>
    <s v="Yes"/>
    <n v="1"/>
    <x v="0"/>
    <x v="1"/>
    <n v="5"/>
    <s v="Technical Degree"/>
    <s v="65"/>
    <x v="1"/>
    <x v="1"/>
    <n v="3"/>
    <n v="1"/>
    <x v="2"/>
    <x v="2"/>
    <x v="0"/>
    <n v="3441"/>
    <x v="1"/>
    <x v="0"/>
    <n v="3"/>
    <n v="2"/>
    <n v="2"/>
    <x v="4"/>
    <n v="2"/>
    <n v="2"/>
    <n v="2"/>
    <x v="2"/>
    <x v="1"/>
    <x v="1"/>
  </r>
  <r>
    <n v="44"/>
    <s v="No"/>
    <n v="0"/>
    <x v="0"/>
    <x v="0"/>
    <n v="1"/>
    <s v="Marketing"/>
    <s v="68"/>
    <x v="0"/>
    <x v="0"/>
    <n v="3"/>
    <n v="2"/>
    <x v="0"/>
    <x v="3"/>
    <x v="2"/>
    <n v="5454"/>
    <x v="0"/>
    <x v="0"/>
    <n v="4"/>
    <n v="9"/>
    <n v="2"/>
    <x v="9"/>
    <n v="3"/>
    <n v="1"/>
    <n v="3"/>
    <x v="0"/>
    <x v="0"/>
    <x v="1"/>
  </r>
  <r>
    <n v="35"/>
    <s v="No"/>
    <n v="0"/>
    <x v="2"/>
    <x v="1"/>
    <n v="11"/>
    <s v="Medical"/>
    <s v="70"/>
    <x v="1"/>
    <x v="1"/>
    <n v="2"/>
    <n v="3"/>
    <x v="4"/>
    <x v="3"/>
    <x v="1"/>
    <n v="9884"/>
    <x v="0"/>
    <x v="0"/>
    <n v="3"/>
    <n v="10"/>
    <n v="3"/>
    <x v="9"/>
    <n v="0"/>
    <n v="2"/>
    <n v="3"/>
    <x v="2"/>
    <x v="0"/>
    <x v="1"/>
  </r>
  <r>
    <n v="26"/>
    <s v="No"/>
    <n v="0"/>
    <x v="0"/>
    <x v="0"/>
    <n v="23"/>
    <s v="Marketing"/>
    <s v="72"/>
    <x v="1"/>
    <x v="0"/>
    <n v="2"/>
    <n v="2"/>
    <x v="0"/>
    <x v="0"/>
    <x v="1"/>
    <n v="4157"/>
    <x v="1"/>
    <x v="0"/>
    <n v="3"/>
    <n v="5"/>
    <n v="2"/>
    <x v="4"/>
    <n v="2"/>
    <n v="0"/>
    <n v="0"/>
    <x v="2"/>
    <x v="1"/>
    <x v="1"/>
  </r>
  <r>
    <n v="33"/>
    <s v="No"/>
    <n v="0"/>
    <x v="1"/>
    <x v="1"/>
    <n v="1"/>
    <s v="Life Sciences"/>
    <s v="73"/>
    <x v="3"/>
    <x v="0"/>
    <n v="3"/>
    <n v="3"/>
    <x v="7"/>
    <x v="0"/>
    <x v="0"/>
    <n v="13458"/>
    <x v="2"/>
    <x v="0"/>
    <n v="3"/>
    <n v="15"/>
    <n v="3"/>
    <x v="15"/>
    <n v="14"/>
    <n v="8"/>
    <n v="12"/>
    <x v="2"/>
    <x v="0"/>
    <x v="2"/>
  </r>
  <r>
    <n v="35"/>
    <s v="No"/>
    <n v="0"/>
    <x v="1"/>
    <x v="0"/>
    <n v="18"/>
    <s v="Life Sciences"/>
    <s v="74"/>
    <x v="0"/>
    <x v="1"/>
    <n v="3"/>
    <n v="3"/>
    <x v="0"/>
    <x v="3"/>
    <x v="1"/>
    <n v="9069"/>
    <x v="0"/>
    <x v="1"/>
    <n v="4"/>
    <n v="9"/>
    <n v="2"/>
    <x v="7"/>
    <n v="8"/>
    <n v="1"/>
    <n v="8"/>
    <x v="2"/>
    <x v="0"/>
    <x v="0"/>
  </r>
  <r>
    <n v="35"/>
    <s v="No"/>
    <n v="0"/>
    <x v="0"/>
    <x v="1"/>
    <n v="23"/>
    <s v="Medical"/>
    <s v="75"/>
    <x v="1"/>
    <x v="0"/>
    <n v="3"/>
    <n v="1"/>
    <x v="2"/>
    <x v="3"/>
    <x v="1"/>
    <n v="4014"/>
    <x v="1"/>
    <x v="0"/>
    <n v="3"/>
    <n v="4"/>
    <n v="3"/>
    <x v="4"/>
    <n v="2"/>
    <n v="2"/>
    <n v="2"/>
    <x v="2"/>
    <x v="1"/>
    <x v="1"/>
  </r>
  <r>
    <n v="31"/>
    <s v="No"/>
    <n v="0"/>
    <x v="0"/>
    <x v="1"/>
    <n v="7"/>
    <s v="Life Sciences"/>
    <s v="76"/>
    <x v="2"/>
    <x v="1"/>
    <n v="3"/>
    <n v="2"/>
    <x v="2"/>
    <x v="0"/>
    <x v="2"/>
    <n v="5915"/>
    <x v="0"/>
    <x v="1"/>
    <n v="4"/>
    <n v="10"/>
    <n v="2"/>
    <x v="5"/>
    <n v="7"/>
    <n v="1"/>
    <n v="7"/>
    <x v="2"/>
    <x v="0"/>
    <x v="0"/>
  </r>
  <r>
    <n v="37"/>
    <s v="No"/>
    <n v="0"/>
    <x v="0"/>
    <x v="1"/>
    <n v="1"/>
    <s v="Life Sciences"/>
    <s v="77"/>
    <x v="3"/>
    <x v="1"/>
    <n v="2"/>
    <n v="2"/>
    <x v="3"/>
    <x v="2"/>
    <x v="2"/>
    <n v="5993"/>
    <x v="0"/>
    <x v="1"/>
    <n v="3"/>
    <n v="7"/>
    <n v="4"/>
    <x v="5"/>
    <n v="5"/>
    <n v="0"/>
    <n v="7"/>
    <x v="0"/>
    <x v="0"/>
    <x v="0"/>
  </r>
  <r>
    <n v="32"/>
    <s v="No"/>
    <n v="0"/>
    <x v="0"/>
    <x v="1"/>
    <n v="1"/>
    <s v="Medical"/>
    <s v="78"/>
    <x v="3"/>
    <x v="1"/>
    <n v="3"/>
    <n v="2"/>
    <x v="3"/>
    <x v="0"/>
    <x v="1"/>
    <n v="6162"/>
    <x v="0"/>
    <x v="0"/>
    <n v="4"/>
    <n v="9"/>
    <n v="3"/>
    <x v="7"/>
    <n v="8"/>
    <n v="7"/>
    <n v="8"/>
    <x v="2"/>
    <x v="0"/>
    <x v="0"/>
  </r>
  <r>
    <n v="38"/>
    <s v="No"/>
    <n v="0"/>
    <x v="1"/>
    <x v="1"/>
    <n v="29"/>
    <s v="Life Sciences"/>
    <s v="79"/>
    <x v="2"/>
    <x v="0"/>
    <n v="3"/>
    <n v="2"/>
    <x v="2"/>
    <x v="0"/>
    <x v="0"/>
    <n v="2406"/>
    <x v="1"/>
    <x v="1"/>
    <n v="3"/>
    <n v="10"/>
    <n v="3"/>
    <x v="1"/>
    <n v="3"/>
    <n v="9"/>
    <n v="9"/>
    <x v="0"/>
    <x v="0"/>
    <x v="0"/>
  </r>
  <r>
    <n v="50"/>
    <s v="No"/>
    <n v="0"/>
    <x v="0"/>
    <x v="1"/>
    <n v="7"/>
    <s v="Medical"/>
    <s v="80"/>
    <x v="0"/>
    <x v="0"/>
    <n v="2"/>
    <n v="5"/>
    <x v="7"/>
    <x v="2"/>
    <x v="2"/>
    <n v="18740"/>
    <x v="2"/>
    <x v="0"/>
    <n v="3"/>
    <n v="29"/>
    <n v="2"/>
    <x v="16"/>
    <n v="3"/>
    <n v="13"/>
    <n v="8"/>
    <x v="1"/>
    <x v="2"/>
    <x v="2"/>
  </r>
  <r>
    <n v="59"/>
    <s v="No"/>
    <n v="0"/>
    <x v="0"/>
    <x v="0"/>
    <n v="25"/>
    <s v="Life Sciences"/>
    <s v="81"/>
    <x v="3"/>
    <x v="0"/>
    <n v="3"/>
    <n v="3"/>
    <x v="0"/>
    <x v="3"/>
    <x v="0"/>
    <n v="7637"/>
    <x v="0"/>
    <x v="1"/>
    <n v="3"/>
    <n v="28"/>
    <n v="2"/>
    <x v="17"/>
    <n v="16"/>
    <n v="7"/>
    <n v="9"/>
    <x v="1"/>
    <x v="2"/>
    <x v="2"/>
  </r>
  <r>
    <n v="36"/>
    <s v="No"/>
    <n v="0"/>
    <x v="0"/>
    <x v="1"/>
    <n v="8"/>
    <s v="Technical Degree"/>
    <s v="83"/>
    <x v="1"/>
    <x v="0"/>
    <n v="3"/>
    <n v="3"/>
    <x v="4"/>
    <x v="2"/>
    <x v="2"/>
    <n v="10096"/>
    <x v="0"/>
    <x v="1"/>
    <n v="3"/>
    <n v="17"/>
    <n v="3"/>
    <x v="18"/>
    <n v="14"/>
    <n v="12"/>
    <n v="8"/>
    <x v="0"/>
    <x v="2"/>
    <x v="2"/>
  </r>
  <r>
    <n v="55"/>
    <s v="No"/>
    <n v="0"/>
    <x v="0"/>
    <x v="1"/>
    <n v="8"/>
    <s v="Medical"/>
    <s v="84"/>
    <x v="2"/>
    <x v="0"/>
    <n v="3"/>
    <n v="4"/>
    <x v="5"/>
    <x v="2"/>
    <x v="2"/>
    <n v="14756"/>
    <x v="2"/>
    <x v="0"/>
    <n v="3"/>
    <n v="21"/>
    <n v="3"/>
    <x v="8"/>
    <n v="0"/>
    <n v="0"/>
    <n v="2"/>
    <x v="1"/>
    <x v="2"/>
    <x v="1"/>
  </r>
  <r>
    <n v="36"/>
    <s v="No"/>
    <n v="0"/>
    <x v="1"/>
    <x v="1"/>
    <n v="11"/>
    <s v="Life Sciences"/>
    <s v="85"/>
    <x v="0"/>
    <x v="1"/>
    <n v="2"/>
    <n v="2"/>
    <x v="3"/>
    <x v="1"/>
    <x v="0"/>
    <n v="6499"/>
    <x v="0"/>
    <x v="1"/>
    <n v="3"/>
    <n v="6"/>
    <n v="3"/>
    <x v="0"/>
    <n v="5"/>
    <n v="0"/>
    <n v="3"/>
    <x v="0"/>
    <x v="0"/>
    <x v="0"/>
  </r>
  <r>
    <n v="45"/>
    <s v="No"/>
    <n v="0"/>
    <x v="0"/>
    <x v="1"/>
    <n v="7"/>
    <s v="Life Sciences"/>
    <s v="86"/>
    <x v="0"/>
    <x v="1"/>
    <n v="3"/>
    <n v="3"/>
    <x v="1"/>
    <x v="3"/>
    <x v="2"/>
    <n v="9724"/>
    <x v="0"/>
    <x v="1"/>
    <n v="3"/>
    <n v="25"/>
    <n v="3"/>
    <x v="6"/>
    <n v="0"/>
    <n v="0"/>
    <n v="0"/>
    <x v="0"/>
    <x v="2"/>
    <x v="1"/>
  </r>
  <r>
    <n v="35"/>
    <s v="No"/>
    <n v="0"/>
    <x v="1"/>
    <x v="1"/>
    <n v="1"/>
    <s v="Medical"/>
    <s v="88"/>
    <x v="0"/>
    <x v="1"/>
    <n v="3"/>
    <n v="1"/>
    <x v="1"/>
    <x v="3"/>
    <x v="1"/>
    <n v="2194"/>
    <x v="1"/>
    <x v="1"/>
    <n v="3"/>
    <n v="5"/>
    <n v="2"/>
    <x v="11"/>
    <n v="2"/>
    <n v="1"/>
    <n v="2"/>
    <x v="2"/>
    <x v="1"/>
    <x v="1"/>
  </r>
  <r>
    <n v="36"/>
    <s v="Yes"/>
    <n v="1"/>
    <x v="0"/>
    <x v="1"/>
    <n v="9"/>
    <s v="Medical"/>
    <s v="90"/>
    <x v="2"/>
    <x v="1"/>
    <n v="2"/>
    <n v="1"/>
    <x v="1"/>
    <x v="2"/>
    <x v="1"/>
    <n v="3388"/>
    <x v="1"/>
    <x v="0"/>
    <n v="3"/>
    <n v="2"/>
    <n v="2"/>
    <x v="6"/>
    <n v="0"/>
    <n v="0"/>
    <n v="0"/>
    <x v="0"/>
    <x v="1"/>
    <x v="1"/>
  </r>
  <r>
    <n v="59"/>
    <s v="No"/>
    <n v="0"/>
    <x v="1"/>
    <x v="0"/>
    <n v="1"/>
    <s v="Life Sciences"/>
    <s v="91"/>
    <x v="3"/>
    <x v="0"/>
    <n v="2"/>
    <n v="2"/>
    <x v="0"/>
    <x v="2"/>
    <x v="0"/>
    <n v="5473"/>
    <x v="0"/>
    <x v="1"/>
    <n v="3"/>
    <n v="20"/>
    <n v="2"/>
    <x v="9"/>
    <n v="3"/>
    <n v="1"/>
    <n v="3"/>
    <x v="1"/>
    <x v="2"/>
    <x v="1"/>
  </r>
  <r>
    <n v="29"/>
    <s v="No"/>
    <n v="0"/>
    <x v="0"/>
    <x v="1"/>
    <n v="2"/>
    <s v="Life Sciences"/>
    <s v="94"/>
    <x v="1"/>
    <x v="1"/>
    <n v="3"/>
    <n v="1"/>
    <x v="1"/>
    <x v="1"/>
    <x v="1"/>
    <n v="2703"/>
    <x v="1"/>
    <x v="1"/>
    <n v="4"/>
    <n v="6"/>
    <n v="3"/>
    <x v="8"/>
    <n v="4"/>
    <n v="0"/>
    <n v="4"/>
    <x v="2"/>
    <x v="0"/>
    <x v="1"/>
  </r>
  <r>
    <n v="31"/>
    <s v="No"/>
    <n v="0"/>
    <x v="0"/>
    <x v="1"/>
    <n v="1"/>
    <s v="Medical"/>
    <s v="95"/>
    <x v="1"/>
    <x v="1"/>
    <n v="3"/>
    <n v="1"/>
    <x v="1"/>
    <x v="1"/>
    <x v="0"/>
    <n v="2501"/>
    <x v="1"/>
    <x v="1"/>
    <n v="3"/>
    <n v="1"/>
    <n v="3"/>
    <x v="6"/>
    <n v="1"/>
    <n v="1"/>
    <n v="0"/>
    <x v="2"/>
    <x v="1"/>
    <x v="1"/>
  </r>
  <r>
    <n v="32"/>
    <s v="No"/>
    <n v="0"/>
    <x v="0"/>
    <x v="1"/>
    <n v="1"/>
    <s v="Life Sciences"/>
    <s v="96"/>
    <x v="0"/>
    <x v="1"/>
    <n v="3"/>
    <n v="2"/>
    <x v="1"/>
    <x v="1"/>
    <x v="1"/>
    <n v="6220"/>
    <x v="0"/>
    <x v="1"/>
    <n v="3"/>
    <n v="10"/>
    <n v="3"/>
    <x v="1"/>
    <n v="4"/>
    <n v="0"/>
    <n v="9"/>
    <x v="2"/>
    <x v="0"/>
    <x v="0"/>
  </r>
  <r>
    <n v="36"/>
    <s v="No"/>
    <n v="0"/>
    <x v="0"/>
    <x v="1"/>
    <n v="6"/>
    <s v="Life Sciences"/>
    <s v="97"/>
    <x v="0"/>
    <x v="0"/>
    <n v="4"/>
    <n v="1"/>
    <x v="2"/>
    <x v="0"/>
    <x v="1"/>
    <n v="3038"/>
    <x v="1"/>
    <x v="1"/>
    <n v="3"/>
    <n v="5"/>
    <n v="3"/>
    <x v="6"/>
    <n v="0"/>
    <n v="0"/>
    <n v="0"/>
    <x v="0"/>
    <x v="1"/>
    <x v="1"/>
  </r>
  <r>
    <n v="31"/>
    <s v="No"/>
    <n v="0"/>
    <x v="0"/>
    <x v="1"/>
    <n v="8"/>
    <s v="Life Sciences"/>
    <s v="98"/>
    <x v="1"/>
    <x v="0"/>
    <n v="3"/>
    <n v="2"/>
    <x v="3"/>
    <x v="0"/>
    <x v="0"/>
    <n v="4424"/>
    <x v="1"/>
    <x v="1"/>
    <n v="4"/>
    <n v="11"/>
    <n v="3"/>
    <x v="19"/>
    <n v="7"/>
    <n v="1"/>
    <n v="8"/>
    <x v="2"/>
    <x v="0"/>
    <x v="2"/>
  </r>
  <r>
    <n v="35"/>
    <s v="No"/>
    <n v="0"/>
    <x v="0"/>
    <x v="0"/>
    <n v="1"/>
    <s v="Marketing"/>
    <s v="100"/>
    <x v="1"/>
    <x v="1"/>
    <n v="2"/>
    <n v="2"/>
    <x v="0"/>
    <x v="3"/>
    <x v="0"/>
    <n v="4312"/>
    <x v="1"/>
    <x v="1"/>
    <n v="3"/>
    <n v="16"/>
    <n v="3"/>
    <x v="15"/>
    <n v="13"/>
    <n v="2"/>
    <n v="8"/>
    <x v="2"/>
    <x v="2"/>
    <x v="2"/>
  </r>
  <r>
    <n v="45"/>
    <s v="No"/>
    <n v="0"/>
    <x v="0"/>
    <x v="1"/>
    <n v="6"/>
    <s v="Other"/>
    <s v="101"/>
    <x v="2"/>
    <x v="1"/>
    <n v="3"/>
    <n v="3"/>
    <x v="7"/>
    <x v="3"/>
    <x v="1"/>
    <n v="13245"/>
    <x v="2"/>
    <x v="0"/>
    <n v="3"/>
    <n v="17"/>
    <n v="4"/>
    <x v="2"/>
    <n v="0"/>
    <n v="0"/>
    <n v="0"/>
    <x v="0"/>
    <x v="2"/>
    <x v="1"/>
  </r>
  <r>
    <n v="37"/>
    <s v="No"/>
    <n v="0"/>
    <x v="0"/>
    <x v="1"/>
    <n v="7"/>
    <s v="Medical"/>
    <s v="102"/>
    <x v="3"/>
    <x v="1"/>
    <n v="3"/>
    <n v="3"/>
    <x v="7"/>
    <x v="2"/>
    <x v="0"/>
    <n v="13664"/>
    <x v="2"/>
    <x v="1"/>
    <n v="3"/>
    <n v="16"/>
    <n v="4"/>
    <x v="8"/>
    <n v="2"/>
    <n v="0"/>
    <n v="2"/>
    <x v="0"/>
    <x v="2"/>
    <x v="1"/>
  </r>
  <r>
    <n v="46"/>
    <s v="No"/>
    <n v="0"/>
    <x v="0"/>
    <x v="2"/>
    <n v="5"/>
    <s v="Medical"/>
    <s v="103"/>
    <x v="0"/>
    <x v="1"/>
    <n v="3"/>
    <n v="2"/>
    <x v="8"/>
    <x v="1"/>
    <x v="2"/>
    <n v="5021"/>
    <x v="0"/>
    <x v="0"/>
    <n v="4"/>
    <n v="16"/>
    <n v="3"/>
    <x v="9"/>
    <n v="2"/>
    <n v="0"/>
    <n v="2"/>
    <x v="1"/>
    <x v="2"/>
    <x v="1"/>
  </r>
  <r>
    <n v="30"/>
    <s v="No"/>
    <n v="0"/>
    <x v="0"/>
    <x v="1"/>
    <n v="1"/>
    <s v="Life Sciences"/>
    <s v="104"/>
    <x v="2"/>
    <x v="1"/>
    <n v="2"/>
    <n v="2"/>
    <x v="2"/>
    <x v="0"/>
    <x v="1"/>
    <n v="5126"/>
    <x v="0"/>
    <x v="0"/>
    <n v="3"/>
    <n v="10"/>
    <n v="2"/>
    <x v="1"/>
    <n v="8"/>
    <n v="3"/>
    <n v="0"/>
    <x v="2"/>
    <x v="0"/>
    <x v="0"/>
  </r>
  <r>
    <n v="35"/>
    <s v="No"/>
    <n v="0"/>
    <x v="0"/>
    <x v="1"/>
    <n v="1"/>
    <s v="Medical"/>
    <s v="105"/>
    <x v="0"/>
    <x v="1"/>
    <n v="2"/>
    <n v="1"/>
    <x v="1"/>
    <x v="2"/>
    <x v="0"/>
    <n v="2859"/>
    <x v="1"/>
    <x v="1"/>
    <n v="3"/>
    <n v="6"/>
    <n v="3"/>
    <x v="0"/>
    <n v="4"/>
    <n v="0"/>
    <n v="4"/>
    <x v="2"/>
    <x v="0"/>
    <x v="0"/>
  </r>
  <r>
    <n v="55"/>
    <s v="No"/>
    <n v="0"/>
    <x v="0"/>
    <x v="0"/>
    <n v="1"/>
    <s v="Life Sciences"/>
    <s v="106"/>
    <x v="3"/>
    <x v="1"/>
    <n v="3"/>
    <n v="3"/>
    <x v="0"/>
    <x v="0"/>
    <x v="1"/>
    <n v="10239"/>
    <x v="0"/>
    <x v="1"/>
    <n v="3"/>
    <n v="24"/>
    <n v="3"/>
    <x v="6"/>
    <n v="0"/>
    <n v="1"/>
    <n v="0"/>
    <x v="1"/>
    <x v="2"/>
    <x v="1"/>
  </r>
  <r>
    <n v="38"/>
    <s v="No"/>
    <n v="0"/>
    <x v="2"/>
    <x v="1"/>
    <n v="6"/>
    <s v="Medical"/>
    <s v="107"/>
    <x v="0"/>
    <x v="0"/>
    <n v="1"/>
    <n v="2"/>
    <x v="1"/>
    <x v="0"/>
    <x v="2"/>
    <n v="5329"/>
    <x v="0"/>
    <x v="0"/>
    <n v="3"/>
    <n v="17"/>
    <n v="3"/>
    <x v="20"/>
    <n v="11"/>
    <n v="1"/>
    <n v="9"/>
    <x v="0"/>
    <x v="2"/>
    <x v="2"/>
  </r>
  <r>
    <n v="34"/>
    <s v="No"/>
    <n v="0"/>
    <x v="0"/>
    <x v="1"/>
    <n v="1"/>
    <s v="Medical"/>
    <s v="110"/>
    <x v="3"/>
    <x v="1"/>
    <n v="3"/>
    <n v="2"/>
    <x v="3"/>
    <x v="1"/>
    <x v="1"/>
    <n v="4325"/>
    <x v="1"/>
    <x v="1"/>
    <n v="3"/>
    <n v="5"/>
    <n v="3"/>
    <x v="8"/>
    <n v="2"/>
    <n v="1"/>
    <n v="3"/>
    <x v="2"/>
    <x v="1"/>
    <x v="1"/>
  </r>
  <r>
    <n v="56"/>
    <s v="No"/>
    <n v="0"/>
    <x v="0"/>
    <x v="1"/>
    <n v="7"/>
    <s v="Life Sciences"/>
    <s v="112"/>
    <x v="2"/>
    <x v="1"/>
    <n v="1"/>
    <n v="3"/>
    <x v="3"/>
    <x v="0"/>
    <x v="0"/>
    <n v="7260"/>
    <x v="0"/>
    <x v="1"/>
    <n v="3"/>
    <n v="37"/>
    <n v="2"/>
    <x v="0"/>
    <n v="4"/>
    <n v="0"/>
    <n v="2"/>
    <x v="1"/>
    <x v="2"/>
    <x v="0"/>
  </r>
  <r>
    <n v="23"/>
    <s v="No"/>
    <n v="0"/>
    <x v="0"/>
    <x v="0"/>
    <n v="2"/>
    <s v="Technical Degree"/>
    <s v="113"/>
    <x v="1"/>
    <x v="1"/>
    <n v="3"/>
    <n v="1"/>
    <x v="6"/>
    <x v="3"/>
    <x v="2"/>
    <n v="2322"/>
    <x v="1"/>
    <x v="1"/>
    <n v="3"/>
    <n v="3"/>
    <n v="3"/>
    <x v="2"/>
    <n v="0"/>
    <n v="0"/>
    <n v="0"/>
    <x v="3"/>
    <x v="1"/>
    <x v="1"/>
  </r>
  <r>
    <n v="51"/>
    <s v="No"/>
    <n v="0"/>
    <x v="0"/>
    <x v="1"/>
    <n v="9"/>
    <s v="Life Sciences"/>
    <s v="116"/>
    <x v="2"/>
    <x v="1"/>
    <n v="3"/>
    <n v="1"/>
    <x v="2"/>
    <x v="0"/>
    <x v="1"/>
    <n v="2075"/>
    <x v="1"/>
    <x v="1"/>
    <n v="4"/>
    <n v="10"/>
    <n v="3"/>
    <x v="9"/>
    <n v="2"/>
    <n v="0"/>
    <n v="3"/>
    <x v="1"/>
    <x v="0"/>
    <x v="1"/>
  </r>
  <r>
    <n v="30"/>
    <s v="No"/>
    <n v="0"/>
    <x v="0"/>
    <x v="1"/>
    <n v="2"/>
    <s v="Life Sciences"/>
    <s v="117"/>
    <x v="1"/>
    <x v="1"/>
    <n v="2"/>
    <n v="2"/>
    <x v="4"/>
    <x v="0"/>
    <x v="1"/>
    <n v="4152"/>
    <x v="1"/>
    <x v="1"/>
    <n v="3"/>
    <n v="11"/>
    <n v="3"/>
    <x v="19"/>
    <n v="10"/>
    <n v="10"/>
    <n v="8"/>
    <x v="2"/>
    <x v="0"/>
    <x v="2"/>
  </r>
  <r>
    <n v="46"/>
    <s v="Yes"/>
    <n v="1"/>
    <x v="0"/>
    <x v="0"/>
    <n v="9"/>
    <s v="Medical"/>
    <s v="118"/>
    <x v="1"/>
    <x v="1"/>
    <n v="2"/>
    <n v="3"/>
    <x v="0"/>
    <x v="0"/>
    <x v="0"/>
    <n v="9619"/>
    <x v="0"/>
    <x v="1"/>
    <n v="3"/>
    <n v="9"/>
    <n v="3"/>
    <x v="7"/>
    <n v="8"/>
    <n v="4"/>
    <n v="7"/>
    <x v="1"/>
    <x v="0"/>
    <x v="0"/>
  </r>
  <r>
    <n v="40"/>
    <s v="No"/>
    <n v="0"/>
    <x v="1"/>
    <x v="1"/>
    <n v="1"/>
    <s v="Life Sciences"/>
    <s v="119"/>
    <x v="1"/>
    <x v="1"/>
    <n v="2"/>
    <n v="4"/>
    <x v="4"/>
    <x v="1"/>
    <x v="1"/>
    <n v="13503"/>
    <x v="2"/>
    <x v="1"/>
    <n v="4"/>
    <n v="22"/>
    <n v="2"/>
    <x v="14"/>
    <n v="3"/>
    <n v="11"/>
    <n v="11"/>
    <x v="0"/>
    <x v="2"/>
    <x v="2"/>
  </r>
  <r>
    <n v="51"/>
    <s v="No"/>
    <n v="0"/>
    <x v="0"/>
    <x v="0"/>
    <n v="21"/>
    <s v="Marketing"/>
    <s v="120"/>
    <x v="1"/>
    <x v="1"/>
    <n v="3"/>
    <n v="2"/>
    <x v="0"/>
    <x v="0"/>
    <x v="0"/>
    <n v="5441"/>
    <x v="0"/>
    <x v="0"/>
    <n v="4"/>
    <n v="11"/>
    <n v="1"/>
    <x v="1"/>
    <n v="7"/>
    <n v="1"/>
    <n v="0"/>
    <x v="1"/>
    <x v="0"/>
    <x v="0"/>
  </r>
  <r>
    <n v="30"/>
    <s v="No"/>
    <n v="0"/>
    <x v="0"/>
    <x v="0"/>
    <n v="4"/>
    <s v="Medical"/>
    <s v="121"/>
    <x v="1"/>
    <x v="0"/>
    <n v="2"/>
    <n v="2"/>
    <x v="0"/>
    <x v="1"/>
    <x v="2"/>
    <n v="5209"/>
    <x v="0"/>
    <x v="0"/>
    <n v="3"/>
    <n v="11"/>
    <n v="2"/>
    <x v="19"/>
    <n v="8"/>
    <n v="2"/>
    <n v="7"/>
    <x v="2"/>
    <x v="0"/>
    <x v="2"/>
  </r>
  <r>
    <n v="46"/>
    <s v="No"/>
    <n v="0"/>
    <x v="1"/>
    <x v="1"/>
    <n v="1"/>
    <s v="Medical"/>
    <s v="124"/>
    <x v="1"/>
    <x v="1"/>
    <n v="2"/>
    <n v="3"/>
    <x v="4"/>
    <x v="3"/>
    <x v="1"/>
    <n v="10673"/>
    <x v="0"/>
    <x v="0"/>
    <n v="3"/>
    <n v="21"/>
    <n v="2"/>
    <x v="1"/>
    <n v="9"/>
    <n v="9"/>
    <n v="5"/>
    <x v="1"/>
    <x v="2"/>
    <x v="0"/>
  </r>
  <r>
    <n v="32"/>
    <s v="No"/>
    <n v="0"/>
    <x v="0"/>
    <x v="0"/>
    <n v="6"/>
    <s v="Medical"/>
    <s v="125"/>
    <x v="0"/>
    <x v="1"/>
    <n v="3"/>
    <n v="2"/>
    <x v="0"/>
    <x v="2"/>
    <x v="0"/>
    <n v="5010"/>
    <x v="0"/>
    <x v="1"/>
    <n v="3"/>
    <n v="12"/>
    <n v="3"/>
    <x v="19"/>
    <n v="8"/>
    <n v="5"/>
    <n v="7"/>
    <x v="2"/>
    <x v="0"/>
    <x v="2"/>
  </r>
  <r>
    <n v="54"/>
    <s v="No"/>
    <n v="0"/>
    <x v="0"/>
    <x v="1"/>
    <n v="2"/>
    <s v="Technical Degree"/>
    <s v="126"/>
    <x v="3"/>
    <x v="0"/>
    <n v="3"/>
    <n v="3"/>
    <x v="7"/>
    <x v="2"/>
    <x v="1"/>
    <n v="13549"/>
    <x v="2"/>
    <x v="1"/>
    <n v="3"/>
    <n v="16"/>
    <n v="1"/>
    <x v="9"/>
    <n v="3"/>
    <n v="0"/>
    <n v="3"/>
    <x v="1"/>
    <x v="2"/>
    <x v="1"/>
  </r>
  <r>
    <n v="24"/>
    <s v="No"/>
    <n v="0"/>
    <x v="0"/>
    <x v="0"/>
    <n v="3"/>
    <s v="Other"/>
    <s v="128"/>
    <x v="3"/>
    <x v="0"/>
    <n v="3"/>
    <n v="2"/>
    <x v="0"/>
    <x v="2"/>
    <x v="1"/>
    <n v="4999"/>
    <x v="1"/>
    <x v="1"/>
    <n v="4"/>
    <n v="4"/>
    <n v="2"/>
    <x v="11"/>
    <n v="2"/>
    <n v="0"/>
    <n v="2"/>
    <x v="3"/>
    <x v="1"/>
    <x v="1"/>
  </r>
  <r>
    <n v="28"/>
    <s v="No"/>
    <n v="0"/>
    <x v="2"/>
    <x v="0"/>
    <n v="4"/>
    <s v="Medical"/>
    <s v="129"/>
    <x v="0"/>
    <x v="1"/>
    <n v="3"/>
    <n v="2"/>
    <x v="0"/>
    <x v="2"/>
    <x v="1"/>
    <n v="4221"/>
    <x v="1"/>
    <x v="1"/>
    <n v="3"/>
    <n v="5"/>
    <n v="4"/>
    <x v="8"/>
    <n v="4"/>
    <n v="0"/>
    <n v="4"/>
    <x v="2"/>
    <x v="1"/>
    <x v="1"/>
  </r>
  <r>
    <n v="58"/>
    <s v="No"/>
    <n v="0"/>
    <x v="0"/>
    <x v="0"/>
    <n v="10"/>
    <s v="Medical"/>
    <s v="131"/>
    <x v="2"/>
    <x v="1"/>
    <n v="3"/>
    <n v="4"/>
    <x v="0"/>
    <x v="2"/>
    <x v="0"/>
    <n v="13872"/>
    <x v="2"/>
    <x v="1"/>
    <n v="3"/>
    <n v="38"/>
    <n v="2"/>
    <x v="21"/>
    <n v="10"/>
    <n v="1"/>
    <n v="8"/>
    <x v="1"/>
    <x v="2"/>
    <x v="2"/>
  </r>
  <r>
    <n v="44"/>
    <s v="No"/>
    <n v="0"/>
    <x v="2"/>
    <x v="1"/>
    <n v="23"/>
    <s v="Medical"/>
    <s v="132"/>
    <x v="0"/>
    <x v="1"/>
    <n v="3"/>
    <n v="2"/>
    <x v="2"/>
    <x v="1"/>
    <x v="1"/>
    <n v="2042"/>
    <x v="1"/>
    <x v="1"/>
    <n v="3"/>
    <n v="17"/>
    <n v="4"/>
    <x v="11"/>
    <n v="2"/>
    <n v="1"/>
    <n v="2"/>
    <x v="0"/>
    <x v="2"/>
    <x v="1"/>
  </r>
  <r>
    <n v="37"/>
    <s v="Yes"/>
    <n v="1"/>
    <x v="0"/>
    <x v="2"/>
    <n v="6"/>
    <s v="Human Resources"/>
    <s v="133"/>
    <x v="1"/>
    <x v="1"/>
    <n v="3"/>
    <n v="1"/>
    <x v="8"/>
    <x v="3"/>
    <x v="2"/>
    <n v="2073"/>
    <x v="1"/>
    <x v="0"/>
    <n v="4"/>
    <n v="7"/>
    <n v="3"/>
    <x v="11"/>
    <n v="2"/>
    <n v="0"/>
    <n v="2"/>
    <x v="0"/>
    <x v="0"/>
    <x v="1"/>
  </r>
  <r>
    <n v="32"/>
    <s v="No"/>
    <n v="0"/>
    <x v="0"/>
    <x v="1"/>
    <n v="1"/>
    <s v="Life Sciences"/>
    <s v="134"/>
    <x v="2"/>
    <x v="1"/>
    <n v="3"/>
    <n v="1"/>
    <x v="1"/>
    <x v="3"/>
    <x v="0"/>
    <n v="2956"/>
    <x v="1"/>
    <x v="1"/>
    <n v="3"/>
    <n v="1"/>
    <n v="3"/>
    <x v="6"/>
    <n v="0"/>
    <n v="0"/>
    <n v="0"/>
    <x v="2"/>
    <x v="1"/>
    <x v="1"/>
  </r>
  <r>
    <n v="20"/>
    <s v="Yes"/>
    <n v="1"/>
    <x v="1"/>
    <x v="1"/>
    <n v="6"/>
    <s v="Life Sciences"/>
    <s v="137"/>
    <x v="2"/>
    <x v="0"/>
    <n v="2"/>
    <n v="1"/>
    <x v="2"/>
    <x v="0"/>
    <x v="0"/>
    <n v="2926"/>
    <x v="1"/>
    <x v="0"/>
    <n v="3"/>
    <n v="1"/>
    <n v="3"/>
    <x v="6"/>
    <n v="0"/>
    <n v="1"/>
    <n v="0"/>
    <x v="3"/>
    <x v="1"/>
    <x v="1"/>
  </r>
  <r>
    <n v="34"/>
    <s v="No"/>
    <n v="0"/>
    <x v="0"/>
    <x v="1"/>
    <n v="6"/>
    <s v="Other"/>
    <s v="138"/>
    <x v="3"/>
    <x v="0"/>
    <n v="3"/>
    <n v="2"/>
    <x v="1"/>
    <x v="2"/>
    <x v="0"/>
    <n v="4809"/>
    <x v="1"/>
    <x v="1"/>
    <n v="3"/>
    <n v="16"/>
    <n v="3"/>
    <x v="22"/>
    <n v="13"/>
    <n v="2"/>
    <n v="10"/>
    <x v="2"/>
    <x v="2"/>
    <x v="2"/>
  </r>
  <r>
    <n v="37"/>
    <s v="No"/>
    <n v="0"/>
    <x v="2"/>
    <x v="1"/>
    <n v="2"/>
    <s v="Life Sciences"/>
    <s v="139"/>
    <x v="1"/>
    <x v="1"/>
    <n v="2"/>
    <n v="2"/>
    <x v="4"/>
    <x v="0"/>
    <x v="2"/>
    <n v="5163"/>
    <x v="0"/>
    <x v="1"/>
    <n v="3"/>
    <n v="17"/>
    <n v="4"/>
    <x v="6"/>
    <n v="0"/>
    <n v="0"/>
    <n v="0"/>
    <x v="0"/>
    <x v="2"/>
    <x v="1"/>
  </r>
  <r>
    <n v="59"/>
    <s v="No"/>
    <n v="0"/>
    <x v="2"/>
    <x v="2"/>
    <n v="2"/>
    <s v="Human Resources"/>
    <s v="140"/>
    <x v="1"/>
    <x v="0"/>
    <n v="2"/>
    <n v="5"/>
    <x v="5"/>
    <x v="0"/>
    <x v="1"/>
    <n v="18844"/>
    <x v="2"/>
    <x v="1"/>
    <n v="4"/>
    <n v="30"/>
    <n v="3"/>
    <x v="11"/>
    <n v="2"/>
    <n v="2"/>
    <n v="2"/>
    <x v="1"/>
    <x v="2"/>
    <x v="1"/>
  </r>
  <r>
    <n v="50"/>
    <s v="No"/>
    <n v="0"/>
    <x v="1"/>
    <x v="1"/>
    <n v="1"/>
    <s v="Life Sciences"/>
    <s v="141"/>
    <x v="3"/>
    <x v="0"/>
    <n v="3"/>
    <n v="5"/>
    <x v="7"/>
    <x v="1"/>
    <x v="1"/>
    <n v="18172"/>
    <x v="2"/>
    <x v="0"/>
    <n v="3"/>
    <n v="28"/>
    <n v="2"/>
    <x v="3"/>
    <n v="3"/>
    <n v="0"/>
    <n v="7"/>
    <x v="1"/>
    <x v="2"/>
    <x v="0"/>
  </r>
  <r>
    <n v="25"/>
    <s v="Yes"/>
    <n v="1"/>
    <x v="0"/>
    <x v="0"/>
    <n v="5"/>
    <s v="Marketing"/>
    <s v="142"/>
    <x v="1"/>
    <x v="1"/>
    <n v="2"/>
    <n v="2"/>
    <x v="0"/>
    <x v="2"/>
    <x v="0"/>
    <n v="5744"/>
    <x v="0"/>
    <x v="0"/>
    <n v="3"/>
    <n v="6"/>
    <n v="3"/>
    <x v="0"/>
    <n v="4"/>
    <n v="0"/>
    <n v="3"/>
    <x v="3"/>
    <x v="0"/>
    <x v="0"/>
  </r>
  <r>
    <n v="25"/>
    <s v="No"/>
    <n v="0"/>
    <x v="0"/>
    <x v="1"/>
    <n v="7"/>
    <s v="Medical"/>
    <s v="143"/>
    <x v="2"/>
    <x v="1"/>
    <n v="2"/>
    <n v="1"/>
    <x v="1"/>
    <x v="0"/>
    <x v="1"/>
    <n v="2889"/>
    <x v="1"/>
    <x v="1"/>
    <n v="3"/>
    <n v="2"/>
    <n v="3"/>
    <x v="4"/>
    <n v="2"/>
    <n v="2"/>
    <n v="1"/>
    <x v="3"/>
    <x v="1"/>
    <x v="1"/>
  </r>
  <r>
    <n v="22"/>
    <s v="No"/>
    <n v="0"/>
    <x v="0"/>
    <x v="1"/>
    <n v="15"/>
    <s v="Medical"/>
    <s v="144"/>
    <x v="0"/>
    <x v="0"/>
    <n v="3"/>
    <n v="1"/>
    <x v="2"/>
    <x v="0"/>
    <x v="0"/>
    <n v="2871"/>
    <x v="1"/>
    <x v="1"/>
    <n v="3"/>
    <n v="1"/>
    <n v="3"/>
    <x v="2"/>
    <n v="0"/>
    <n v="0"/>
    <n v="0"/>
    <x v="3"/>
    <x v="1"/>
    <x v="1"/>
  </r>
  <r>
    <n v="51"/>
    <s v="No"/>
    <n v="0"/>
    <x v="1"/>
    <x v="1"/>
    <n v="1"/>
    <s v="Medical"/>
    <s v="145"/>
    <x v="3"/>
    <x v="0"/>
    <n v="2"/>
    <n v="3"/>
    <x v="4"/>
    <x v="3"/>
    <x v="0"/>
    <n v="7484"/>
    <x v="0"/>
    <x v="1"/>
    <n v="4"/>
    <n v="23"/>
    <n v="2"/>
    <x v="20"/>
    <n v="12"/>
    <n v="12"/>
    <n v="8"/>
    <x v="1"/>
    <x v="2"/>
    <x v="2"/>
  </r>
  <r>
    <n v="34"/>
    <s v="Yes"/>
    <n v="1"/>
    <x v="1"/>
    <x v="1"/>
    <n v="7"/>
    <s v="Life Sciences"/>
    <s v="147"/>
    <x v="3"/>
    <x v="1"/>
    <n v="1"/>
    <n v="2"/>
    <x v="2"/>
    <x v="2"/>
    <x v="0"/>
    <n v="6074"/>
    <x v="0"/>
    <x v="0"/>
    <n v="4"/>
    <n v="9"/>
    <n v="3"/>
    <x v="7"/>
    <n v="7"/>
    <n v="0"/>
    <n v="6"/>
    <x v="2"/>
    <x v="0"/>
    <x v="0"/>
  </r>
  <r>
    <n v="54"/>
    <s v="No"/>
    <n v="0"/>
    <x v="2"/>
    <x v="2"/>
    <n v="26"/>
    <s v="Human Resources"/>
    <s v="148"/>
    <x v="2"/>
    <x v="0"/>
    <n v="4"/>
    <n v="4"/>
    <x v="5"/>
    <x v="0"/>
    <x v="0"/>
    <n v="17328"/>
    <x v="2"/>
    <x v="0"/>
    <n v="3"/>
    <n v="23"/>
    <n v="3"/>
    <x v="8"/>
    <n v="3"/>
    <n v="4"/>
    <n v="4"/>
    <x v="1"/>
    <x v="2"/>
    <x v="1"/>
  </r>
  <r>
    <n v="24"/>
    <s v="No"/>
    <n v="0"/>
    <x v="0"/>
    <x v="1"/>
    <n v="18"/>
    <s v="Life Sciences"/>
    <s v="150"/>
    <x v="0"/>
    <x v="1"/>
    <n v="3"/>
    <n v="1"/>
    <x v="2"/>
    <x v="2"/>
    <x v="1"/>
    <n v="2774"/>
    <x v="1"/>
    <x v="1"/>
    <n v="3"/>
    <n v="6"/>
    <n v="3"/>
    <x v="8"/>
    <n v="3"/>
    <n v="1"/>
    <n v="2"/>
    <x v="3"/>
    <x v="0"/>
    <x v="1"/>
  </r>
  <r>
    <n v="34"/>
    <s v="No"/>
    <n v="0"/>
    <x v="0"/>
    <x v="1"/>
    <n v="6"/>
    <s v="Life Sciences"/>
    <s v="151"/>
    <x v="1"/>
    <x v="0"/>
    <n v="2"/>
    <n v="2"/>
    <x v="1"/>
    <x v="1"/>
    <x v="2"/>
    <n v="4505"/>
    <x v="1"/>
    <x v="1"/>
    <n v="3"/>
    <n v="12"/>
    <n v="3"/>
    <x v="6"/>
    <n v="0"/>
    <n v="0"/>
    <n v="0"/>
    <x v="2"/>
    <x v="0"/>
    <x v="1"/>
  </r>
  <r>
    <n v="37"/>
    <s v="No"/>
    <n v="0"/>
    <x v="0"/>
    <x v="0"/>
    <n v="3"/>
    <s v="Life Sciences"/>
    <s v="152"/>
    <x v="1"/>
    <x v="1"/>
    <n v="3"/>
    <n v="3"/>
    <x v="0"/>
    <x v="0"/>
    <x v="0"/>
    <n v="7428"/>
    <x v="0"/>
    <x v="1"/>
    <n v="3"/>
    <n v="12"/>
    <n v="3"/>
    <x v="8"/>
    <n v="3"/>
    <n v="1"/>
    <n v="3"/>
    <x v="0"/>
    <x v="0"/>
    <x v="1"/>
  </r>
  <r>
    <n v="34"/>
    <s v="No"/>
    <n v="0"/>
    <x v="0"/>
    <x v="1"/>
    <n v="5"/>
    <s v="Medical"/>
    <s v="153"/>
    <x v="1"/>
    <x v="0"/>
    <n v="2"/>
    <n v="3"/>
    <x v="5"/>
    <x v="3"/>
    <x v="0"/>
    <n v="11631"/>
    <x v="0"/>
    <x v="1"/>
    <n v="3"/>
    <n v="14"/>
    <n v="3"/>
    <x v="19"/>
    <n v="10"/>
    <n v="5"/>
    <n v="8"/>
    <x v="2"/>
    <x v="0"/>
    <x v="2"/>
  </r>
  <r>
    <n v="36"/>
    <s v="No"/>
    <n v="0"/>
    <x v="1"/>
    <x v="0"/>
    <n v="11"/>
    <s v="Technical Degree"/>
    <s v="154"/>
    <x v="0"/>
    <x v="0"/>
    <n v="3"/>
    <n v="3"/>
    <x v="0"/>
    <x v="0"/>
    <x v="1"/>
    <n v="9738"/>
    <x v="0"/>
    <x v="1"/>
    <n v="3"/>
    <n v="10"/>
    <n v="3"/>
    <x v="7"/>
    <n v="7"/>
    <n v="2"/>
    <n v="8"/>
    <x v="0"/>
    <x v="0"/>
    <x v="0"/>
  </r>
  <r>
    <n v="36"/>
    <s v="No"/>
    <n v="0"/>
    <x v="0"/>
    <x v="1"/>
    <n v="3"/>
    <s v="Life Sciences"/>
    <s v="155"/>
    <x v="3"/>
    <x v="0"/>
    <n v="3"/>
    <n v="1"/>
    <x v="2"/>
    <x v="0"/>
    <x v="2"/>
    <n v="2835"/>
    <x v="1"/>
    <x v="1"/>
    <n v="4"/>
    <n v="7"/>
    <n v="3"/>
    <x v="6"/>
    <n v="0"/>
    <n v="0"/>
    <n v="0"/>
    <x v="0"/>
    <x v="0"/>
    <x v="1"/>
  </r>
  <r>
    <n v="43"/>
    <s v="No"/>
    <n v="0"/>
    <x v="1"/>
    <x v="0"/>
    <n v="26"/>
    <s v="Life Sciences"/>
    <s v="158"/>
    <x v="1"/>
    <x v="1"/>
    <n v="3"/>
    <n v="4"/>
    <x v="5"/>
    <x v="0"/>
    <x v="1"/>
    <n v="16959"/>
    <x v="2"/>
    <x v="0"/>
    <n v="3"/>
    <n v="25"/>
    <n v="4"/>
    <x v="10"/>
    <n v="12"/>
    <n v="4"/>
    <n v="12"/>
    <x v="0"/>
    <x v="2"/>
    <x v="2"/>
  </r>
  <r>
    <n v="30"/>
    <s v="No"/>
    <n v="0"/>
    <x v="1"/>
    <x v="1"/>
    <n v="23"/>
    <s v="Life Sciences"/>
    <s v="159"/>
    <x v="3"/>
    <x v="1"/>
    <n v="1"/>
    <n v="1"/>
    <x v="1"/>
    <x v="2"/>
    <x v="2"/>
    <n v="2613"/>
    <x v="1"/>
    <x v="1"/>
    <n v="4"/>
    <n v="10"/>
    <n v="2"/>
    <x v="1"/>
    <n v="7"/>
    <n v="0"/>
    <n v="9"/>
    <x v="2"/>
    <x v="0"/>
    <x v="0"/>
  </r>
  <r>
    <n v="33"/>
    <s v="No"/>
    <n v="0"/>
    <x v="2"/>
    <x v="0"/>
    <n v="22"/>
    <s v="Marketing"/>
    <s v="160"/>
    <x v="1"/>
    <x v="1"/>
    <n v="3"/>
    <n v="2"/>
    <x v="0"/>
    <x v="1"/>
    <x v="1"/>
    <n v="6146"/>
    <x v="0"/>
    <x v="1"/>
    <n v="3"/>
    <n v="8"/>
    <n v="4"/>
    <x v="5"/>
    <n v="7"/>
    <n v="0"/>
    <n v="7"/>
    <x v="2"/>
    <x v="0"/>
    <x v="0"/>
  </r>
  <r>
    <n v="56"/>
    <s v="Yes"/>
    <n v="1"/>
    <x v="0"/>
    <x v="1"/>
    <n v="14"/>
    <s v="Life Sciences"/>
    <s v="161"/>
    <x v="0"/>
    <x v="0"/>
    <n v="3"/>
    <n v="1"/>
    <x v="1"/>
    <x v="1"/>
    <x v="1"/>
    <n v="4963"/>
    <x v="1"/>
    <x v="0"/>
    <n v="3"/>
    <n v="7"/>
    <n v="3"/>
    <x v="8"/>
    <n v="4"/>
    <n v="4"/>
    <n v="3"/>
    <x v="1"/>
    <x v="0"/>
    <x v="1"/>
  </r>
  <r>
    <n v="51"/>
    <s v="No"/>
    <n v="0"/>
    <x v="0"/>
    <x v="1"/>
    <n v="6"/>
    <s v="Life Sciences"/>
    <s v="162"/>
    <x v="3"/>
    <x v="1"/>
    <n v="3"/>
    <n v="5"/>
    <x v="7"/>
    <x v="2"/>
    <x v="0"/>
    <n v="19537"/>
    <x v="2"/>
    <x v="1"/>
    <n v="3"/>
    <n v="23"/>
    <n v="3"/>
    <x v="23"/>
    <n v="18"/>
    <n v="15"/>
    <n v="15"/>
    <x v="1"/>
    <x v="2"/>
    <x v="2"/>
  </r>
  <r>
    <n v="31"/>
    <s v="Yes"/>
    <n v="1"/>
    <x v="0"/>
    <x v="0"/>
    <n v="6"/>
    <s v="Life Sciences"/>
    <s v="163"/>
    <x v="0"/>
    <x v="1"/>
    <n v="1"/>
    <n v="2"/>
    <x v="0"/>
    <x v="2"/>
    <x v="1"/>
    <n v="6172"/>
    <x v="0"/>
    <x v="0"/>
    <n v="3"/>
    <n v="12"/>
    <n v="2"/>
    <x v="5"/>
    <n v="7"/>
    <n v="7"/>
    <n v="7"/>
    <x v="2"/>
    <x v="0"/>
    <x v="0"/>
  </r>
  <r>
    <n v="26"/>
    <s v="No"/>
    <n v="0"/>
    <x v="0"/>
    <x v="1"/>
    <n v="6"/>
    <s v="Other"/>
    <s v="164"/>
    <x v="1"/>
    <x v="0"/>
    <n v="2"/>
    <n v="1"/>
    <x v="1"/>
    <x v="1"/>
    <x v="1"/>
    <n v="2368"/>
    <x v="1"/>
    <x v="1"/>
    <n v="3"/>
    <n v="5"/>
    <n v="2"/>
    <x v="8"/>
    <n v="4"/>
    <n v="4"/>
    <n v="3"/>
    <x v="2"/>
    <x v="1"/>
    <x v="1"/>
  </r>
  <r>
    <n v="58"/>
    <s v="Yes"/>
    <n v="1"/>
    <x v="0"/>
    <x v="1"/>
    <n v="23"/>
    <s v="Medical"/>
    <s v="165"/>
    <x v="2"/>
    <x v="0"/>
    <n v="3"/>
    <n v="3"/>
    <x v="4"/>
    <x v="0"/>
    <x v="1"/>
    <n v="10312"/>
    <x v="0"/>
    <x v="1"/>
    <n v="3"/>
    <n v="40"/>
    <n v="2"/>
    <x v="24"/>
    <n v="10"/>
    <n v="15"/>
    <n v="6"/>
    <x v="1"/>
    <x v="2"/>
    <x v="2"/>
  </r>
  <r>
    <n v="19"/>
    <s v="Yes"/>
    <n v="1"/>
    <x v="0"/>
    <x v="0"/>
    <n v="22"/>
    <s v="Marketing"/>
    <s v="167"/>
    <x v="2"/>
    <x v="1"/>
    <n v="3"/>
    <n v="1"/>
    <x v="6"/>
    <x v="2"/>
    <x v="0"/>
    <n v="1675"/>
    <x v="1"/>
    <x v="0"/>
    <n v="3"/>
    <n v="0"/>
    <n v="2"/>
    <x v="2"/>
    <n v="0"/>
    <n v="0"/>
    <n v="0"/>
    <x v="3"/>
    <x v="1"/>
    <x v="1"/>
  </r>
  <r>
    <n v="22"/>
    <s v="No"/>
    <n v="0"/>
    <x v="0"/>
    <x v="1"/>
    <n v="2"/>
    <s v="Technical Degree"/>
    <s v="169"/>
    <x v="1"/>
    <x v="1"/>
    <n v="3"/>
    <n v="1"/>
    <x v="2"/>
    <x v="0"/>
    <x v="1"/>
    <n v="2523"/>
    <x v="1"/>
    <x v="1"/>
    <n v="3"/>
    <n v="3"/>
    <n v="3"/>
    <x v="4"/>
    <n v="1"/>
    <n v="2"/>
    <n v="1"/>
    <x v="3"/>
    <x v="1"/>
    <x v="1"/>
  </r>
  <r>
    <n v="49"/>
    <s v="No"/>
    <n v="0"/>
    <x v="0"/>
    <x v="1"/>
    <n v="20"/>
    <s v="Medical"/>
    <s v="170"/>
    <x v="1"/>
    <x v="0"/>
    <n v="3"/>
    <n v="2"/>
    <x v="3"/>
    <x v="3"/>
    <x v="1"/>
    <n v="6567"/>
    <x v="0"/>
    <x v="1"/>
    <n v="3"/>
    <n v="16"/>
    <n v="2"/>
    <x v="15"/>
    <n v="11"/>
    <n v="5"/>
    <n v="11"/>
    <x v="1"/>
    <x v="2"/>
    <x v="2"/>
  </r>
  <r>
    <n v="43"/>
    <s v="No"/>
    <n v="0"/>
    <x v="1"/>
    <x v="1"/>
    <n v="28"/>
    <s v="Medical"/>
    <s v="171"/>
    <x v="0"/>
    <x v="0"/>
    <n v="4"/>
    <n v="1"/>
    <x v="1"/>
    <x v="2"/>
    <x v="0"/>
    <n v="4739"/>
    <x v="1"/>
    <x v="1"/>
    <n v="3"/>
    <n v="18"/>
    <n v="3"/>
    <x v="11"/>
    <n v="2"/>
    <n v="1"/>
    <n v="2"/>
    <x v="0"/>
    <x v="2"/>
    <x v="1"/>
  </r>
  <r>
    <n v="50"/>
    <s v="No"/>
    <n v="0"/>
    <x v="1"/>
    <x v="0"/>
    <n v="12"/>
    <s v="Marketing"/>
    <s v="174"/>
    <x v="1"/>
    <x v="0"/>
    <n v="3"/>
    <n v="3"/>
    <x v="0"/>
    <x v="0"/>
    <x v="0"/>
    <n v="9208"/>
    <x v="0"/>
    <x v="1"/>
    <n v="3"/>
    <n v="16"/>
    <n v="3"/>
    <x v="4"/>
    <n v="2"/>
    <n v="2"/>
    <n v="1"/>
    <x v="1"/>
    <x v="2"/>
    <x v="1"/>
  </r>
  <r>
    <n v="31"/>
    <s v="Yes"/>
    <n v="1"/>
    <x v="0"/>
    <x v="0"/>
    <n v="20"/>
    <s v="Life Sciences"/>
    <s v="175"/>
    <x v="0"/>
    <x v="0"/>
    <n v="1"/>
    <n v="2"/>
    <x v="0"/>
    <x v="2"/>
    <x v="1"/>
    <n v="4559"/>
    <x v="1"/>
    <x v="0"/>
    <n v="3"/>
    <n v="4"/>
    <n v="3"/>
    <x v="4"/>
    <n v="2"/>
    <n v="2"/>
    <n v="2"/>
    <x v="2"/>
    <x v="1"/>
    <x v="1"/>
  </r>
  <r>
    <n v="41"/>
    <s v="No"/>
    <n v="0"/>
    <x v="0"/>
    <x v="0"/>
    <n v="9"/>
    <s v="Life Sciences"/>
    <s v="176"/>
    <x v="1"/>
    <x v="1"/>
    <n v="3"/>
    <n v="3"/>
    <x v="0"/>
    <x v="2"/>
    <x v="2"/>
    <n v="8189"/>
    <x v="0"/>
    <x v="0"/>
    <n v="3"/>
    <n v="12"/>
    <n v="3"/>
    <x v="7"/>
    <n v="7"/>
    <n v="0"/>
    <n v="7"/>
    <x v="0"/>
    <x v="0"/>
    <x v="0"/>
  </r>
  <r>
    <n v="26"/>
    <s v="No"/>
    <n v="0"/>
    <x v="0"/>
    <x v="2"/>
    <n v="25"/>
    <s v="Life Sciences"/>
    <s v="177"/>
    <x v="1"/>
    <x v="0"/>
    <n v="3"/>
    <n v="1"/>
    <x v="8"/>
    <x v="2"/>
    <x v="1"/>
    <n v="2942"/>
    <x v="1"/>
    <x v="1"/>
    <n v="4"/>
    <n v="8"/>
    <n v="3"/>
    <x v="3"/>
    <n v="7"/>
    <n v="5"/>
    <n v="7"/>
    <x v="2"/>
    <x v="0"/>
    <x v="0"/>
  </r>
  <r>
    <n v="36"/>
    <s v="No"/>
    <n v="0"/>
    <x v="0"/>
    <x v="1"/>
    <n v="6"/>
    <s v="Medical"/>
    <s v="178"/>
    <x v="0"/>
    <x v="1"/>
    <n v="3"/>
    <n v="2"/>
    <x v="3"/>
    <x v="1"/>
    <x v="2"/>
    <n v="4941"/>
    <x v="1"/>
    <x v="1"/>
    <n v="4"/>
    <n v="7"/>
    <n v="3"/>
    <x v="11"/>
    <n v="2"/>
    <n v="0"/>
    <n v="1"/>
    <x v="0"/>
    <x v="0"/>
    <x v="1"/>
  </r>
  <r>
    <n v="51"/>
    <s v="Yes"/>
    <n v="1"/>
    <x v="1"/>
    <x v="1"/>
    <n v="8"/>
    <s v="Life Sciences"/>
    <s v="179"/>
    <x v="3"/>
    <x v="1"/>
    <n v="1"/>
    <n v="3"/>
    <x v="3"/>
    <x v="0"/>
    <x v="0"/>
    <n v="10650"/>
    <x v="0"/>
    <x v="1"/>
    <n v="3"/>
    <n v="18"/>
    <n v="3"/>
    <x v="9"/>
    <n v="2"/>
    <n v="0"/>
    <n v="3"/>
    <x v="1"/>
    <x v="2"/>
    <x v="1"/>
  </r>
  <r>
    <n v="39"/>
    <s v="No"/>
    <n v="0"/>
    <x v="0"/>
    <x v="0"/>
    <n v="4"/>
    <s v="Life Sciences"/>
    <s v="182"/>
    <x v="2"/>
    <x v="0"/>
    <n v="2"/>
    <n v="2"/>
    <x v="0"/>
    <x v="2"/>
    <x v="1"/>
    <n v="5902"/>
    <x v="0"/>
    <x v="1"/>
    <n v="3"/>
    <n v="17"/>
    <n v="4"/>
    <x v="15"/>
    <n v="11"/>
    <n v="5"/>
    <n v="9"/>
    <x v="0"/>
    <x v="2"/>
    <x v="2"/>
  </r>
  <r>
    <n v="25"/>
    <s v="No"/>
    <n v="0"/>
    <x v="0"/>
    <x v="0"/>
    <n v="28"/>
    <s v="Life Sciences"/>
    <s v="183"/>
    <x v="3"/>
    <x v="1"/>
    <n v="2"/>
    <n v="2"/>
    <x v="0"/>
    <x v="2"/>
    <x v="1"/>
    <n v="8639"/>
    <x v="0"/>
    <x v="1"/>
    <n v="3"/>
    <n v="6"/>
    <n v="3"/>
    <x v="4"/>
    <n v="2"/>
    <n v="2"/>
    <n v="2"/>
    <x v="3"/>
    <x v="0"/>
    <x v="1"/>
  </r>
  <r>
    <n v="30"/>
    <s v="No"/>
    <n v="0"/>
    <x v="0"/>
    <x v="2"/>
    <n v="9"/>
    <s v="Human Resources"/>
    <s v="184"/>
    <x v="1"/>
    <x v="1"/>
    <n v="3"/>
    <n v="2"/>
    <x v="8"/>
    <x v="0"/>
    <x v="1"/>
    <n v="6347"/>
    <x v="0"/>
    <x v="0"/>
    <n v="3"/>
    <n v="12"/>
    <n v="1"/>
    <x v="19"/>
    <n v="9"/>
    <n v="4"/>
    <n v="7"/>
    <x v="2"/>
    <x v="0"/>
    <x v="2"/>
  </r>
  <r>
    <n v="32"/>
    <s v="Yes"/>
    <n v="1"/>
    <x v="0"/>
    <x v="1"/>
    <n v="9"/>
    <s v="Medical"/>
    <s v="190"/>
    <x v="3"/>
    <x v="0"/>
    <n v="3"/>
    <n v="1"/>
    <x v="2"/>
    <x v="3"/>
    <x v="0"/>
    <n v="4200"/>
    <x v="1"/>
    <x v="1"/>
    <n v="4"/>
    <n v="10"/>
    <n v="4"/>
    <x v="8"/>
    <n v="4"/>
    <n v="0"/>
    <n v="4"/>
    <x v="2"/>
    <x v="0"/>
    <x v="1"/>
  </r>
  <r>
    <n v="45"/>
    <s v="No"/>
    <n v="0"/>
    <x v="0"/>
    <x v="1"/>
    <n v="29"/>
    <s v="Medical"/>
    <s v="192"/>
    <x v="1"/>
    <x v="1"/>
    <n v="3"/>
    <n v="1"/>
    <x v="1"/>
    <x v="0"/>
    <x v="0"/>
    <n v="3452"/>
    <x v="1"/>
    <x v="1"/>
    <n v="3"/>
    <n v="9"/>
    <n v="2"/>
    <x v="0"/>
    <n v="5"/>
    <n v="0"/>
    <n v="3"/>
    <x v="0"/>
    <x v="0"/>
    <x v="0"/>
  </r>
  <r>
    <n v="38"/>
    <s v="No"/>
    <n v="0"/>
    <x v="0"/>
    <x v="1"/>
    <n v="3"/>
    <s v="Technical Degree"/>
    <s v="193"/>
    <x v="2"/>
    <x v="0"/>
    <n v="3"/>
    <n v="2"/>
    <x v="1"/>
    <x v="2"/>
    <x v="0"/>
    <n v="4317"/>
    <x v="1"/>
    <x v="0"/>
    <n v="4"/>
    <n v="19"/>
    <n v="3"/>
    <x v="11"/>
    <n v="2"/>
    <n v="2"/>
    <n v="2"/>
    <x v="0"/>
    <x v="2"/>
    <x v="1"/>
  </r>
  <r>
    <n v="30"/>
    <s v="No"/>
    <n v="0"/>
    <x v="0"/>
    <x v="1"/>
    <n v="18"/>
    <s v="Life Sciences"/>
    <s v="194"/>
    <x v="3"/>
    <x v="0"/>
    <n v="3"/>
    <n v="1"/>
    <x v="1"/>
    <x v="2"/>
    <x v="0"/>
    <n v="2632"/>
    <x v="1"/>
    <x v="1"/>
    <n v="3"/>
    <n v="5"/>
    <n v="2"/>
    <x v="8"/>
    <n v="4"/>
    <n v="0"/>
    <n v="4"/>
    <x v="2"/>
    <x v="1"/>
    <x v="1"/>
  </r>
  <r>
    <n v="32"/>
    <s v="No"/>
    <n v="0"/>
    <x v="1"/>
    <x v="0"/>
    <n v="9"/>
    <s v="Medical"/>
    <s v="195"/>
    <x v="2"/>
    <x v="1"/>
    <n v="1"/>
    <n v="2"/>
    <x v="0"/>
    <x v="0"/>
    <x v="2"/>
    <n v="4668"/>
    <x v="1"/>
    <x v="1"/>
    <n v="3"/>
    <n v="9"/>
    <n v="4"/>
    <x v="3"/>
    <n v="7"/>
    <n v="0"/>
    <n v="7"/>
    <x v="2"/>
    <x v="0"/>
    <x v="0"/>
  </r>
  <r>
    <n v="30"/>
    <s v="No"/>
    <n v="0"/>
    <x v="0"/>
    <x v="1"/>
    <n v="5"/>
    <s v="Technical Degree"/>
    <s v="197"/>
    <x v="2"/>
    <x v="0"/>
    <n v="3"/>
    <n v="1"/>
    <x v="1"/>
    <x v="3"/>
    <x v="2"/>
    <n v="3204"/>
    <x v="1"/>
    <x v="1"/>
    <n v="3"/>
    <n v="8"/>
    <n v="3"/>
    <x v="11"/>
    <n v="2"/>
    <n v="2"/>
    <n v="2"/>
    <x v="2"/>
    <x v="0"/>
    <x v="1"/>
  </r>
  <r>
    <n v="30"/>
    <s v="No"/>
    <n v="0"/>
    <x v="0"/>
    <x v="1"/>
    <n v="2"/>
    <s v="Medical"/>
    <s v="198"/>
    <x v="0"/>
    <x v="1"/>
    <n v="2"/>
    <n v="1"/>
    <x v="2"/>
    <x v="0"/>
    <x v="0"/>
    <n v="2720"/>
    <x v="1"/>
    <x v="1"/>
    <n v="3"/>
    <n v="6"/>
    <n v="3"/>
    <x v="8"/>
    <n v="3"/>
    <n v="1"/>
    <n v="2"/>
    <x v="2"/>
    <x v="0"/>
    <x v="1"/>
  </r>
  <r>
    <n v="41"/>
    <s v="No"/>
    <n v="0"/>
    <x v="1"/>
    <x v="1"/>
    <n v="10"/>
    <s v="Life Sciences"/>
    <s v="199"/>
    <x v="2"/>
    <x v="1"/>
    <n v="2"/>
    <n v="4"/>
    <x v="5"/>
    <x v="3"/>
    <x v="2"/>
    <n v="17181"/>
    <x v="2"/>
    <x v="1"/>
    <n v="3"/>
    <n v="21"/>
    <n v="2"/>
    <x v="5"/>
    <n v="6"/>
    <n v="7"/>
    <n v="7"/>
    <x v="0"/>
    <x v="2"/>
    <x v="0"/>
  </r>
  <r>
    <n v="41"/>
    <s v="No"/>
    <n v="0"/>
    <x v="0"/>
    <x v="1"/>
    <n v="9"/>
    <s v="Life Sciences"/>
    <s v="200"/>
    <x v="1"/>
    <x v="1"/>
    <n v="3"/>
    <n v="1"/>
    <x v="2"/>
    <x v="3"/>
    <x v="1"/>
    <n v="2238"/>
    <x v="1"/>
    <x v="1"/>
    <n v="4"/>
    <n v="7"/>
    <n v="3"/>
    <x v="8"/>
    <n v="0"/>
    <n v="1"/>
    <n v="4"/>
    <x v="0"/>
    <x v="0"/>
    <x v="1"/>
  </r>
  <r>
    <n v="19"/>
    <s v="No"/>
    <n v="0"/>
    <x v="0"/>
    <x v="1"/>
    <n v="3"/>
    <s v="Medical"/>
    <s v="201"/>
    <x v="0"/>
    <x v="0"/>
    <n v="3"/>
    <n v="1"/>
    <x v="2"/>
    <x v="1"/>
    <x v="0"/>
    <n v="1483"/>
    <x v="1"/>
    <x v="1"/>
    <n v="3"/>
    <n v="1"/>
    <n v="3"/>
    <x v="6"/>
    <n v="0"/>
    <n v="0"/>
    <n v="0"/>
    <x v="3"/>
    <x v="1"/>
    <x v="1"/>
  </r>
  <r>
    <n v="40"/>
    <s v="No"/>
    <n v="0"/>
    <x v="1"/>
    <x v="1"/>
    <n v="26"/>
    <s v="Medical"/>
    <s v="202"/>
    <x v="0"/>
    <x v="0"/>
    <n v="3"/>
    <n v="2"/>
    <x v="1"/>
    <x v="1"/>
    <x v="2"/>
    <n v="5605"/>
    <x v="0"/>
    <x v="1"/>
    <n v="3"/>
    <n v="20"/>
    <n v="3"/>
    <x v="23"/>
    <n v="7"/>
    <n v="2"/>
    <n v="13"/>
    <x v="0"/>
    <x v="2"/>
    <x v="2"/>
  </r>
  <r>
    <n v="35"/>
    <s v="No"/>
    <n v="0"/>
    <x v="0"/>
    <x v="0"/>
    <n v="1"/>
    <s v="Marketing"/>
    <s v="204"/>
    <x v="1"/>
    <x v="1"/>
    <n v="3"/>
    <n v="3"/>
    <x v="0"/>
    <x v="1"/>
    <x v="1"/>
    <n v="7295"/>
    <x v="0"/>
    <x v="1"/>
    <n v="3"/>
    <n v="10"/>
    <n v="3"/>
    <x v="1"/>
    <n v="8"/>
    <n v="0"/>
    <n v="6"/>
    <x v="2"/>
    <x v="0"/>
    <x v="0"/>
  </r>
  <r>
    <n v="53"/>
    <s v="No"/>
    <n v="0"/>
    <x v="0"/>
    <x v="0"/>
    <n v="6"/>
    <s v="Marketing"/>
    <s v="205"/>
    <x v="0"/>
    <x v="1"/>
    <n v="3"/>
    <n v="2"/>
    <x v="6"/>
    <x v="2"/>
    <x v="1"/>
    <n v="2306"/>
    <x v="1"/>
    <x v="0"/>
    <n v="4"/>
    <n v="13"/>
    <n v="1"/>
    <x v="5"/>
    <n v="7"/>
    <n v="4"/>
    <n v="5"/>
    <x v="1"/>
    <x v="0"/>
    <x v="0"/>
  </r>
  <r>
    <n v="45"/>
    <s v="No"/>
    <n v="0"/>
    <x v="0"/>
    <x v="1"/>
    <n v="9"/>
    <s v="Life Sciences"/>
    <s v="206"/>
    <x v="0"/>
    <x v="1"/>
    <n v="3"/>
    <n v="2"/>
    <x v="2"/>
    <x v="1"/>
    <x v="2"/>
    <n v="2348"/>
    <x v="1"/>
    <x v="1"/>
    <n v="3"/>
    <n v="20"/>
    <n v="1"/>
    <x v="18"/>
    <n v="9"/>
    <n v="0"/>
    <n v="15"/>
    <x v="0"/>
    <x v="2"/>
    <x v="2"/>
  </r>
  <r>
    <n v="32"/>
    <s v="No"/>
    <n v="0"/>
    <x v="1"/>
    <x v="0"/>
    <n v="8"/>
    <s v="Marketing"/>
    <s v="207"/>
    <x v="0"/>
    <x v="0"/>
    <n v="3"/>
    <n v="3"/>
    <x v="0"/>
    <x v="0"/>
    <x v="0"/>
    <n v="8998"/>
    <x v="0"/>
    <x v="1"/>
    <n v="3"/>
    <n v="9"/>
    <n v="3"/>
    <x v="7"/>
    <n v="8"/>
    <n v="3"/>
    <n v="7"/>
    <x v="2"/>
    <x v="0"/>
    <x v="0"/>
  </r>
  <r>
    <n v="29"/>
    <s v="No"/>
    <n v="0"/>
    <x v="2"/>
    <x v="1"/>
    <n v="1"/>
    <s v="Technical Degree"/>
    <s v="208"/>
    <x v="2"/>
    <x v="1"/>
    <n v="3"/>
    <n v="2"/>
    <x v="3"/>
    <x v="2"/>
    <x v="1"/>
    <n v="4319"/>
    <x v="1"/>
    <x v="1"/>
    <n v="3"/>
    <n v="10"/>
    <n v="3"/>
    <x v="1"/>
    <n v="7"/>
    <n v="0"/>
    <n v="9"/>
    <x v="2"/>
    <x v="0"/>
    <x v="0"/>
  </r>
  <r>
    <n v="51"/>
    <s v="No"/>
    <n v="0"/>
    <x v="0"/>
    <x v="1"/>
    <n v="7"/>
    <s v="Medical"/>
    <s v="211"/>
    <x v="0"/>
    <x v="1"/>
    <n v="2"/>
    <n v="2"/>
    <x v="3"/>
    <x v="2"/>
    <x v="1"/>
    <n v="6132"/>
    <x v="0"/>
    <x v="1"/>
    <n v="3"/>
    <n v="10"/>
    <n v="3"/>
    <x v="6"/>
    <n v="0"/>
    <n v="0"/>
    <n v="0"/>
    <x v="1"/>
    <x v="0"/>
    <x v="1"/>
  </r>
  <r>
    <n v="58"/>
    <s v="No"/>
    <n v="0"/>
    <x v="0"/>
    <x v="1"/>
    <n v="9"/>
    <s v="Medical"/>
    <s v="214"/>
    <x v="0"/>
    <x v="0"/>
    <n v="2"/>
    <n v="1"/>
    <x v="1"/>
    <x v="1"/>
    <x v="1"/>
    <n v="3346"/>
    <x v="1"/>
    <x v="0"/>
    <n v="4"/>
    <n v="9"/>
    <n v="2"/>
    <x v="6"/>
    <n v="0"/>
    <n v="0"/>
    <n v="0"/>
    <x v="1"/>
    <x v="0"/>
    <x v="1"/>
  </r>
  <r>
    <n v="40"/>
    <s v="No"/>
    <n v="0"/>
    <x v="0"/>
    <x v="0"/>
    <n v="4"/>
    <s v="Marketing"/>
    <s v="215"/>
    <x v="1"/>
    <x v="1"/>
    <n v="2"/>
    <n v="3"/>
    <x v="0"/>
    <x v="0"/>
    <x v="1"/>
    <n v="10855"/>
    <x v="0"/>
    <x v="1"/>
    <n v="3"/>
    <n v="15"/>
    <n v="2"/>
    <x v="12"/>
    <n v="11"/>
    <n v="2"/>
    <n v="11"/>
    <x v="0"/>
    <x v="0"/>
    <x v="2"/>
  </r>
  <r>
    <n v="34"/>
    <s v="No"/>
    <n v="0"/>
    <x v="1"/>
    <x v="0"/>
    <n v="2"/>
    <s v="Marketing"/>
    <s v="216"/>
    <x v="1"/>
    <x v="0"/>
    <n v="3"/>
    <n v="1"/>
    <x v="6"/>
    <x v="2"/>
    <x v="1"/>
    <n v="2231"/>
    <x v="1"/>
    <x v="1"/>
    <n v="3"/>
    <n v="6"/>
    <n v="3"/>
    <x v="9"/>
    <n v="3"/>
    <n v="1"/>
    <n v="2"/>
    <x v="2"/>
    <x v="0"/>
    <x v="1"/>
  </r>
  <r>
    <n v="22"/>
    <s v="No"/>
    <n v="0"/>
    <x v="0"/>
    <x v="1"/>
    <n v="19"/>
    <s v="Medical"/>
    <s v="217"/>
    <x v="1"/>
    <x v="1"/>
    <n v="3"/>
    <n v="1"/>
    <x v="1"/>
    <x v="0"/>
    <x v="1"/>
    <n v="2323"/>
    <x v="1"/>
    <x v="1"/>
    <n v="4"/>
    <n v="2"/>
    <n v="3"/>
    <x v="4"/>
    <n v="2"/>
    <n v="2"/>
    <n v="2"/>
    <x v="3"/>
    <x v="1"/>
    <x v="1"/>
  </r>
  <r>
    <n v="27"/>
    <s v="No"/>
    <n v="0"/>
    <x v="2"/>
    <x v="1"/>
    <n v="9"/>
    <s v="Medical"/>
    <s v="218"/>
    <x v="2"/>
    <x v="1"/>
    <n v="3"/>
    <n v="1"/>
    <x v="1"/>
    <x v="1"/>
    <x v="2"/>
    <n v="2024"/>
    <x v="1"/>
    <x v="1"/>
    <n v="3"/>
    <n v="6"/>
    <n v="1"/>
    <x v="4"/>
    <n v="2"/>
    <n v="2"/>
    <n v="2"/>
    <x v="2"/>
    <x v="0"/>
    <x v="1"/>
  </r>
  <r>
    <n v="28"/>
    <s v="No"/>
    <n v="0"/>
    <x v="0"/>
    <x v="1"/>
    <n v="21"/>
    <s v="Medical"/>
    <s v="221"/>
    <x v="1"/>
    <x v="1"/>
    <n v="3"/>
    <n v="1"/>
    <x v="1"/>
    <x v="0"/>
    <x v="1"/>
    <n v="2713"/>
    <x v="1"/>
    <x v="1"/>
    <n v="3"/>
    <n v="5"/>
    <n v="1"/>
    <x v="8"/>
    <n v="2"/>
    <n v="0"/>
    <n v="2"/>
    <x v="2"/>
    <x v="1"/>
    <x v="1"/>
  </r>
  <r>
    <n v="57"/>
    <s v="No"/>
    <n v="0"/>
    <x v="0"/>
    <x v="1"/>
    <n v="24"/>
    <s v="Life Sciences"/>
    <s v="223"/>
    <x v="1"/>
    <x v="1"/>
    <n v="4"/>
    <n v="3"/>
    <x v="4"/>
    <x v="0"/>
    <x v="2"/>
    <n v="9439"/>
    <x v="0"/>
    <x v="0"/>
    <n v="3"/>
    <n v="12"/>
    <n v="1"/>
    <x v="8"/>
    <n v="3"/>
    <n v="1"/>
    <n v="4"/>
    <x v="1"/>
    <x v="0"/>
    <x v="1"/>
  </r>
  <r>
    <n v="27"/>
    <s v="No"/>
    <n v="0"/>
    <x v="2"/>
    <x v="1"/>
    <n v="3"/>
    <s v="Medical"/>
    <s v="224"/>
    <x v="1"/>
    <x v="1"/>
    <n v="2"/>
    <n v="1"/>
    <x v="1"/>
    <x v="2"/>
    <x v="2"/>
    <n v="2566"/>
    <x v="1"/>
    <x v="0"/>
    <n v="3"/>
    <n v="1"/>
    <n v="2"/>
    <x v="6"/>
    <n v="1"/>
    <n v="0"/>
    <n v="1"/>
    <x v="2"/>
    <x v="1"/>
    <x v="1"/>
  </r>
  <r>
    <n v="50"/>
    <s v="No"/>
    <n v="0"/>
    <x v="0"/>
    <x v="1"/>
    <n v="11"/>
    <s v="Life Sciences"/>
    <s v="226"/>
    <x v="1"/>
    <x v="0"/>
    <n v="3"/>
    <n v="5"/>
    <x v="5"/>
    <x v="1"/>
    <x v="0"/>
    <n v="19926"/>
    <x v="2"/>
    <x v="1"/>
    <n v="3"/>
    <n v="21"/>
    <n v="3"/>
    <x v="8"/>
    <n v="4"/>
    <n v="4"/>
    <n v="4"/>
    <x v="1"/>
    <x v="2"/>
    <x v="1"/>
  </r>
  <r>
    <n v="41"/>
    <s v="No"/>
    <n v="0"/>
    <x v="0"/>
    <x v="1"/>
    <n v="14"/>
    <s v="Life Sciences"/>
    <s v="227"/>
    <x v="3"/>
    <x v="1"/>
    <n v="3"/>
    <n v="1"/>
    <x v="1"/>
    <x v="2"/>
    <x v="2"/>
    <n v="2451"/>
    <x v="1"/>
    <x v="1"/>
    <n v="3"/>
    <n v="13"/>
    <n v="3"/>
    <x v="7"/>
    <n v="8"/>
    <n v="1"/>
    <n v="8"/>
    <x v="0"/>
    <x v="0"/>
    <x v="0"/>
  </r>
  <r>
    <n v="30"/>
    <s v="No"/>
    <n v="0"/>
    <x v="0"/>
    <x v="0"/>
    <n v="5"/>
    <s v="Life Sciences"/>
    <s v="228"/>
    <x v="0"/>
    <x v="0"/>
    <n v="3"/>
    <n v="3"/>
    <x v="0"/>
    <x v="0"/>
    <x v="1"/>
    <n v="9419"/>
    <x v="0"/>
    <x v="1"/>
    <n v="3"/>
    <n v="12"/>
    <n v="3"/>
    <x v="1"/>
    <n v="9"/>
    <n v="7"/>
    <n v="4"/>
    <x v="2"/>
    <x v="0"/>
    <x v="0"/>
  </r>
  <r>
    <n v="38"/>
    <s v="No"/>
    <n v="0"/>
    <x v="0"/>
    <x v="0"/>
    <n v="1"/>
    <s v="Life Sciences"/>
    <s v="230"/>
    <x v="3"/>
    <x v="0"/>
    <n v="2"/>
    <n v="2"/>
    <x v="0"/>
    <x v="0"/>
    <x v="0"/>
    <n v="8686"/>
    <x v="0"/>
    <x v="1"/>
    <n v="4"/>
    <n v="12"/>
    <n v="4"/>
    <x v="3"/>
    <n v="3"/>
    <n v="0"/>
    <n v="7"/>
    <x v="0"/>
    <x v="0"/>
    <x v="0"/>
  </r>
  <r>
    <n v="32"/>
    <s v="No"/>
    <n v="0"/>
    <x v="0"/>
    <x v="1"/>
    <n v="6"/>
    <s v="Life Sciences"/>
    <s v="231"/>
    <x v="1"/>
    <x v="1"/>
    <n v="3"/>
    <n v="1"/>
    <x v="1"/>
    <x v="2"/>
    <x v="0"/>
    <n v="3038"/>
    <x v="1"/>
    <x v="1"/>
    <n v="4"/>
    <n v="8"/>
    <n v="3"/>
    <x v="8"/>
    <n v="4"/>
    <n v="1"/>
    <n v="4"/>
    <x v="2"/>
    <x v="0"/>
    <x v="1"/>
  </r>
  <r>
    <n v="27"/>
    <s v="No"/>
    <n v="0"/>
    <x v="0"/>
    <x v="1"/>
    <n v="17"/>
    <s v="Technical Degree"/>
    <s v="233"/>
    <x v="1"/>
    <x v="1"/>
    <n v="3"/>
    <n v="1"/>
    <x v="1"/>
    <x v="1"/>
    <x v="1"/>
    <n v="3058"/>
    <x v="1"/>
    <x v="0"/>
    <n v="3"/>
    <n v="6"/>
    <n v="2"/>
    <x v="8"/>
    <n v="2"/>
    <n v="1"/>
    <n v="1"/>
    <x v="2"/>
    <x v="0"/>
    <x v="1"/>
  </r>
  <r>
    <n v="19"/>
    <s v="Yes"/>
    <n v="1"/>
    <x v="1"/>
    <x v="0"/>
    <n v="1"/>
    <s v="Technical Degree"/>
    <s v="235"/>
    <x v="1"/>
    <x v="0"/>
    <n v="1"/>
    <n v="1"/>
    <x v="6"/>
    <x v="3"/>
    <x v="0"/>
    <n v="2325"/>
    <x v="1"/>
    <x v="1"/>
    <n v="4"/>
    <n v="1"/>
    <n v="4"/>
    <x v="2"/>
    <n v="0"/>
    <n v="0"/>
    <n v="0"/>
    <x v="3"/>
    <x v="1"/>
    <x v="1"/>
  </r>
  <r>
    <n v="36"/>
    <s v="No"/>
    <n v="0"/>
    <x v="1"/>
    <x v="1"/>
    <n v="3"/>
    <s v="Medical"/>
    <s v="238"/>
    <x v="2"/>
    <x v="1"/>
    <n v="3"/>
    <n v="1"/>
    <x v="2"/>
    <x v="1"/>
    <x v="0"/>
    <n v="2088"/>
    <x v="1"/>
    <x v="1"/>
    <n v="3"/>
    <n v="13"/>
    <n v="2"/>
    <x v="3"/>
    <n v="7"/>
    <n v="7"/>
    <n v="2"/>
    <x v="0"/>
    <x v="0"/>
    <x v="0"/>
  </r>
  <r>
    <n v="30"/>
    <s v="No"/>
    <n v="0"/>
    <x v="2"/>
    <x v="1"/>
    <n v="9"/>
    <s v="Medical"/>
    <s v="239"/>
    <x v="1"/>
    <x v="1"/>
    <n v="3"/>
    <n v="2"/>
    <x v="2"/>
    <x v="3"/>
    <x v="2"/>
    <n v="3072"/>
    <x v="1"/>
    <x v="1"/>
    <n v="3"/>
    <n v="12"/>
    <n v="3"/>
    <x v="12"/>
    <n v="9"/>
    <n v="6"/>
    <n v="10"/>
    <x v="2"/>
    <x v="0"/>
    <x v="2"/>
  </r>
  <r>
    <n v="45"/>
    <s v="No"/>
    <n v="0"/>
    <x v="0"/>
    <x v="0"/>
    <n v="4"/>
    <s v="Life Sciences"/>
    <s v="240"/>
    <x v="1"/>
    <x v="0"/>
    <n v="3"/>
    <n v="2"/>
    <x v="0"/>
    <x v="3"/>
    <x v="2"/>
    <n v="5006"/>
    <x v="0"/>
    <x v="0"/>
    <n v="3"/>
    <n v="9"/>
    <n v="4"/>
    <x v="8"/>
    <n v="4"/>
    <n v="0"/>
    <n v="3"/>
    <x v="0"/>
    <x v="0"/>
    <x v="1"/>
  </r>
  <r>
    <n v="56"/>
    <s v="No"/>
    <n v="0"/>
    <x v="0"/>
    <x v="1"/>
    <n v="8"/>
    <s v="Life Sciences"/>
    <s v="241"/>
    <x v="1"/>
    <x v="0"/>
    <n v="3"/>
    <n v="1"/>
    <x v="1"/>
    <x v="3"/>
    <x v="2"/>
    <n v="4257"/>
    <x v="1"/>
    <x v="0"/>
    <n v="3"/>
    <n v="19"/>
    <n v="3"/>
    <x v="4"/>
    <n v="2"/>
    <n v="2"/>
    <n v="2"/>
    <x v="1"/>
    <x v="2"/>
    <x v="1"/>
  </r>
  <r>
    <n v="33"/>
    <s v="No"/>
    <n v="0"/>
    <x v="0"/>
    <x v="1"/>
    <n v="2"/>
    <s v="Life Sciences"/>
    <s v="242"/>
    <x v="1"/>
    <x v="1"/>
    <n v="3"/>
    <n v="1"/>
    <x v="1"/>
    <x v="0"/>
    <x v="0"/>
    <n v="2500"/>
    <x v="1"/>
    <x v="1"/>
    <n v="3"/>
    <n v="4"/>
    <n v="4"/>
    <x v="11"/>
    <n v="1"/>
    <n v="0"/>
    <n v="2"/>
    <x v="2"/>
    <x v="1"/>
    <x v="1"/>
  </r>
  <r>
    <n v="19"/>
    <s v="Yes"/>
    <n v="1"/>
    <x v="0"/>
    <x v="1"/>
    <n v="2"/>
    <s v="Life Sciences"/>
    <s v="243"/>
    <x v="0"/>
    <x v="1"/>
    <n v="2"/>
    <n v="1"/>
    <x v="2"/>
    <x v="0"/>
    <x v="0"/>
    <n v="1102"/>
    <x v="1"/>
    <x v="1"/>
    <n v="4"/>
    <n v="1"/>
    <n v="2"/>
    <x v="6"/>
    <n v="0"/>
    <n v="1"/>
    <n v="0"/>
    <x v="3"/>
    <x v="1"/>
    <x v="1"/>
  </r>
  <r>
    <n v="46"/>
    <s v="No"/>
    <n v="0"/>
    <x v="0"/>
    <x v="0"/>
    <n v="1"/>
    <s v="Marketing"/>
    <s v="244"/>
    <x v="0"/>
    <x v="0"/>
    <n v="3"/>
    <n v="3"/>
    <x v="0"/>
    <x v="3"/>
    <x v="2"/>
    <n v="10453"/>
    <x v="0"/>
    <x v="1"/>
    <n v="4"/>
    <n v="24"/>
    <n v="3"/>
    <x v="25"/>
    <n v="13"/>
    <n v="15"/>
    <n v="7"/>
    <x v="1"/>
    <x v="2"/>
    <x v="2"/>
  </r>
  <r>
    <n v="38"/>
    <s v="No"/>
    <n v="0"/>
    <x v="0"/>
    <x v="1"/>
    <n v="9"/>
    <s v="Life Sciences"/>
    <s v="245"/>
    <x v="1"/>
    <x v="0"/>
    <n v="3"/>
    <n v="1"/>
    <x v="2"/>
    <x v="0"/>
    <x v="0"/>
    <n v="2288"/>
    <x v="1"/>
    <x v="1"/>
    <n v="3"/>
    <n v="2"/>
    <n v="3"/>
    <x v="4"/>
    <n v="2"/>
    <n v="2"/>
    <n v="1"/>
    <x v="0"/>
    <x v="1"/>
    <x v="1"/>
  </r>
  <r>
    <n v="31"/>
    <s v="No"/>
    <n v="0"/>
    <x v="0"/>
    <x v="1"/>
    <n v="12"/>
    <s v="Medical"/>
    <s v="246"/>
    <x v="1"/>
    <x v="0"/>
    <n v="3"/>
    <n v="1"/>
    <x v="1"/>
    <x v="0"/>
    <x v="1"/>
    <n v="3929"/>
    <x v="1"/>
    <x v="0"/>
    <n v="4"/>
    <n v="7"/>
    <n v="3"/>
    <x v="9"/>
    <n v="2"/>
    <n v="0"/>
    <n v="2"/>
    <x v="2"/>
    <x v="0"/>
    <x v="1"/>
  </r>
  <r>
    <n v="34"/>
    <s v="No"/>
    <n v="0"/>
    <x v="0"/>
    <x v="1"/>
    <n v="27"/>
    <s v="Medical"/>
    <s v="247"/>
    <x v="2"/>
    <x v="0"/>
    <n v="3"/>
    <n v="1"/>
    <x v="1"/>
    <x v="1"/>
    <x v="0"/>
    <n v="2311"/>
    <x v="1"/>
    <x v="1"/>
    <n v="3"/>
    <n v="9"/>
    <n v="3"/>
    <x v="11"/>
    <n v="2"/>
    <n v="1"/>
    <n v="2"/>
    <x v="2"/>
    <x v="0"/>
    <x v="1"/>
  </r>
  <r>
    <n v="41"/>
    <s v="Yes"/>
    <n v="1"/>
    <x v="0"/>
    <x v="0"/>
    <n v="20"/>
    <s v="Marketing"/>
    <s v="248"/>
    <x v="0"/>
    <x v="0"/>
    <n v="3"/>
    <n v="1"/>
    <x v="6"/>
    <x v="1"/>
    <x v="0"/>
    <n v="3140"/>
    <x v="1"/>
    <x v="0"/>
    <n v="4"/>
    <n v="4"/>
    <n v="2"/>
    <x v="9"/>
    <n v="3"/>
    <n v="0"/>
    <n v="2"/>
    <x v="0"/>
    <x v="1"/>
    <x v="1"/>
  </r>
  <r>
    <n v="50"/>
    <s v="No"/>
    <n v="0"/>
    <x v="0"/>
    <x v="1"/>
    <n v="1"/>
    <s v="Medical"/>
    <s v="249"/>
    <x v="1"/>
    <x v="1"/>
    <n v="2"/>
    <n v="1"/>
    <x v="2"/>
    <x v="2"/>
    <x v="1"/>
    <n v="3690"/>
    <x v="1"/>
    <x v="1"/>
    <n v="3"/>
    <n v="5"/>
    <n v="2"/>
    <x v="11"/>
    <n v="2"/>
    <n v="0"/>
    <n v="2"/>
    <x v="1"/>
    <x v="1"/>
    <x v="1"/>
  </r>
  <r>
    <n v="53"/>
    <s v="No"/>
    <n v="0"/>
    <x v="0"/>
    <x v="1"/>
    <n v="13"/>
    <s v="Medical"/>
    <s v="250"/>
    <x v="2"/>
    <x v="0"/>
    <n v="4"/>
    <n v="2"/>
    <x v="3"/>
    <x v="3"/>
    <x v="2"/>
    <n v="4450"/>
    <x v="1"/>
    <x v="1"/>
    <n v="3"/>
    <n v="5"/>
    <n v="3"/>
    <x v="9"/>
    <n v="2"/>
    <n v="1"/>
    <n v="3"/>
    <x v="1"/>
    <x v="1"/>
    <x v="1"/>
  </r>
  <r>
    <n v="33"/>
    <s v="No"/>
    <n v="0"/>
    <x v="0"/>
    <x v="1"/>
    <n v="14"/>
    <s v="Medical"/>
    <s v="252"/>
    <x v="2"/>
    <x v="0"/>
    <n v="3"/>
    <n v="1"/>
    <x v="1"/>
    <x v="1"/>
    <x v="1"/>
    <n v="2756"/>
    <x v="1"/>
    <x v="1"/>
    <n v="3"/>
    <n v="8"/>
    <n v="3"/>
    <x v="3"/>
    <n v="7"/>
    <n v="1"/>
    <n v="6"/>
    <x v="2"/>
    <x v="0"/>
    <x v="0"/>
  </r>
  <r>
    <n v="40"/>
    <s v="No"/>
    <n v="0"/>
    <x v="0"/>
    <x v="1"/>
    <n v="4"/>
    <s v="Medical"/>
    <s v="253"/>
    <x v="2"/>
    <x v="0"/>
    <n v="3"/>
    <n v="5"/>
    <x v="5"/>
    <x v="2"/>
    <x v="1"/>
    <n v="19033"/>
    <x v="2"/>
    <x v="1"/>
    <n v="3"/>
    <n v="21"/>
    <n v="3"/>
    <x v="23"/>
    <n v="8"/>
    <n v="9"/>
    <n v="9"/>
    <x v="0"/>
    <x v="2"/>
    <x v="2"/>
  </r>
  <r>
    <n v="55"/>
    <s v="No"/>
    <n v="0"/>
    <x v="0"/>
    <x v="1"/>
    <n v="14"/>
    <s v="Medical"/>
    <s v="254"/>
    <x v="1"/>
    <x v="1"/>
    <n v="4"/>
    <n v="5"/>
    <x v="7"/>
    <x v="1"/>
    <x v="0"/>
    <n v="18722"/>
    <x v="2"/>
    <x v="1"/>
    <n v="3"/>
    <n v="36"/>
    <n v="3"/>
    <x v="25"/>
    <n v="15"/>
    <n v="2"/>
    <n v="15"/>
    <x v="1"/>
    <x v="2"/>
    <x v="2"/>
  </r>
  <r>
    <n v="34"/>
    <s v="No"/>
    <n v="0"/>
    <x v="1"/>
    <x v="1"/>
    <n v="2"/>
    <s v="Life Sciences"/>
    <s v="256"/>
    <x v="2"/>
    <x v="1"/>
    <n v="2"/>
    <n v="2"/>
    <x v="3"/>
    <x v="2"/>
    <x v="1"/>
    <n v="9547"/>
    <x v="0"/>
    <x v="1"/>
    <n v="3"/>
    <n v="10"/>
    <n v="2"/>
    <x v="1"/>
    <n v="9"/>
    <n v="1"/>
    <n v="9"/>
    <x v="2"/>
    <x v="0"/>
    <x v="0"/>
  </r>
  <r>
    <n v="51"/>
    <s v="No"/>
    <n v="0"/>
    <x v="0"/>
    <x v="1"/>
    <n v="3"/>
    <s v="Medical"/>
    <s v="258"/>
    <x v="2"/>
    <x v="0"/>
    <n v="3"/>
    <n v="4"/>
    <x v="4"/>
    <x v="1"/>
    <x v="0"/>
    <n v="13734"/>
    <x v="2"/>
    <x v="1"/>
    <n v="3"/>
    <n v="21"/>
    <n v="3"/>
    <x v="5"/>
    <n v="7"/>
    <n v="1"/>
    <n v="0"/>
    <x v="1"/>
    <x v="2"/>
    <x v="0"/>
  </r>
  <r>
    <n v="52"/>
    <s v="No"/>
    <n v="0"/>
    <x v="0"/>
    <x v="1"/>
    <n v="1"/>
    <s v="Life Sciences"/>
    <s v="259"/>
    <x v="1"/>
    <x v="1"/>
    <n v="2"/>
    <n v="5"/>
    <x v="5"/>
    <x v="2"/>
    <x v="1"/>
    <n v="19999"/>
    <x v="2"/>
    <x v="1"/>
    <n v="3"/>
    <n v="34"/>
    <n v="3"/>
    <x v="26"/>
    <n v="18"/>
    <n v="11"/>
    <n v="9"/>
    <x v="1"/>
    <x v="2"/>
    <x v="2"/>
  </r>
  <r>
    <n v="27"/>
    <s v="No"/>
    <n v="0"/>
    <x v="0"/>
    <x v="1"/>
    <n v="9"/>
    <s v="Medical"/>
    <s v="260"/>
    <x v="2"/>
    <x v="0"/>
    <n v="3"/>
    <n v="1"/>
    <x v="1"/>
    <x v="1"/>
    <x v="0"/>
    <n v="2279"/>
    <x v="1"/>
    <x v="1"/>
    <n v="3"/>
    <n v="7"/>
    <n v="2"/>
    <x v="5"/>
    <n v="7"/>
    <n v="0"/>
    <n v="3"/>
    <x v="2"/>
    <x v="0"/>
    <x v="0"/>
  </r>
  <r>
    <n v="35"/>
    <s v="Yes"/>
    <n v="1"/>
    <x v="0"/>
    <x v="1"/>
    <n v="23"/>
    <s v="Life Sciences"/>
    <s v="261"/>
    <x v="0"/>
    <x v="1"/>
    <n v="2"/>
    <n v="2"/>
    <x v="3"/>
    <x v="2"/>
    <x v="1"/>
    <n v="5916"/>
    <x v="0"/>
    <x v="0"/>
    <n v="3"/>
    <n v="8"/>
    <n v="3"/>
    <x v="6"/>
    <n v="0"/>
    <n v="0"/>
    <n v="1"/>
    <x v="2"/>
    <x v="0"/>
    <x v="1"/>
  </r>
  <r>
    <n v="43"/>
    <s v="No"/>
    <n v="0"/>
    <x v="2"/>
    <x v="1"/>
    <n v="7"/>
    <s v="Medical"/>
    <s v="262"/>
    <x v="2"/>
    <x v="1"/>
    <n v="4"/>
    <n v="1"/>
    <x v="1"/>
    <x v="0"/>
    <x v="2"/>
    <n v="2089"/>
    <x v="1"/>
    <x v="1"/>
    <n v="3"/>
    <n v="7"/>
    <n v="4"/>
    <x v="8"/>
    <n v="4"/>
    <n v="2"/>
    <n v="2"/>
    <x v="0"/>
    <x v="0"/>
    <x v="1"/>
  </r>
  <r>
    <n v="45"/>
    <s v="No"/>
    <n v="0"/>
    <x v="2"/>
    <x v="1"/>
    <n v="2"/>
    <s v="Medical"/>
    <s v="264"/>
    <x v="3"/>
    <x v="1"/>
    <n v="2"/>
    <n v="4"/>
    <x v="5"/>
    <x v="0"/>
    <x v="1"/>
    <n v="16792"/>
    <x v="2"/>
    <x v="1"/>
    <n v="4"/>
    <n v="22"/>
    <n v="3"/>
    <x v="23"/>
    <n v="8"/>
    <n v="11"/>
    <n v="8"/>
    <x v="0"/>
    <x v="2"/>
    <x v="2"/>
  </r>
  <r>
    <n v="37"/>
    <s v="No"/>
    <n v="0"/>
    <x v="0"/>
    <x v="1"/>
    <n v="21"/>
    <s v="Life Sciences"/>
    <s v="267"/>
    <x v="0"/>
    <x v="1"/>
    <n v="4"/>
    <n v="1"/>
    <x v="1"/>
    <x v="3"/>
    <x v="1"/>
    <n v="3564"/>
    <x v="1"/>
    <x v="0"/>
    <n v="3"/>
    <n v="8"/>
    <n v="2"/>
    <x v="3"/>
    <n v="7"/>
    <n v="1"/>
    <n v="7"/>
    <x v="0"/>
    <x v="0"/>
    <x v="0"/>
  </r>
  <r>
    <n v="35"/>
    <s v="No"/>
    <n v="0"/>
    <x v="1"/>
    <x v="1"/>
    <n v="2"/>
    <s v="Medical"/>
    <s v="269"/>
    <x v="0"/>
    <x v="0"/>
    <n v="3"/>
    <n v="2"/>
    <x v="2"/>
    <x v="1"/>
    <x v="0"/>
    <n v="4425"/>
    <x v="1"/>
    <x v="1"/>
    <n v="3"/>
    <n v="10"/>
    <n v="3"/>
    <x v="0"/>
    <n v="2"/>
    <n v="1"/>
    <n v="2"/>
    <x v="2"/>
    <x v="0"/>
    <x v="0"/>
  </r>
  <r>
    <n v="42"/>
    <s v="No"/>
    <n v="0"/>
    <x v="2"/>
    <x v="1"/>
    <n v="21"/>
    <s v="Medical"/>
    <s v="270"/>
    <x v="1"/>
    <x v="0"/>
    <n v="3"/>
    <n v="2"/>
    <x v="3"/>
    <x v="2"/>
    <x v="2"/>
    <n v="5265"/>
    <x v="0"/>
    <x v="1"/>
    <n v="3"/>
    <n v="11"/>
    <n v="3"/>
    <x v="8"/>
    <n v="3"/>
    <n v="0"/>
    <n v="2"/>
    <x v="0"/>
    <x v="0"/>
    <x v="1"/>
  </r>
  <r>
    <n v="38"/>
    <s v="No"/>
    <n v="0"/>
    <x v="0"/>
    <x v="1"/>
    <n v="2"/>
    <s v="Life Sciences"/>
    <s v="271"/>
    <x v="2"/>
    <x v="1"/>
    <n v="3"/>
    <n v="2"/>
    <x v="3"/>
    <x v="2"/>
    <x v="1"/>
    <n v="6553"/>
    <x v="0"/>
    <x v="1"/>
    <n v="3"/>
    <n v="14"/>
    <n v="3"/>
    <x v="6"/>
    <n v="0"/>
    <n v="0"/>
    <n v="0"/>
    <x v="0"/>
    <x v="0"/>
    <x v="1"/>
  </r>
  <r>
    <n v="38"/>
    <s v="No"/>
    <n v="0"/>
    <x v="0"/>
    <x v="1"/>
    <n v="29"/>
    <s v="Technical Degree"/>
    <s v="273"/>
    <x v="2"/>
    <x v="1"/>
    <n v="3"/>
    <n v="2"/>
    <x v="3"/>
    <x v="0"/>
    <x v="1"/>
    <n v="6261"/>
    <x v="0"/>
    <x v="1"/>
    <n v="3"/>
    <n v="9"/>
    <n v="1"/>
    <x v="5"/>
    <n v="7"/>
    <n v="1"/>
    <n v="7"/>
    <x v="0"/>
    <x v="0"/>
    <x v="0"/>
  </r>
  <r>
    <n v="27"/>
    <s v="No"/>
    <n v="0"/>
    <x v="1"/>
    <x v="1"/>
    <n v="1"/>
    <s v="Technical Degree"/>
    <s v="274"/>
    <x v="1"/>
    <x v="1"/>
    <n v="2"/>
    <n v="2"/>
    <x v="3"/>
    <x v="3"/>
    <x v="1"/>
    <n v="4298"/>
    <x v="1"/>
    <x v="1"/>
    <n v="3"/>
    <n v="6"/>
    <n v="3"/>
    <x v="4"/>
    <n v="2"/>
    <n v="2"/>
    <n v="0"/>
    <x v="2"/>
    <x v="0"/>
    <x v="1"/>
  </r>
  <r>
    <n v="49"/>
    <s v="No"/>
    <n v="0"/>
    <x v="2"/>
    <x v="1"/>
    <n v="18"/>
    <s v="Life Sciences"/>
    <s v="275"/>
    <x v="2"/>
    <x v="1"/>
    <n v="3"/>
    <n v="2"/>
    <x v="3"/>
    <x v="0"/>
    <x v="2"/>
    <n v="6804"/>
    <x v="0"/>
    <x v="0"/>
    <n v="3"/>
    <n v="7"/>
    <n v="3"/>
    <x v="5"/>
    <n v="7"/>
    <n v="1"/>
    <n v="7"/>
    <x v="1"/>
    <x v="0"/>
    <x v="0"/>
  </r>
  <r>
    <n v="34"/>
    <s v="No"/>
    <n v="0"/>
    <x v="1"/>
    <x v="1"/>
    <n v="10"/>
    <s v="Medical"/>
    <s v="277"/>
    <x v="2"/>
    <x v="1"/>
    <n v="3"/>
    <n v="1"/>
    <x v="1"/>
    <x v="2"/>
    <x v="2"/>
    <n v="3815"/>
    <x v="1"/>
    <x v="0"/>
    <n v="3"/>
    <n v="5"/>
    <n v="4"/>
    <x v="8"/>
    <n v="3"/>
    <n v="2"/>
    <n v="0"/>
    <x v="2"/>
    <x v="1"/>
    <x v="1"/>
  </r>
  <r>
    <n v="40"/>
    <s v="No"/>
    <n v="0"/>
    <x v="0"/>
    <x v="1"/>
    <n v="19"/>
    <s v="Medical"/>
    <s v="281"/>
    <x v="1"/>
    <x v="1"/>
    <n v="3"/>
    <n v="2"/>
    <x v="2"/>
    <x v="0"/>
    <x v="1"/>
    <n v="2741"/>
    <x v="1"/>
    <x v="0"/>
    <n v="3"/>
    <n v="15"/>
    <n v="4"/>
    <x v="5"/>
    <n v="2"/>
    <n v="3"/>
    <n v="7"/>
    <x v="0"/>
    <x v="0"/>
    <x v="0"/>
  </r>
  <r>
    <n v="38"/>
    <s v="Yes"/>
    <n v="1"/>
    <x v="0"/>
    <x v="1"/>
    <n v="29"/>
    <s v="Medical"/>
    <s v="282"/>
    <x v="0"/>
    <x v="1"/>
    <n v="3"/>
    <n v="2"/>
    <x v="4"/>
    <x v="3"/>
    <x v="1"/>
    <n v="6673"/>
    <x v="0"/>
    <x v="0"/>
    <n v="3"/>
    <n v="17"/>
    <n v="3"/>
    <x v="6"/>
    <n v="0"/>
    <n v="0"/>
    <n v="0"/>
    <x v="0"/>
    <x v="2"/>
    <x v="1"/>
  </r>
  <r>
    <n v="29"/>
    <s v="Yes"/>
    <n v="1"/>
    <x v="0"/>
    <x v="0"/>
    <n v="27"/>
    <s v="Marketing"/>
    <s v="283"/>
    <x v="0"/>
    <x v="0"/>
    <n v="3"/>
    <n v="3"/>
    <x v="0"/>
    <x v="0"/>
    <x v="1"/>
    <n v="7639"/>
    <x v="0"/>
    <x v="1"/>
    <n v="4"/>
    <n v="10"/>
    <n v="2"/>
    <x v="1"/>
    <n v="4"/>
    <n v="1"/>
    <n v="9"/>
    <x v="2"/>
    <x v="0"/>
    <x v="0"/>
  </r>
  <r>
    <n v="22"/>
    <s v="No"/>
    <n v="0"/>
    <x v="0"/>
    <x v="1"/>
    <n v="5"/>
    <s v="Life Sciences"/>
    <s v="284"/>
    <x v="2"/>
    <x v="1"/>
    <n v="4"/>
    <n v="1"/>
    <x v="1"/>
    <x v="1"/>
    <x v="2"/>
    <n v="2328"/>
    <x v="1"/>
    <x v="0"/>
    <n v="3"/>
    <n v="4"/>
    <n v="2"/>
    <x v="9"/>
    <n v="2"/>
    <n v="2"/>
    <n v="2"/>
    <x v="3"/>
    <x v="1"/>
    <x v="1"/>
  </r>
  <r>
    <n v="36"/>
    <s v="No"/>
    <n v="0"/>
    <x v="1"/>
    <x v="1"/>
    <n v="18"/>
    <s v="Medical"/>
    <s v="286"/>
    <x v="0"/>
    <x v="0"/>
    <n v="3"/>
    <n v="1"/>
    <x v="2"/>
    <x v="0"/>
    <x v="0"/>
    <n v="2153"/>
    <x v="1"/>
    <x v="1"/>
    <n v="3"/>
    <n v="8"/>
    <n v="3"/>
    <x v="3"/>
    <n v="1"/>
    <n v="1"/>
    <n v="7"/>
    <x v="0"/>
    <x v="0"/>
    <x v="0"/>
  </r>
  <r>
    <n v="40"/>
    <s v="No"/>
    <n v="0"/>
    <x v="2"/>
    <x v="1"/>
    <n v="9"/>
    <s v="Life Sciences"/>
    <s v="287"/>
    <x v="2"/>
    <x v="1"/>
    <n v="2"/>
    <n v="2"/>
    <x v="4"/>
    <x v="0"/>
    <x v="1"/>
    <n v="4876"/>
    <x v="1"/>
    <x v="1"/>
    <n v="3"/>
    <n v="5"/>
    <n v="1"/>
    <x v="11"/>
    <n v="2"/>
    <n v="0"/>
    <n v="2"/>
    <x v="0"/>
    <x v="1"/>
    <x v="1"/>
  </r>
  <r>
    <n v="46"/>
    <s v="No"/>
    <n v="0"/>
    <x v="0"/>
    <x v="1"/>
    <n v="1"/>
    <s v="Medical"/>
    <s v="288"/>
    <x v="2"/>
    <x v="1"/>
    <n v="3"/>
    <n v="3"/>
    <x v="4"/>
    <x v="3"/>
    <x v="2"/>
    <n v="9396"/>
    <x v="0"/>
    <x v="1"/>
    <n v="3"/>
    <n v="17"/>
    <n v="3"/>
    <x v="9"/>
    <n v="2"/>
    <n v="0"/>
    <n v="3"/>
    <x v="1"/>
    <x v="2"/>
    <x v="1"/>
  </r>
  <r>
    <n v="32"/>
    <s v="Yes"/>
    <n v="1"/>
    <x v="0"/>
    <x v="0"/>
    <n v="4"/>
    <s v="Medical"/>
    <s v="291"/>
    <x v="2"/>
    <x v="1"/>
    <n v="1"/>
    <n v="3"/>
    <x v="0"/>
    <x v="0"/>
    <x v="1"/>
    <n v="10400"/>
    <x v="0"/>
    <x v="1"/>
    <n v="3"/>
    <n v="14"/>
    <n v="2"/>
    <x v="13"/>
    <n v="8"/>
    <n v="9"/>
    <n v="8"/>
    <x v="2"/>
    <x v="0"/>
    <x v="2"/>
  </r>
  <r>
    <n v="30"/>
    <s v="No"/>
    <n v="0"/>
    <x v="2"/>
    <x v="1"/>
    <n v="1"/>
    <s v="Life Sciences"/>
    <s v="292"/>
    <x v="1"/>
    <x v="1"/>
    <n v="2"/>
    <n v="3"/>
    <x v="3"/>
    <x v="2"/>
    <x v="0"/>
    <n v="8474"/>
    <x v="0"/>
    <x v="1"/>
    <n v="4"/>
    <n v="12"/>
    <n v="3"/>
    <x v="19"/>
    <n v="8"/>
    <n v="5"/>
    <n v="8"/>
    <x v="2"/>
    <x v="0"/>
    <x v="2"/>
  </r>
  <r>
    <n v="27"/>
    <s v="No"/>
    <n v="0"/>
    <x v="1"/>
    <x v="0"/>
    <n v="20"/>
    <s v="Life Sciences"/>
    <s v="293"/>
    <x v="2"/>
    <x v="0"/>
    <n v="3"/>
    <n v="2"/>
    <x v="0"/>
    <x v="2"/>
    <x v="0"/>
    <n v="9981"/>
    <x v="0"/>
    <x v="1"/>
    <n v="3"/>
    <n v="7"/>
    <n v="3"/>
    <x v="5"/>
    <n v="7"/>
    <n v="0"/>
    <n v="7"/>
    <x v="2"/>
    <x v="0"/>
    <x v="0"/>
  </r>
  <r>
    <n v="51"/>
    <s v="No"/>
    <n v="0"/>
    <x v="0"/>
    <x v="1"/>
    <n v="8"/>
    <s v="Life Sciences"/>
    <s v="296"/>
    <x v="0"/>
    <x v="1"/>
    <n v="2"/>
    <n v="3"/>
    <x v="7"/>
    <x v="1"/>
    <x v="1"/>
    <n v="12490"/>
    <x v="2"/>
    <x v="1"/>
    <n v="3"/>
    <n v="16"/>
    <n v="1"/>
    <x v="1"/>
    <n v="9"/>
    <n v="4"/>
    <n v="7"/>
    <x v="1"/>
    <x v="2"/>
    <x v="0"/>
  </r>
  <r>
    <n v="30"/>
    <s v="Yes"/>
    <n v="1"/>
    <x v="0"/>
    <x v="1"/>
    <n v="3"/>
    <s v="Technical Degree"/>
    <s v="297"/>
    <x v="2"/>
    <x v="0"/>
    <n v="3"/>
    <n v="1"/>
    <x v="1"/>
    <x v="3"/>
    <x v="0"/>
    <n v="2657"/>
    <x v="1"/>
    <x v="0"/>
    <n v="3"/>
    <n v="8"/>
    <n v="3"/>
    <x v="8"/>
    <n v="2"/>
    <n v="0"/>
    <n v="4"/>
    <x v="2"/>
    <x v="0"/>
    <x v="1"/>
  </r>
  <r>
    <n v="41"/>
    <s v="No"/>
    <n v="0"/>
    <x v="0"/>
    <x v="0"/>
    <n v="6"/>
    <s v="Life Sciences"/>
    <s v="298"/>
    <x v="2"/>
    <x v="0"/>
    <n v="3"/>
    <n v="3"/>
    <x v="5"/>
    <x v="0"/>
    <x v="0"/>
    <n v="13591"/>
    <x v="2"/>
    <x v="0"/>
    <n v="3"/>
    <n v="16"/>
    <n v="3"/>
    <x v="6"/>
    <n v="0"/>
    <n v="0"/>
    <n v="0"/>
    <x v="0"/>
    <x v="2"/>
    <x v="1"/>
  </r>
  <r>
    <n v="30"/>
    <s v="Yes"/>
    <n v="1"/>
    <x v="1"/>
    <x v="0"/>
    <n v="26"/>
    <s v="Marketing"/>
    <s v="299"/>
    <x v="1"/>
    <x v="0"/>
    <n v="2"/>
    <n v="2"/>
    <x v="0"/>
    <x v="3"/>
    <x v="0"/>
    <n v="6696"/>
    <x v="0"/>
    <x v="1"/>
    <n v="3"/>
    <n v="9"/>
    <n v="2"/>
    <x v="0"/>
    <n v="3"/>
    <n v="0"/>
    <n v="1"/>
    <x v="2"/>
    <x v="0"/>
    <x v="0"/>
  </r>
  <r>
    <n v="29"/>
    <s v="Yes"/>
    <n v="1"/>
    <x v="0"/>
    <x v="1"/>
    <n v="1"/>
    <s v="Technical Degree"/>
    <s v="300"/>
    <x v="1"/>
    <x v="1"/>
    <n v="3"/>
    <n v="1"/>
    <x v="1"/>
    <x v="2"/>
    <x v="0"/>
    <n v="2058"/>
    <x v="1"/>
    <x v="1"/>
    <n v="3"/>
    <n v="7"/>
    <n v="2"/>
    <x v="0"/>
    <n v="2"/>
    <n v="1"/>
    <n v="5"/>
    <x v="2"/>
    <x v="0"/>
    <x v="0"/>
  </r>
  <r>
    <n v="45"/>
    <s v="No"/>
    <n v="0"/>
    <x v="2"/>
    <x v="0"/>
    <n v="6"/>
    <s v="Medical"/>
    <s v="302"/>
    <x v="2"/>
    <x v="0"/>
    <n v="2"/>
    <n v="3"/>
    <x v="0"/>
    <x v="0"/>
    <x v="0"/>
    <n v="8865"/>
    <x v="0"/>
    <x v="1"/>
    <n v="3"/>
    <n v="23"/>
    <n v="3"/>
    <x v="27"/>
    <n v="7"/>
    <n v="12"/>
    <n v="8"/>
    <x v="0"/>
    <x v="2"/>
    <x v="2"/>
  </r>
  <r>
    <n v="54"/>
    <s v="No"/>
    <n v="0"/>
    <x v="0"/>
    <x v="0"/>
    <n v="3"/>
    <s v="Marketing"/>
    <s v="303"/>
    <x v="2"/>
    <x v="0"/>
    <n v="3"/>
    <n v="2"/>
    <x v="0"/>
    <x v="3"/>
    <x v="1"/>
    <n v="5940"/>
    <x v="0"/>
    <x v="1"/>
    <n v="3"/>
    <n v="16"/>
    <n v="3"/>
    <x v="0"/>
    <n v="2"/>
    <n v="0"/>
    <n v="5"/>
    <x v="1"/>
    <x v="2"/>
    <x v="0"/>
  </r>
  <r>
    <n v="36"/>
    <s v="No"/>
    <n v="0"/>
    <x v="0"/>
    <x v="1"/>
    <n v="5"/>
    <s v="Life Sciences"/>
    <s v="304"/>
    <x v="2"/>
    <x v="1"/>
    <n v="3"/>
    <n v="2"/>
    <x v="2"/>
    <x v="1"/>
    <x v="0"/>
    <n v="5914"/>
    <x v="0"/>
    <x v="1"/>
    <n v="3"/>
    <n v="16"/>
    <n v="4"/>
    <x v="20"/>
    <n v="11"/>
    <n v="3"/>
    <n v="7"/>
    <x v="0"/>
    <x v="2"/>
    <x v="2"/>
  </r>
  <r>
    <n v="33"/>
    <s v="No"/>
    <n v="0"/>
    <x v="0"/>
    <x v="1"/>
    <n v="4"/>
    <s v="Medical"/>
    <s v="305"/>
    <x v="1"/>
    <x v="0"/>
    <n v="2"/>
    <n v="1"/>
    <x v="1"/>
    <x v="1"/>
    <x v="1"/>
    <n v="2622"/>
    <x v="1"/>
    <x v="1"/>
    <n v="4"/>
    <n v="7"/>
    <n v="3"/>
    <x v="11"/>
    <n v="2"/>
    <n v="1"/>
    <n v="1"/>
    <x v="2"/>
    <x v="0"/>
    <x v="1"/>
  </r>
  <r>
    <n v="37"/>
    <s v="No"/>
    <n v="0"/>
    <x v="1"/>
    <x v="1"/>
    <n v="11"/>
    <s v="Other"/>
    <s v="306"/>
    <x v="0"/>
    <x v="1"/>
    <n v="3"/>
    <n v="3"/>
    <x v="7"/>
    <x v="0"/>
    <x v="2"/>
    <n v="12185"/>
    <x v="2"/>
    <x v="0"/>
    <n v="3"/>
    <n v="10"/>
    <n v="3"/>
    <x v="1"/>
    <n v="8"/>
    <n v="0"/>
    <n v="7"/>
    <x v="0"/>
    <x v="0"/>
    <x v="0"/>
  </r>
  <r>
    <n v="38"/>
    <s v="No"/>
    <n v="0"/>
    <x v="0"/>
    <x v="0"/>
    <n v="3"/>
    <s v="Life Sciences"/>
    <s v="307"/>
    <x v="3"/>
    <x v="1"/>
    <n v="3"/>
    <n v="3"/>
    <x v="0"/>
    <x v="2"/>
    <x v="2"/>
    <n v="10609"/>
    <x v="0"/>
    <x v="1"/>
    <n v="3"/>
    <n v="17"/>
    <n v="2"/>
    <x v="22"/>
    <n v="10"/>
    <n v="5"/>
    <n v="13"/>
    <x v="0"/>
    <x v="2"/>
    <x v="2"/>
  </r>
  <r>
    <n v="31"/>
    <s v="No"/>
    <n v="0"/>
    <x v="2"/>
    <x v="1"/>
    <n v="1"/>
    <s v="Medical"/>
    <s v="308"/>
    <x v="1"/>
    <x v="1"/>
    <n v="1"/>
    <n v="2"/>
    <x v="3"/>
    <x v="2"/>
    <x v="1"/>
    <n v="4345"/>
    <x v="1"/>
    <x v="1"/>
    <n v="3"/>
    <n v="6"/>
    <n v="3"/>
    <x v="8"/>
    <n v="4"/>
    <n v="1"/>
    <n v="4"/>
    <x v="2"/>
    <x v="0"/>
    <x v="1"/>
  </r>
  <r>
    <n v="59"/>
    <s v="No"/>
    <n v="0"/>
    <x v="0"/>
    <x v="1"/>
    <n v="3"/>
    <s v="Life Sciences"/>
    <s v="309"/>
    <x v="1"/>
    <x v="1"/>
    <n v="2"/>
    <n v="1"/>
    <x v="1"/>
    <x v="0"/>
    <x v="1"/>
    <n v="2177"/>
    <x v="1"/>
    <x v="1"/>
    <n v="3"/>
    <n v="7"/>
    <n v="3"/>
    <x v="6"/>
    <n v="0"/>
    <n v="0"/>
    <n v="0"/>
    <x v="1"/>
    <x v="0"/>
    <x v="1"/>
  </r>
  <r>
    <n v="37"/>
    <s v="No"/>
    <n v="0"/>
    <x v="1"/>
    <x v="0"/>
    <n v="4"/>
    <s v="Marketing"/>
    <s v="311"/>
    <x v="3"/>
    <x v="1"/>
    <n v="3"/>
    <n v="1"/>
    <x v="6"/>
    <x v="0"/>
    <x v="2"/>
    <n v="2793"/>
    <x v="1"/>
    <x v="1"/>
    <n v="3"/>
    <n v="13"/>
    <n v="3"/>
    <x v="7"/>
    <n v="8"/>
    <n v="5"/>
    <n v="8"/>
    <x v="0"/>
    <x v="0"/>
    <x v="0"/>
  </r>
  <r>
    <n v="29"/>
    <s v="No"/>
    <n v="0"/>
    <x v="1"/>
    <x v="0"/>
    <n v="1"/>
    <s v="Medical"/>
    <s v="312"/>
    <x v="0"/>
    <x v="0"/>
    <n v="3"/>
    <n v="3"/>
    <x v="0"/>
    <x v="0"/>
    <x v="1"/>
    <n v="7918"/>
    <x v="0"/>
    <x v="1"/>
    <n v="3"/>
    <n v="11"/>
    <n v="3"/>
    <x v="19"/>
    <n v="10"/>
    <n v="4"/>
    <n v="1"/>
    <x v="2"/>
    <x v="0"/>
    <x v="2"/>
  </r>
  <r>
    <n v="35"/>
    <s v="No"/>
    <n v="0"/>
    <x v="1"/>
    <x v="0"/>
    <n v="1"/>
    <s v="Marketing"/>
    <s v="314"/>
    <x v="1"/>
    <x v="0"/>
    <n v="3"/>
    <n v="3"/>
    <x v="0"/>
    <x v="2"/>
    <x v="0"/>
    <n v="8789"/>
    <x v="0"/>
    <x v="1"/>
    <n v="3"/>
    <n v="10"/>
    <n v="4"/>
    <x v="1"/>
    <n v="7"/>
    <n v="0"/>
    <n v="8"/>
    <x v="2"/>
    <x v="0"/>
    <x v="0"/>
  </r>
  <r>
    <n v="29"/>
    <s v="Yes"/>
    <n v="1"/>
    <x v="0"/>
    <x v="1"/>
    <n v="18"/>
    <s v="Medical"/>
    <s v="315"/>
    <x v="1"/>
    <x v="1"/>
    <n v="2"/>
    <n v="1"/>
    <x v="1"/>
    <x v="0"/>
    <x v="0"/>
    <n v="2389"/>
    <x v="1"/>
    <x v="0"/>
    <n v="3"/>
    <n v="4"/>
    <n v="2"/>
    <x v="9"/>
    <n v="3"/>
    <n v="0"/>
    <n v="1"/>
    <x v="2"/>
    <x v="1"/>
    <x v="1"/>
  </r>
  <r>
    <n v="52"/>
    <s v="No"/>
    <n v="0"/>
    <x v="0"/>
    <x v="1"/>
    <n v="2"/>
    <s v="Life Sciences"/>
    <s v="316"/>
    <x v="1"/>
    <x v="0"/>
    <n v="2"/>
    <n v="1"/>
    <x v="2"/>
    <x v="0"/>
    <x v="0"/>
    <n v="3212"/>
    <x v="1"/>
    <x v="1"/>
    <n v="3"/>
    <n v="6"/>
    <n v="2"/>
    <x v="4"/>
    <n v="2"/>
    <n v="2"/>
    <n v="2"/>
    <x v="1"/>
    <x v="0"/>
    <x v="1"/>
  </r>
  <r>
    <n v="42"/>
    <s v="No"/>
    <n v="0"/>
    <x v="0"/>
    <x v="1"/>
    <n v="4"/>
    <s v="Technical Degree"/>
    <s v="319"/>
    <x v="1"/>
    <x v="1"/>
    <n v="3"/>
    <n v="5"/>
    <x v="5"/>
    <x v="0"/>
    <x v="1"/>
    <n v="19232"/>
    <x v="2"/>
    <x v="1"/>
    <n v="3"/>
    <n v="22"/>
    <n v="3"/>
    <x v="14"/>
    <n v="17"/>
    <n v="11"/>
    <n v="15"/>
    <x v="0"/>
    <x v="2"/>
    <x v="2"/>
  </r>
  <r>
    <n v="59"/>
    <s v="No"/>
    <n v="0"/>
    <x v="0"/>
    <x v="2"/>
    <n v="6"/>
    <s v="Medical"/>
    <s v="321"/>
    <x v="0"/>
    <x v="1"/>
    <n v="3"/>
    <n v="1"/>
    <x v="8"/>
    <x v="2"/>
    <x v="1"/>
    <n v="2267"/>
    <x v="1"/>
    <x v="1"/>
    <n v="3"/>
    <n v="7"/>
    <n v="2"/>
    <x v="4"/>
    <n v="2"/>
    <n v="2"/>
    <n v="2"/>
    <x v="1"/>
    <x v="0"/>
    <x v="1"/>
  </r>
  <r>
    <n v="50"/>
    <s v="No"/>
    <n v="0"/>
    <x v="0"/>
    <x v="0"/>
    <n v="1"/>
    <s v="Medical"/>
    <s v="323"/>
    <x v="2"/>
    <x v="0"/>
    <n v="3"/>
    <n v="5"/>
    <x v="5"/>
    <x v="0"/>
    <x v="2"/>
    <n v="19517"/>
    <x v="2"/>
    <x v="1"/>
    <n v="3"/>
    <n v="32"/>
    <n v="2"/>
    <x v="5"/>
    <n v="0"/>
    <n v="0"/>
    <n v="6"/>
    <x v="1"/>
    <x v="2"/>
    <x v="0"/>
  </r>
  <r>
    <n v="33"/>
    <s v="Yes"/>
    <n v="1"/>
    <x v="0"/>
    <x v="1"/>
    <n v="14"/>
    <s v="Medical"/>
    <s v="325"/>
    <x v="1"/>
    <x v="1"/>
    <n v="3"/>
    <n v="1"/>
    <x v="2"/>
    <x v="0"/>
    <x v="1"/>
    <n v="2436"/>
    <x v="1"/>
    <x v="0"/>
    <n v="3"/>
    <n v="8"/>
    <n v="1"/>
    <x v="8"/>
    <n v="4"/>
    <n v="0"/>
    <n v="4"/>
    <x v="2"/>
    <x v="0"/>
    <x v="1"/>
  </r>
  <r>
    <n v="43"/>
    <s v="No"/>
    <n v="0"/>
    <x v="0"/>
    <x v="0"/>
    <n v="16"/>
    <s v="Marketing"/>
    <s v="327"/>
    <x v="2"/>
    <x v="0"/>
    <n v="3"/>
    <n v="4"/>
    <x v="5"/>
    <x v="0"/>
    <x v="1"/>
    <n v="16064"/>
    <x v="2"/>
    <x v="0"/>
    <n v="4"/>
    <n v="22"/>
    <n v="3"/>
    <x v="18"/>
    <n v="13"/>
    <n v="1"/>
    <n v="9"/>
    <x v="0"/>
    <x v="2"/>
    <x v="2"/>
  </r>
  <r>
    <n v="33"/>
    <s v="Yes"/>
    <n v="1"/>
    <x v="0"/>
    <x v="1"/>
    <n v="2"/>
    <s v="Life Sciences"/>
    <s v="328"/>
    <x v="3"/>
    <x v="0"/>
    <n v="3"/>
    <n v="1"/>
    <x v="2"/>
    <x v="3"/>
    <x v="1"/>
    <n v="2707"/>
    <x v="1"/>
    <x v="1"/>
    <n v="4"/>
    <n v="13"/>
    <n v="4"/>
    <x v="7"/>
    <n v="7"/>
    <n v="1"/>
    <n v="7"/>
    <x v="2"/>
    <x v="0"/>
    <x v="0"/>
  </r>
  <r>
    <n v="52"/>
    <s v="No"/>
    <n v="0"/>
    <x v="2"/>
    <x v="0"/>
    <n v="2"/>
    <s v="Life Sciences"/>
    <s v="329"/>
    <x v="3"/>
    <x v="1"/>
    <n v="2"/>
    <n v="5"/>
    <x v="5"/>
    <x v="2"/>
    <x v="0"/>
    <n v="19068"/>
    <x v="2"/>
    <x v="0"/>
    <n v="3"/>
    <n v="33"/>
    <n v="4"/>
    <x v="26"/>
    <n v="7"/>
    <n v="15"/>
    <n v="12"/>
    <x v="1"/>
    <x v="2"/>
    <x v="2"/>
  </r>
  <r>
    <n v="32"/>
    <s v="No"/>
    <n v="0"/>
    <x v="0"/>
    <x v="0"/>
    <n v="4"/>
    <s v="Life Sciences"/>
    <s v="330"/>
    <x v="1"/>
    <x v="0"/>
    <n v="3"/>
    <n v="1"/>
    <x v="6"/>
    <x v="1"/>
    <x v="1"/>
    <n v="3931"/>
    <x v="1"/>
    <x v="1"/>
    <n v="3"/>
    <n v="6"/>
    <n v="3"/>
    <x v="9"/>
    <n v="3"/>
    <n v="1"/>
    <n v="2"/>
    <x v="2"/>
    <x v="0"/>
    <x v="1"/>
  </r>
  <r>
    <n v="32"/>
    <s v="Yes"/>
    <n v="1"/>
    <x v="0"/>
    <x v="1"/>
    <n v="1"/>
    <s v="Life Sciences"/>
    <s v="331"/>
    <x v="2"/>
    <x v="1"/>
    <n v="2"/>
    <n v="1"/>
    <x v="2"/>
    <x v="2"/>
    <x v="0"/>
    <n v="3730"/>
    <x v="1"/>
    <x v="0"/>
    <n v="3"/>
    <n v="4"/>
    <n v="1"/>
    <x v="11"/>
    <n v="2"/>
    <n v="1"/>
    <n v="2"/>
    <x v="2"/>
    <x v="1"/>
    <x v="1"/>
  </r>
  <r>
    <n v="39"/>
    <s v="No"/>
    <n v="0"/>
    <x v="0"/>
    <x v="1"/>
    <n v="1"/>
    <s v="Medical"/>
    <s v="332"/>
    <x v="1"/>
    <x v="0"/>
    <n v="3"/>
    <n v="1"/>
    <x v="2"/>
    <x v="2"/>
    <x v="2"/>
    <n v="2232"/>
    <x v="1"/>
    <x v="1"/>
    <n v="3"/>
    <n v="7"/>
    <n v="3"/>
    <x v="11"/>
    <n v="2"/>
    <n v="1"/>
    <n v="2"/>
    <x v="0"/>
    <x v="0"/>
    <x v="1"/>
  </r>
  <r>
    <n v="32"/>
    <s v="No"/>
    <n v="0"/>
    <x v="2"/>
    <x v="0"/>
    <n v="26"/>
    <s v="Marketing"/>
    <s v="333"/>
    <x v="1"/>
    <x v="1"/>
    <n v="3"/>
    <n v="2"/>
    <x v="0"/>
    <x v="0"/>
    <x v="1"/>
    <n v="4465"/>
    <x v="1"/>
    <x v="1"/>
    <n v="3"/>
    <n v="4"/>
    <n v="3"/>
    <x v="11"/>
    <n v="2"/>
    <n v="2"/>
    <n v="2"/>
    <x v="2"/>
    <x v="1"/>
    <x v="1"/>
  </r>
  <r>
    <n v="41"/>
    <s v="No"/>
    <n v="0"/>
    <x v="0"/>
    <x v="1"/>
    <n v="19"/>
    <s v="Life Sciences"/>
    <s v="334"/>
    <x v="1"/>
    <x v="1"/>
    <n v="3"/>
    <n v="2"/>
    <x v="1"/>
    <x v="3"/>
    <x v="2"/>
    <n v="3072"/>
    <x v="1"/>
    <x v="1"/>
    <n v="3"/>
    <n v="17"/>
    <n v="2"/>
    <x v="6"/>
    <n v="0"/>
    <n v="0"/>
    <n v="0"/>
    <x v="0"/>
    <x v="2"/>
    <x v="1"/>
  </r>
  <r>
    <n v="40"/>
    <s v="No"/>
    <n v="0"/>
    <x v="0"/>
    <x v="1"/>
    <n v="24"/>
    <s v="Technical Degree"/>
    <s v="335"/>
    <x v="3"/>
    <x v="1"/>
    <n v="3"/>
    <n v="2"/>
    <x v="1"/>
    <x v="0"/>
    <x v="2"/>
    <n v="3319"/>
    <x v="1"/>
    <x v="1"/>
    <n v="3"/>
    <n v="9"/>
    <n v="3"/>
    <x v="7"/>
    <n v="8"/>
    <n v="4"/>
    <n v="7"/>
    <x v="0"/>
    <x v="0"/>
    <x v="0"/>
  </r>
  <r>
    <n v="45"/>
    <s v="No"/>
    <n v="0"/>
    <x v="0"/>
    <x v="1"/>
    <n v="1"/>
    <s v="Other"/>
    <s v="336"/>
    <x v="1"/>
    <x v="1"/>
    <n v="4"/>
    <n v="5"/>
    <x v="5"/>
    <x v="0"/>
    <x v="1"/>
    <n v="19202"/>
    <x v="2"/>
    <x v="1"/>
    <n v="3"/>
    <n v="25"/>
    <n v="3"/>
    <x v="25"/>
    <n v="0"/>
    <n v="1"/>
    <n v="7"/>
    <x v="0"/>
    <x v="2"/>
    <x v="2"/>
  </r>
  <r>
    <n v="31"/>
    <s v="No"/>
    <n v="0"/>
    <x v="1"/>
    <x v="1"/>
    <n v="3"/>
    <s v="Medical"/>
    <s v="337"/>
    <x v="0"/>
    <x v="1"/>
    <n v="3"/>
    <n v="3"/>
    <x v="7"/>
    <x v="2"/>
    <x v="2"/>
    <n v="13675"/>
    <x v="2"/>
    <x v="1"/>
    <n v="3"/>
    <n v="9"/>
    <n v="3"/>
    <x v="4"/>
    <n v="2"/>
    <n v="2"/>
    <n v="2"/>
    <x v="2"/>
    <x v="0"/>
    <x v="1"/>
  </r>
  <r>
    <n v="33"/>
    <s v="No"/>
    <n v="0"/>
    <x v="0"/>
    <x v="1"/>
    <n v="5"/>
    <s v="Life Sciences"/>
    <s v="338"/>
    <x v="1"/>
    <x v="0"/>
    <n v="2"/>
    <n v="1"/>
    <x v="1"/>
    <x v="0"/>
    <x v="1"/>
    <n v="2911"/>
    <x v="1"/>
    <x v="1"/>
    <n v="3"/>
    <n v="2"/>
    <n v="2"/>
    <x v="4"/>
    <n v="2"/>
    <n v="0"/>
    <n v="2"/>
    <x v="2"/>
    <x v="1"/>
    <x v="1"/>
  </r>
  <r>
    <n v="34"/>
    <s v="No"/>
    <n v="0"/>
    <x v="0"/>
    <x v="1"/>
    <n v="2"/>
    <s v="Life Sciences"/>
    <s v="339"/>
    <x v="2"/>
    <x v="1"/>
    <n v="2"/>
    <n v="2"/>
    <x v="3"/>
    <x v="3"/>
    <x v="1"/>
    <n v="5957"/>
    <x v="0"/>
    <x v="1"/>
    <n v="3"/>
    <n v="13"/>
    <n v="3"/>
    <x v="19"/>
    <n v="9"/>
    <n v="5"/>
    <n v="9"/>
    <x v="2"/>
    <x v="0"/>
    <x v="2"/>
  </r>
  <r>
    <n v="37"/>
    <s v="No"/>
    <n v="0"/>
    <x v="0"/>
    <x v="1"/>
    <n v="1"/>
    <s v="Medical"/>
    <s v="340"/>
    <x v="1"/>
    <x v="0"/>
    <n v="2"/>
    <n v="1"/>
    <x v="1"/>
    <x v="3"/>
    <x v="1"/>
    <n v="3920"/>
    <x v="1"/>
    <x v="1"/>
    <n v="3"/>
    <n v="17"/>
    <n v="2"/>
    <x v="11"/>
    <n v="1"/>
    <n v="0"/>
    <n v="2"/>
    <x v="0"/>
    <x v="2"/>
    <x v="1"/>
  </r>
  <r>
    <n v="45"/>
    <s v="No"/>
    <n v="0"/>
    <x v="1"/>
    <x v="1"/>
    <n v="7"/>
    <s v="Life Sciences"/>
    <s v="341"/>
    <x v="3"/>
    <x v="1"/>
    <n v="4"/>
    <n v="2"/>
    <x v="3"/>
    <x v="2"/>
    <x v="1"/>
    <n v="6434"/>
    <x v="0"/>
    <x v="1"/>
    <n v="3"/>
    <n v="9"/>
    <n v="3"/>
    <x v="11"/>
    <n v="2"/>
    <n v="0"/>
    <n v="2"/>
    <x v="0"/>
    <x v="0"/>
    <x v="1"/>
  </r>
  <r>
    <n v="37"/>
    <s v="Yes"/>
    <n v="1"/>
    <x v="1"/>
    <x v="1"/>
    <n v="10"/>
    <s v="Medical"/>
    <s v="342"/>
    <x v="3"/>
    <x v="1"/>
    <n v="3"/>
    <n v="3"/>
    <x v="3"/>
    <x v="2"/>
    <x v="2"/>
    <n v="10048"/>
    <x v="0"/>
    <x v="1"/>
    <n v="3"/>
    <n v="17"/>
    <n v="3"/>
    <x v="6"/>
    <n v="0"/>
    <n v="0"/>
    <n v="0"/>
    <x v="0"/>
    <x v="2"/>
    <x v="1"/>
  </r>
  <r>
    <n v="39"/>
    <s v="No"/>
    <n v="0"/>
    <x v="1"/>
    <x v="1"/>
    <n v="2"/>
    <s v="Technical Degree"/>
    <s v="343"/>
    <x v="1"/>
    <x v="0"/>
    <n v="3"/>
    <n v="3"/>
    <x v="4"/>
    <x v="2"/>
    <x v="0"/>
    <n v="10938"/>
    <x v="0"/>
    <x v="1"/>
    <n v="4"/>
    <n v="20"/>
    <n v="3"/>
    <x v="27"/>
    <n v="6"/>
    <n v="11"/>
    <n v="8"/>
    <x v="0"/>
    <x v="2"/>
    <x v="2"/>
  </r>
  <r>
    <n v="29"/>
    <s v="No"/>
    <n v="0"/>
    <x v="0"/>
    <x v="1"/>
    <n v="15"/>
    <s v="Life Sciences"/>
    <s v="346"/>
    <x v="1"/>
    <x v="1"/>
    <n v="3"/>
    <n v="1"/>
    <x v="1"/>
    <x v="0"/>
    <x v="0"/>
    <n v="2340"/>
    <x v="1"/>
    <x v="1"/>
    <n v="3"/>
    <n v="6"/>
    <n v="3"/>
    <x v="0"/>
    <n v="5"/>
    <n v="1"/>
    <n v="5"/>
    <x v="2"/>
    <x v="0"/>
    <x v="0"/>
  </r>
  <r>
    <n v="42"/>
    <s v="No"/>
    <n v="0"/>
    <x v="0"/>
    <x v="1"/>
    <n v="17"/>
    <s v="Life Sciences"/>
    <s v="347"/>
    <x v="2"/>
    <x v="0"/>
    <n v="4"/>
    <n v="2"/>
    <x v="1"/>
    <x v="3"/>
    <x v="0"/>
    <n v="6545"/>
    <x v="0"/>
    <x v="0"/>
    <n v="3"/>
    <n v="10"/>
    <n v="3"/>
    <x v="11"/>
    <n v="2"/>
    <n v="0"/>
    <n v="2"/>
    <x v="0"/>
    <x v="0"/>
    <x v="1"/>
  </r>
  <r>
    <n v="29"/>
    <s v="No"/>
    <n v="0"/>
    <x v="0"/>
    <x v="0"/>
    <n v="20"/>
    <s v="Marketing"/>
    <s v="349"/>
    <x v="2"/>
    <x v="1"/>
    <n v="3"/>
    <n v="2"/>
    <x v="0"/>
    <x v="0"/>
    <x v="2"/>
    <n v="6931"/>
    <x v="0"/>
    <x v="1"/>
    <n v="3"/>
    <n v="10"/>
    <n v="3"/>
    <x v="11"/>
    <n v="2"/>
    <n v="0"/>
    <n v="2"/>
    <x v="2"/>
    <x v="0"/>
    <x v="1"/>
  </r>
  <r>
    <n v="25"/>
    <s v="No"/>
    <n v="0"/>
    <x v="0"/>
    <x v="1"/>
    <n v="1"/>
    <s v="Life Sciences"/>
    <s v="350"/>
    <x v="3"/>
    <x v="0"/>
    <n v="3"/>
    <n v="2"/>
    <x v="3"/>
    <x v="2"/>
    <x v="1"/>
    <n v="4898"/>
    <x v="1"/>
    <x v="1"/>
    <n v="3"/>
    <n v="5"/>
    <n v="3"/>
    <x v="9"/>
    <n v="2"/>
    <n v="1"/>
    <n v="2"/>
    <x v="3"/>
    <x v="1"/>
    <x v="1"/>
  </r>
  <r>
    <n v="42"/>
    <s v="No"/>
    <n v="0"/>
    <x v="0"/>
    <x v="1"/>
    <n v="2"/>
    <s v="Medical"/>
    <s v="351"/>
    <x v="2"/>
    <x v="0"/>
    <n v="2"/>
    <n v="1"/>
    <x v="2"/>
    <x v="3"/>
    <x v="2"/>
    <n v="2593"/>
    <x v="1"/>
    <x v="0"/>
    <n v="3"/>
    <n v="10"/>
    <n v="3"/>
    <x v="7"/>
    <n v="6"/>
    <n v="7"/>
    <n v="8"/>
    <x v="0"/>
    <x v="0"/>
    <x v="0"/>
  </r>
  <r>
    <n v="40"/>
    <s v="No"/>
    <n v="0"/>
    <x v="0"/>
    <x v="1"/>
    <n v="2"/>
    <s v="Medical"/>
    <s v="352"/>
    <x v="3"/>
    <x v="1"/>
    <n v="3"/>
    <n v="5"/>
    <x v="7"/>
    <x v="2"/>
    <x v="2"/>
    <n v="19436"/>
    <x v="2"/>
    <x v="1"/>
    <n v="3"/>
    <n v="22"/>
    <n v="3"/>
    <x v="17"/>
    <n v="7"/>
    <n v="3"/>
    <n v="9"/>
    <x v="0"/>
    <x v="2"/>
    <x v="2"/>
  </r>
  <r>
    <n v="51"/>
    <s v="No"/>
    <n v="0"/>
    <x v="0"/>
    <x v="1"/>
    <n v="1"/>
    <s v="Life Sciences"/>
    <s v="353"/>
    <x v="1"/>
    <x v="1"/>
    <n v="3"/>
    <n v="1"/>
    <x v="1"/>
    <x v="0"/>
    <x v="1"/>
    <n v="2723"/>
    <x v="1"/>
    <x v="1"/>
    <n v="3"/>
    <n v="1"/>
    <n v="2"/>
    <x v="6"/>
    <n v="0"/>
    <n v="0"/>
    <n v="0"/>
    <x v="1"/>
    <x v="1"/>
    <x v="1"/>
  </r>
  <r>
    <n v="31"/>
    <s v="Yes"/>
    <n v="1"/>
    <x v="1"/>
    <x v="1"/>
    <n v="29"/>
    <s v="Medical"/>
    <s v="355"/>
    <x v="1"/>
    <x v="1"/>
    <n v="2"/>
    <n v="1"/>
    <x v="2"/>
    <x v="1"/>
    <x v="0"/>
    <n v="3479"/>
    <x v="1"/>
    <x v="1"/>
    <n v="3"/>
    <n v="6"/>
    <n v="4"/>
    <x v="8"/>
    <n v="4"/>
    <n v="1"/>
    <n v="4"/>
    <x v="2"/>
    <x v="0"/>
    <x v="1"/>
  </r>
  <r>
    <n v="32"/>
    <s v="No"/>
    <n v="0"/>
    <x v="1"/>
    <x v="1"/>
    <n v="7"/>
    <s v="Life Sciences"/>
    <s v="359"/>
    <x v="0"/>
    <x v="1"/>
    <n v="4"/>
    <n v="1"/>
    <x v="2"/>
    <x v="1"/>
    <x v="1"/>
    <n v="2794"/>
    <x v="1"/>
    <x v="1"/>
    <n v="4"/>
    <n v="5"/>
    <n v="1"/>
    <x v="8"/>
    <n v="1"/>
    <n v="0"/>
    <n v="3"/>
    <x v="2"/>
    <x v="1"/>
    <x v="1"/>
  </r>
  <r>
    <n v="38"/>
    <s v="No"/>
    <n v="0"/>
    <x v="2"/>
    <x v="0"/>
    <n v="2"/>
    <s v="Life Sciences"/>
    <s v="361"/>
    <x v="2"/>
    <x v="1"/>
    <n v="2"/>
    <n v="2"/>
    <x v="0"/>
    <x v="0"/>
    <x v="1"/>
    <n v="5249"/>
    <x v="0"/>
    <x v="1"/>
    <n v="3"/>
    <n v="13"/>
    <n v="3"/>
    <x v="3"/>
    <n v="7"/>
    <n v="7"/>
    <n v="5"/>
    <x v="0"/>
    <x v="0"/>
    <x v="0"/>
  </r>
  <r>
    <n v="32"/>
    <s v="No"/>
    <n v="0"/>
    <x v="0"/>
    <x v="1"/>
    <n v="2"/>
    <s v="Technical Degree"/>
    <s v="362"/>
    <x v="2"/>
    <x v="1"/>
    <n v="2"/>
    <n v="2"/>
    <x v="2"/>
    <x v="3"/>
    <x v="0"/>
    <n v="2176"/>
    <x v="1"/>
    <x v="1"/>
    <n v="3"/>
    <n v="9"/>
    <n v="3"/>
    <x v="0"/>
    <n v="2"/>
    <n v="0"/>
    <n v="4"/>
    <x v="2"/>
    <x v="0"/>
    <x v="0"/>
  </r>
  <r>
    <n v="46"/>
    <s v="No"/>
    <n v="0"/>
    <x v="0"/>
    <x v="0"/>
    <n v="2"/>
    <s v="Technical Degree"/>
    <s v="363"/>
    <x v="1"/>
    <x v="0"/>
    <n v="1"/>
    <n v="4"/>
    <x v="5"/>
    <x v="1"/>
    <x v="1"/>
    <n v="16872"/>
    <x v="2"/>
    <x v="0"/>
    <n v="3"/>
    <n v="28"/>
    <n v="2"/>
    <x v="5"/>
    <n v="7"/>
    <n v="7"/>
    <n v="7"/>
    <x v="1"/>
    <x v="2"/>
    <x v="0"/>
  </r>
  <r>
    <n v="28"/>
    <s v="Yes"/>
    <n v="1"/>
    <x v="0"/>
    <x v="1"/>
    <n v="2"/>
    <s v="Life Sciences"/>
    <s v="364"/>
    <x v="3"/>
    <x v="1"/>
    <n v="3"/>
    <n v="1"/>
    <x v="2"/>
    <x v="2"/>
    <x v="0"/>
    <n v="3485"/>
    <x v="1"/>
    <x v="1"/>
    <n v="3"/>
    <n v="5"/>
    <n v="1"/>
    <x v="2"/>
    <n v="0"/>
    <n v="0"/>
    <n v="0"/>
    <x v="2"/>
    <x v="1"/>
    <x v="1"/>
  </r>
  <r>
    <n v="29"/>
    <s v="No"/>
    <n v="0"/>
    <x v="0"/>
    <x v="0"/>
    <n v="2"/>
    <s v="Medical"/>
    <s v="366"/>
    <x v="3"/>
    <x v="1"/>
    <n v="2"/>
    <n v="2"/>
    <x v="0"/>
    <x v="1"/>
    <x v="1"/>
    <n v="6644"/>
    <x v="0"/>
    <x v="1"/>
    <n v="3"/>
    <n v="10"/>
    <n v="3"/>
    <x v="2"/>
    <n v="0"/>
    <n v="0"/>
    <n v="0"/>
    <x v="2"/>
    <x v="0"/>
    <x v="1"/>
  </r>
  <r>
    <n v="31"/>
    <s v="No"/>
    <n v="0"/>
    <x v="0"/>
    <x v="1"/>
    <n v="23"/>
    <s v="Medical"/>
    <s v="367"/>
    <x v="0"/>
    <x v="1"/>
    <n v="2"/>
    <n v="2"/>
    <x v="4"/>
    <x v="0"/>
    <x v="1"/>
    <n v="5582"/>
    <x v="0"/>
    <x v="1"/>
    <n v="4"/>
    <n v="10"/>
    <n v="3"/>
    <x v="7"/>
    <n v="0"/>
    <n v="7"/>
    <n v="8"/>
    <x v="2"/>
    <x v="0"/>
    <x v="0"/>
  </r>
  <r>
    <n v="25"/>
    <s v="No"/>
    <n v="0"/>
    <x v="2"/>
    <x v="1"/>
    <n v="5"/>
    <s v="Life Sciences"/>
    <s v="369"/>
    <x v="0"/>
    <x v="1"/>
    <n v="4"/>
    <n v="2"/>
    <x v="4"/>
    <x v="3"/>
    <x v="2"/>
    <n v="4000"/>
    <x v="1"/>
    <x v="1"/>
    <n v="3"/>
    <n v="6"/>
    <n v="3"/>
    <x v="0"/>
    <n v="3"/>
    <n v="1"/>
    <n v="5"/>
    <x v="3"/>
    <x v="0"/>
    <x v="0"/>
  </r>
  <r>
    <n v="45"/>
    <s v="No"/>
    <n v="0"/>
    <x v="0"/>
    <x v="1"/>
    <n v="20"/>
    <s v="Medical"/>
    <s v="372"/>
    <x v="1"/>
    <x v="1"/>
    <n v="3"/>
    <n v="4"/>
    <x v="4"/>
    <x v="0"/>
    <x v="1"/>
    <n v="13496"/>
    <x v="2"/>
    <x v="0"/>
    <n v="3"/>
    <n v="21"/>
    <n v="3"/>
    <x v="23"/>
    <n v="7"/>
    <n v="4"/>
    <n v="10"/>
    <x v="0"/>
    <x v="2"/>
    <x v="2"/>
  </r>
  <r>
    <n v="36"/>
    <s v="No"/>
    <n v="0"/>
    <x v="0"/>
    <x v="1"/>
    <n v="6"/>
    <s v="Life Sciences"/>
    <s v="373"/>
    <x v="2"/>
    <x v="1"/>
    <n v="3"/>
    <n v="1"/>
    <x v="2"/>
    <x v="0"/>
    <x v="1"/>
    <n v="3210"/>
    <x v="1"/>
    <x v="1"/>
    <n v="3"/>
    <n v="16"/>
    <n v="3"/>
    <x v="15"/>
    <n v="13"/>
    <n v="10"/>
    <n v="11"/>
    <x v="0"/>
    <x v="2"/>
    <x v="2"/>
  </r>
  <r>
    <n v="55"/>
    <s v="No"/>
    <n v="0"/>
    <x v="0"/>
    <x v="1"/>
    <n v="1"/>
    <s v="Medical"/>
    <s v="374"/>
    <x v="2"/>
    <x v="1"/>
    <n v="3"/>
    <n v="5"/>
    <x v="5"/>
    <x v="3"/>
    <x v="0"/>
    <n v="19045"/>
    <x v="2"/>
    <x v="0"/>
    <n v="3"/>
    <n v="37"/>
    <n v="3"/>
    <x v="28"/>
    <n v="10"/>
    <n v="4"/>
    <n v="13"/>
    <x v="1"/>
    <x v="2"/>
    <x v="2"/>
  </r>
  <r>
    <n v="47"/>
    <s v="Yes"/>
    <n v="1"/>
    <x v="2"/>
    <x v="1"/>
    <n v="29"/>
    <s v="Life Sciences"/>
    <s v="376"/>
    <x v="3"/>
    <x v="1"/>
    <n v="3"/>
    <n v="3"/>
    <x v="5"/>
    <x v="1"/>
    <x v="1"/>
    <n v="11849"/>
    <x v="0"/>
    <x v="0"/>
    <n v="3"/>
    <n v="10"/>
    <n v="2"/>
    <x v="1"/>
    <n v="7"/>
    <n v="9"/>
    <n v="9"/>
    <x v="1"/>
    <x v="0"/>
    <x v="0"/>
  </r>
  <r>
    <n v="28"/>
    <s v="No"/>
    <n v="0"/>
    <x v="0"/>
    <x v="1"/>
    <n v="9"/>
    <s v="Medical"/>
    <s v="377"/>
    <x v="2"/>
    <x v="1"/>
    <n v="3"/>
    <n v="1"/>
    <x v="1"/>
    <x v="0"/>
    <x v="1"/>
    <n v="2070"/>
    <x v="1"/>
    <x v="1"/>
    <n v="4"/>
    <n v="5"/>
    <n v="2"/>
    <x v="8"/>
    <n v="2"/>
    <n v="0"/>
    <n v="4"/>
    <x v="2"/>
    <x v="1"/>
    <x v="1"/>
  </r>
  <r>
    <n v="37"/>
    <s v="No"/>
    <n v="0"/>
    <x v="0"/>
    <x v="0"/>
    <n v="6"/>
    <s v="Medical"/>
    <s v="378"/>
    <x v="1"/>
    <x v="1"/>
    <n v="3"/>
    <n v="2"/>
    <x v="0"/>
    <x v="0"/>
    <x v="1"/>
    <n v="6502"/>
    <x v="0"/>
    <x v="1"/>
    <n v="3"/>
    <n v="7"/>
    <n v="4"/>
    <x v="8"/>
    <n v="4"/>
    <n v="0"/>
    <n v="1"/>
    <x v="0"/>
    <x v="0"/>
    <x v="1"/>
  </r>
  <r>
    <n v="21"/>
    <s v="No"/>
    <n v="0"/>
    <x v="0"/>
    <x v="1"/>
    <n v="3"/>
    <s v="Medical"/>
    <s v="379"/>
    <x v="2"/>
    <x v="1"/>
    <n v="2"/>
    <n v="1"/>
    <x v="1"/>
    <x v="2"/>
    <x v="0"/>
    <n v="3230"/>
    <x v="1"/>
    <x v="1"/>
    <n v="3"/>
    <n v="3"/>
    <n v="4"/>
    <x v="11"/>
    <n v="2"/>
    <n v="1"/>
    <n v="0"/>
    <x v="3"/>
    <x v="1"/>
    <x v="1"/>
  </r>
  <r>
    <n v="37"/>
    <s v="No"/>
    <n v="0"/>
    <x v="2"/>
    <x v="1"/>
    <n v="1"/>
    <s v="Medical"/>
    <s v="380"/>
    <x v="3"/>
    <x v="0"/>
    <n v="3"/>
    <n v="3"/>
    <x v="7"/>
    <x v="0"/>
    <x v="2"/>
    <n v="13603"/>
    <x v="2"/>
    <x v="0"/>
    <n v="3"/>
    <n v="15"/>
    <n v="3"/>
    <x v="8"/>
    <n v="2"/>
    <n v="0"/>
    <n v="2"/>
    <x v="0"/>
    <x v="0"/>
    <x v="1"/>
  </r>
  <r>
    <n v="35"/>
    <s v="No"/>
    <n v="0"/>
    <x v="0"/>
    <x v="1"/>
    <n v="22"/>
    <s v="Life Sciences"/>
    <s v="381"/>
    <x v="0"/>
    <x v="0"/>
    <n v="4"/>
    <n v="3"/>
    <x v="5"/>
    <x v="1"/>
    <x v="2"/>
    <n v="11996"/>
    <x v="0"/>
    <x v="1"/>
    <n v="3"/>
    <n v="10"/>
    <n v="2"/>
    <x v="5"/>
    <n v="7"/>
    <n v="6"/>
    <n v="2"/>
    <x v="2"/>
    <x v="0"/>
    <x v="0"/>
  </r>
  <r>
    <n v="38"/>
    <s v="No"/>
    <n v="0"/>
    <x v="0"/>
    <x v="0"/>
    <n v="7"/>
    <s v="Medical"/>
    <s v="382"/>
    <x v="3"/>
    <x v="0"/>
    <n v="4"/>
    <n v="2"/>
    <x v="0"/>
    <x v="3"/>
    <x v="2"/>
    <n v="5605"/>
    <x v="0"/>
    <x v="0"/>
    <n v="4"/>
    <n v="8"/>
    <n v="3"/>
    <x v="3"/>
    <n v="0"/>
    <n v="7"/>
    <n v="7"/>
    <x v="0"/>
    <x v="0"/>
    <x v="0"/>
  </r>
  <r>
    <n v="26"/>
    <s v="No"/>
    <n v="0"/>
    <x v="1"/>
    <x v="1"/>
    <n v="1"/>
    <s v="Life Sciences"/>
    <s v="384"/>
    <x v="1"/>
    <x v="0"/>
    <n v="3"/>
    <n v="2"/>
    <x v="3"/>
    <x v="1"/>
    <x v="2"/>
    <n v="6397"/>
    <x v="0"/>
    <x v="1"/>
    <n v="4"/>
    <n v="6"/>
    <n v="1"/>
    <x v="0"/>
    <n v="5"/>
    <n v="1"/>
    <n v="4"/>
    <x v="2"/>
    <x v="0"/>
    <x v="0"/>
  </r>
  <r>
    <n v="50"/>
    <s v="No"/>
    <n v="0"/>
    <x v="0"/>
    <x v="1"/>
    <n v="4"/>
    <s v="Life Sciences"/>
    <s v="385"/>
    <x v="3"/>
    <x v="1"/>
    <n v="3"/>
    <n v="5"/>
    <x v="7"/>
    <x v="1"/>
    <x v="2"/>
    <n v="19144"/>
    <x v="2"/>
    <x v="1"/>
    <n v="3"/>
    <n v="28"/>
    <n v="2"/>
    <x v="1"/>
    <n v="4"/>
    <n v="1"/>
    <n v="6"/>
    <x v="1"/>
    <x v="2"/>
    <x v="0"/>
  </r>
  <r>
    <n v="53"/>
    <s v="No"/>
    <n v="0"/>
    <x v="0"/>
    <x v="1"/>
    <n v="3"/>
    <s v="Medical"/>
    <s v="386"/>
    <x v="1"/>
    <x v="1"/>
    <n v="3"/>
    <n v="4"/>
    <x v="7"/>
    <x v="2"/>
    <x v="1"/>
    <n v="17584"/>
    <x v="2"/>
    <x v="0"/>
    <n v="3"/>
    <n v="21"/>
    <n v="2"/>
    <x v="8"/>
    <n v="3"/>
    <n v="1"/>
    <n v="3"/>
    <x v="1"/>
    <x v="2"/>
    <x v="1"/>
  </r>
  <r>
    <n v="42"/>
    <s v="No"/>
    <n v="0"/>
    <x v="0"/>
    <x v="0"/>
    <n v="1"/>
    <s v="Life Sciences"/>
    <s v="387"/>
    <x v="0"/>
    <x v="1"/>
    <n v="3"/>
    <n v="2"/>
    <x v="0"/>
    <x v="2"/>
    <x v="1"/>
    <n v="4907"/>
    <x v="1"/>
    <x v="1"/>
    <n v="4"/>
    <n v="20"/>
    <n v="3"/>
    <x v="23"/>
    <n v="16"/>
    <n v="11"/>
    <n v="6"/>
    <x v="0"/>
    <x v="2"/>
    <x v="2"/>
  </r>
  <r>
    <n v="29"/>
    <s v="No"/>
    <n v="0"/>
    <x v="1"/>
    <x v="0"/>
    <n v="2"/>
    <s v="Life Sciences"/>
    <s v="388"/>
    <x v="0"/>
    <x v="1"/>
    <n v="3"/>
    <n v="2"/>
    <x v="0"/>
    <x v="0"/>
    <x v="0"/>
    <n v="4554"/>
    <x v="1"/>
    <x v="1"/>
    <n v="3"/>
    <n v="10"/>
    <n v="2"/>
    <x v="1"/>
    <n v="7"/>
    <n v="0"/>
    <n v="9"/>
    <x v="2"/>
    <x v="0"/>
    <x v="0"/>
  </r>
  <r>
    <n v="55"/>
    <s v="No"/>
    <n v="0"/>
    <x v="0"/>
    <x v="1"/>
    <n v="20"/>
    <s v="Technical Degree"/>
    <s v="389"/>
    <x v="0"/>
    <x v="1"/>
    <n v="3"/>
    <n v="2"/>
    <x v="2"/>
    <x v="0"/>
    <x v="1"/>
    <n v="5415"/>
    <x v="0"/>
    <x v="0"/>
    <n v="3"/>
    <n v="12"/>
    <n v="3"/>
    <x v="1"/>
    <n v="7"/>
    <n v="0"/>
    <n v="8"/>
    <x v="1"/>
    <x v="0"/>
    <x v="0"/>
  </r>
  <r>
    <n v="26"/>
    <s v="No"/>
    <n v="0"/>
    <x v="1"/>
    <x v="1"/>
    <n v="11"/>
    <s v="Medical"/>
    <s v="390"/>
    <x v="3"/>
    <x v="1"/>
    <n v="3"/>
    <n v="2"/>
    <x v="4"/>
    <x v="3"/>
    <x v="1"/>
    <n v="4741"/>
    <x v="1"/>
    <x v="0"/>
    <n v="3"/>
    <n v="5"/>
    <n v="3"/>
    <x v="8"/>
    <n v="3"/>
    <n v="3"/>
    <n v="3"/>
    <x v="2"/>
    <x v="1"/>
    <x v="1"/>
  </r>
  <r>
    <n v="37"/>
    <s v="No"/>
    <n v="0"/>
    <x v="0"/>
    <x v="1"/>
    <n v="1"/>
    <s v="Life Sciences"/>
    <s v="391"/>
    <x v="2"/>
    <x v="0"/>
    <n v="3"/>
    <n v="1"/>
    <x v="1"/>
    <x v="0"/>
    <x v="0"/>
    <n v="2115"/>
    <x v="1"/>
    <x v="1"/>
    <n v="3"/>
    <n v="17"/>
    <n v="3"/>
    <x v="18"/>
    <n v="12"/>
    <n v="5"/>
    <n v="7"/>
    <x v="0"/>
    <x v="2"/>
    <x v="2"/>
  </r>
  <r>
    <n v="44"/>
    <s v="Yes"/>
    <n v="1"/>
    <x v="1"/>
    <x v="1"/>
    <n v="24"/>
    <s v="Life Sciences"/>
    <s v="392"/>
    <x v="2"/>
    <x v="1"/>
    <n v="3"/>
    <n v="1"/>
    <x v="2"/>
    <x v="2"/>
    <x v="2"/>
    <n v="3161"/>
    <x v="1"/>
    <x v="0"/>
    <n v="4"/>
    <n v="19"/>
    <n v="1"/>
    <x v="6"/>
    <n v="0"/>
    <n v="0"/>
    <n v="0"/>
    <x v="0"/>
    <x v="2"/>
    <x v="1"/>
  </r>
  <r>
    <n v="38"/>
    <s v="No"/>
    <n v="0"/>
    <x v="0"/>
    <x v="1"/>
    <n v="23"/>
    <s v="Life Sciences"/>
    <s v="393"/>
    <x v="2"/>
    <x v="1"/>
    <n v="3"/>
    <n v="2"/>
    <x v="4"/>
    <x v="0"/>
    <x v="2"/>
    <n v="5745"/>
    <x v="0"/>
    <x v="1"/>
    <n v="3"/>
    <n v="10"/>
    <n v="3"/>
    <x v="4"/>
    <n v="2"/>
    <n v="1"/>
    <n v="2"/>
    <x v="0"/>
    <x v="0"/>
    <x v="1"/>
  </r>
  <r>
    <n v="26"/>
    <s v="Yes"/>
    <n v="1"/>
    <x v="0"/>
    <x v="1"/>
    <n v="16"/>
    <s v="Medical"/>
    <s v="394"/>
    <x v="3"/>
    <x v="1"/>
    <n v="3"/>
    <n v="1"/>
    <x v="2"/>
    <x v="1"/>
    <x v="2"/>
    <n v="2373"/>
    <x v="1"/>
    <x v="0"/>
    <n v="3"/>
    <n v="5"/>
    <n v="3"/>
    <x v="11"/>
    <n v="2"/>
    <n v="0"/>
    <n v="2"/>
    <x v="2"/>
    <x v="1"/>
    <x v="1"/>
  </r>
  <r>
    <n v="28"/>
    <s v="No"/>
    <n v="0"/>
    <x v="0"/>
    <x v="1"/>
    <n v="8"/>
    <s v="Life Sciences"/>
    <s v="395"/>
    <x v="2"/>
    <x v="0"/>
    <n v="3"/>
    <n v="1"/>
    <x v="1"/>
    <x v="0"/>
    <x v="0"/>
    <n v="3310"/>
    <x v="1"/>
    <x v="1"/>
    <n v="4"/>
    <n v="5"/>
    <n v="3"/>
    <x v="8"/>
    <n v="3"/>
    <n v="0"/>
    <n v="2"/>
    <x v="2"/>
    <x v="1"/>
    <x v="1"/>
  </r>
  <r>
    <n v="49"/>
    <s v="No"/>
    <n v="0"/>
    <x v="1"/>
    <x v="1"/>
    <n v="10"/>
    <s v="Life Sciences"/>
    <s v="396"/>
    <x v="1"/>
    <x v="0"/>
    <n v="3"/>
    <n v="5"/>
    <x v="7"/>
    <x v="3"/>
    <x v="0"/>
    <n v="18665"/>
    <x v="2"/>
    <x v="0"/>
    <n v="3"/>
    <n v="22"/>
    <n v="3"/>
    <x v="11"/>
    <n v="2"/>
    <n v="1"/>
    <n v="2"/>
    <x v="1"/>
    <x v="2"/>
    <x v="1"/>
  </r>
  <r>
    <n v="36"/>
    <s v="No"/>
    <n v="0"/>
    <x v="0"/>
    <x v="1"/>
    <n v="3"/>
    <s v="Technical Degree"/>
    <s v="397"/>
    <x v="1"/>
    <x v="1"/>
    <n v="3"/>
    <n v="2"/>
    <x v="1"/>
    <x v="1"/>
    <x v="0"/>
    <n v="4485"/>
    <x v="1"/>
    <x v="1"/>
    <n v="3"/>
    <n v="10"/>
    <n v="3"/>
    <x v="3"/>
    <n v="0"/>
    <n v="7"/>
    <n v="7"/>
    <x v="0"/>
    <x v="0"/>
    <x v="0"/>
  </r>
  <r>
    <n v="31"/>
    <s v="No"/>
    <n v="0"/>
    <x v="1"/>
    <x v="0"/>
    <n v="5"/>
    <s v="Marketing"/>
    <s v="399"/>
    <x v="2"/>
    <x v="0"/>
    <n v="3"/>
    <n v="1"/>
    <x v="6"/>
    <x v="1"/>
    <x v="2"/>
    <n v="2789"/>
    <x v="1"/>
    <x v="1"/>
    <n v="3"/>
    <n v="2"/>
    <n v="2"/>
    <x v="4"/>
    <n v="2"/>
    <n v="2"/>
    <n v="2"/>
    <x v="2"/>
    <x v="1"/>
    <x v="1"/>
  </r>
  <r>
    <n v="26"/>
    <s v="Yes"/>
    <n v="1"/>
    <x v="0"/>
    <x v="0"/>
    <n v="4"/>
    <s v="Marketing"/>
    <s v="401"/>
    <x v="2"/>
    <x v="1"/>
    <n v="2"/>
    <n v="2"/>
    <x v="0"/>
    <x v="0"/>
    <x v="0"/>
    <n v="5828"/>
    <x v="0"/>
    <x v="0"/>
    <n v="3"/>
    <n v="8"/>
    <n v="3"/>
    <x v="3"/>
    <n v="7"/>
    <n v="7"/>
    <n v="4"/>
    <x v="2"/>
    <x v="0"/>
    <x v="0"/>
  </r>
  <r>
    <n v="37"/>
    <s v="No"/>
    <n v="0"/>
    <x v="1"/>
    <x v="1"/>
    <n v="9"/>
    <s v="Medical"/>
    <s v="403"/>
    <x v="0"/>
    <x v="1"/>
    <n v="3"/>
    <n v="1"/>
    <x v="1"/>
    <x v="0"/>
    <x v="1"/>
    <n v="2326"/>
    <x v="1"/>
    <x v="0"/>
    <n v="3"/>
    <n v="4"/>
    <n v="2"/>
    <x v="9"/>
    <n v="2"/>
    <n v="1"/>
    <n v="2"/>
    <x v="0"/>
    <x v="1"/>
    <x v="1"/>
  </r>
  <r>
    <n v="42"/>
    <s v="No"/>
    <n v="0"/>
    <x v="1"/>
    <x v="0"/>
    <n v="26"/>
    <s v="Marketing"/>
    <s v="404"/>
    <x v="1"/>
    <x v="0"/>
    <n v="3"/>
    <n v="4"/>
    <x v="0"/>
    <x v="1"/>
    <x v="1"/>
    <n v="13525"/>
    <x v="2"/>
    <x v="1"/>
    <n v="3"/>
    <n v="23"/>
    <n v="4"/>
    <x v="23"/>
    <n v="4"/>
    <n v="4"/>
    <n v="8"/>
    <x v="0"/>
    <x v="2"/>
    <x v="2"/>
  </r>
  <r>
    <n v="18"/>
    <s v="Yes"/>
    <n v="1"/>
    <x v="0"/>
    <x v="1"/>
    <n v="3"/>
    <s v="Life Sciences"/>
    <s v="405"/>
    <x v="1"/>
    <x v="1"/>
    <n v="3"/>
    <n v="1"/>
    <x v="2"/>
    <x v="2"/>
    <x v="0"/>
    <n v="1420"/>
    <x v="1"/>
    <x v="1"/>
    <n v="3"/>
    <n v="0"/>
    <n v="3"/>
    <x v="2"/>
    <n v="0"/>
    <n v="0"/>
    <n v="0"/>
    <x v="3"/>
    <x v="1"/>
    <x v="1"/>
  </r>
  <r>
    <n v="35"/>
    <s v="No"/>
    <n v="0"/>
    <x v="0"/>
    <x v="0"/>
    <n v="16"/>
    <s v="Marketing"/>
    <s v="406"/>
    <x v="1"/>
    <x v="1"/>
    <n v="3"/>
    <n v="3"/>
    <x v="0"/>
    <x v="1"/>
    <x v="1"/>
    <n v="8020"/>
    <x v="0"/>
    <x v="1"/>
    <n v="3"/>
    <n v="12"/>
    <n v="2"/>
    <x v="19"/>
    <n v="9"/>
    <n v="6"/>
    <n v="9"/>
    <x v="2"/>
    <x v="0"/>
    <x v="2"/>
  </r>
  <r>
    <n v="36"/>
    <s v="No"/>
    <n v="0"/>
    <x v="1"/>
    <x v="1"/>
    <n v="18"/>
    <s v="Life Sciences"/>
    <s v="407"/>
    <x v="1"/>
    <x v="1"/>
    <n v="4"/>
    <n v="1"/>
    <x v="2"/>
    <x v="0"/>
    <x v="1"/>
    <n v="3688"/>
    <x v="1"/>
    <x v="1"/>
    <n v="3"/>
    <n v="4"/>
    <n v="3"/>
    <x v="6"/>
    <n v="0"/>
    <n v="0"/>
    <n v="0"/>
    <x v="0"/>
    <x v="1"/>
    <x v="1"/>
  </r>
  <r>
    <n v="51"/>
    <s v="No"/>
    <n v="0"/>
    <x v="0"/>
    <x v="1"/>
    <n v="2"/>
    <s v="Medical"/>
    <s v="408"/>
    <x v="2"/>
    <x v="1"/>
    <n v="1"/>
    <n v="2"/>
    <x v="3"/>
    <x v="1"/>
    <x v="2"/>
    <n v="5482"/>
    <x v="0"/>
    <x v="1"/>
    <n v="3"/>
    <n v="13"/>
    <n v="3"/>
    <x v="9"/>
    <n v="1"/>
    <n v="1"/>
    <n v="2"/>
    <x v="1"/>
    <x v="0"/>
    <x v="1"/>
  </r>
  <r>
    <n v="41"/>
    <s v="No"/>
    <n v="0"/>
    <x v="0"/>
    <x v="0"/>
    <n v="2"/>
    <s v="Life Sciences"/>
    <s v="410"/>
    <x v="2"/>
    <x v="1"/>
    <n v="3"/>
    <n v="4"/>
    <x v="5"/>
    <x v="1"/>
    <x v="0"/>
    <n v="16015"/>
    <x v="2"/>
    <x v="1"/>
    <n v="3"/>
    <n v="22"/>
    <n v="3"/>
    <x v="14"/>
    <n v="10"/>
    <n v="0"/>
    <n v="4"/>
    <x v="0"/>
    <x v="2"/>
    <x v="2"/>
  </r>
  <r>
    <n v="18"/>
    <s v="No"/>
    <n v="0"/>
    <x v="0"/>
    <x v="0"/>
    <n v="10"/>
    <s v="Medical"/>
    <s v="411"/>
    <x v="2"/>
    <x v="0"/>
    <n v="2"/>
    <n v="1"/>
    <x v="6"/>
    <x v="2"/>
    <x v="0"/>
    <n v="1200"/>
    <x v="1"/>
    <x v="1"/>
    <n v="3"/>
    <n v="0"/>
    <n v="3"/>
    <x v="2"/>
    <n v="0"/>
    <n v="0"/>
    <n v="0"/>
    <x v="3"/>
    <x v="1"/>
    <x v="1"/>
  </r>
  <r>
    <n v="28"/>
    <s v="No"/>
    <n v="0"/>
    <x v="0"/>
    <x v="1"/>
    <n v="16"/>
    <s v="Medical"/>
    <s v="412"/>
    <x v="0"/>
    <x v="1"/>
    <n v="4"/>
    <n v="2"/>
    <x v="4"/>
    <x v="3"/>
    <x v="0"/>
    <n v="5661"/>
    <x v="0"/>
    <x v="1"/>
    <n v="3"/>
    <n v="9"/>
    <n v="3"/>
    <x v="3"/>
    <n v="3"/>
    <n v="0"/>
    <n v="7"/>
    <x v="2"/>
    <x v="0"/>
    <x v="0"/>
  </r>
  <r>
    <n v="31"/>
    <s v="No"/>
    <n v="0"/>
    <x v="0"/>
    <x v="0"/>
    <n v="7"/>
    <s v="Technical Degree"/>
    <s v="416"/>
    <x v="0"/>
    <x v="1"/>
    <n v="4"/>
    <n v="2"/>
    <x v="0"/>
    <x v="0"/>
    <x v="1"/>
    <n v="6929"/>
    <x v="0"/>
    <x v="1"/>
    <n v="3"/>
    <n v="10"/>
    <n v="2"/>
    <x v="3"/>
    <n v="7"/>
    <n v="7"/>
    <n v="7"/>
    <x v="2"/>
    <x v="0"/>
    <x v="0"/>
  </r>
  <r>
    <n v="39"/>
    <s v="No"/>
    <n v="0"/>
    <x v="0"/>
    <x v="1"/>
    <n v="1"/>
    <s v="Medical"/>
    <s v="417"/>
    <x v="1"/>
    <x v="1"/>
    <n v="4"/>
    <n v="3"/>
    <x v="4"/>
    <x v="0"/>
    <x v="2"/>
    <n v="9613"/>
    <x v="0"/>
    <x v="1"/>
    <n v="3"/>
    <n v="19"/>
    <n v="2"/>
    <x v="29"/>
    <n v="10"/>
    <n v="3"/>
    <n v="7"/>
    <x v="0"/>
    <x v="2"/>
    <x v="2"/>
  </r>
  <r>
    <n v="36"/>
    <s v="No"/>
    <n v="0"/>
    <x v="2"/>
    <x v="1"/>
    <n v="24"/>
    <s v="Life Sciences"/>
    <s v="419"/>
    <x v="0"/>
    <x v="0"/>
    <n v="3"/>
    <n v="2"/>
    <x v="2"/>
    <x v="1"/>
    <x v="1"/>
    <n v="5674"/>
    <x v="0"/>
    <x v="1"/>
    <n v="3"/>
    <n v="11"/>
    <n v="3"/>
    <x v="7"/>
    <n v="8"/>
    <n v="0"/>
    <n v="8"/>
    <x v="0"/>
    <x v="0"/>
    <x v="0"/>
  </r>
  <r>
    <n v="32"/>
    <s v="No"/>
    <n v="0"/>
    <x v="0"/>
    <x v="0"/>
    <n v="7"/>
    <s v="Life Sciences"/>
    <s v="420"/>
    <x v="2"/>
    <x v="1"/>
    <n v="2"/>
    <n v="2"/>
    <x v="0"/>
    <x v="2"/>
    <x v="1"/>
    <n v="5484"/>
    <x v="0"/>
    <x v="1"/>
    <n v="3"/>
    <n v="13"/>
    <n v="2"/>
    <x v="20"/>
    <n v="8"/>
    <n v="4"/>
    <n v="8"/>
    <x v="2"/>
    <x v="0"/>
    <x v="2"/>
  </r>
  <r>
    <n v="38"/>
    <s v="No"/>
    <n v="0"/>
    <x v="0"/>
    <x v="1"/>
    <n v="25"/>
    <s v="Life Sciences"/>
    <s v="421"/>
    <x v="3"/>
    <x v="0"/>
    <n v="2"/>
    <n v="3"/>
    <x v="7"/>
    <x v="1"/>
    <x v="1"/>
    <n v="12061"/>
    <x v="2"/>
    <x v="1"/>
    <n v="3"/>
    <n v="19"/>
    <n v="3"/>
    <x v="1"/>
    <n v="8"/>
    <n v="0"/>
    <n v="1"/>
    <x v="0"/>
    <x v="2"/>
    <x v="0"/>
  </r>
  <r>
    <n v="58"/>
    <s v="No"/>
    <n v="0"/>
    <x v="2"/>
    <x v="1"/>
    <n v="1"/>
    <s v="Life Sciences"/>
    <s v="422"/>
    <x v="2"/>
    <x v="1"/>
    <n v="1"/>
    <n v="2"/>
    <x v="4"/>
    <x v="2"/>
    <x v="2"/>
    <n v="5660"/>
    <x v="0"/>
    <x v="0"/>
    <n v="3"/>
    <n v="12"/>
    <n v="3"/>
    <x v="8"/>
    <n v="3"/>
    <n v="1"/>
    <n v="2"/>
    <x v="1"/>
    <x v="0"/>
    <x v="1"/>
  </r>
  <r>
    <n v="31"/>
    <s v="No"/>
    <n v="0"/>
    <x v="0"/>
    <x v="1"/>
    <n v="5"/>
    <s v="Technical Degree"/>
    <s v="423"/>
    <x v="1"/>
    <x v="1"/>
    <n v="3"/>
    <n v="1"/>
    <x v="1"/>
    <x v="0"/>
    <x v="1"/>
    <n v="4821"/>
    <x v="1"/>
    <x v="0"/>
    <n v="3"/>
    <n v="6"/>
    <n v="3"/>
    <x v="8"/>
    <n v="2"/>
    <n v="0"/>
    <n v="3"/>
    <x v="2"/>
    <x v="0"/>
    <x v="1"/>
  </r>
  <r>
    <n v="31"/>
    <s v="No"/>
    <n v="0"/>
    <x v="0"/>
    <x v="2"/>
    <n v="2"/>
    <s v="Human Resources"/>
    <s v="424"/>
    <x v="3"/>
    <x v="1"/>
    <n v="2"/>
    <n v="2"/>
    <x v="8"/>
    <x v="3"/>
    <x v="1"/>
    <n v="6410"/>
    <x v="0"/>
    <x v="1"/>
    <n v="3"/>
    <n v="9"/>
    <n v="3"/>
    <x v="4"/>
    <n v="2"/>
    <n v="1"/>
    <n v="0"/>
    <x v="2"/>
    <x v="0"/>
    <x v="1"/>
  </r>
  <r>
    <n v="45"/>
    <s v="No"/>
    <n v="0"/>
    <x v="1"/>
    <x v="1"/>
    <n v="7"/>
    <s v="Life Sciences"/>
    <s v="425"/>
    <x v="3"/>
    <x v="1"/>
    <n v="3"/>
    <n v="3"/>
    <x v="2"/>
    <x v="3"/>
    <x v="2"/>
    <n v="5210"/>
    <x v="0"/>
    <x v="1"/>
    <n v="3"/>
    <n v="24"/>
    <n v="3"/>
    <x v="25"/>
    <n v="9"/>
    <n v="9"/>
    <n v="11"/>
    <x v="0"/>
    <x v="2"/>
    <x v="2"/>
  </r>
  <r>
    <n v="31"/>
    <s v="No"/>
    <n v="0"/>
    <x v="0"/>
    <x v="1"/>
    <n v="2"/>
    <s v="Life Sciences"/>
    <s v="426"/>
    <x v="1"/>
    <x v="1"/>
    <n v="3"/>
    <n v="1"/>
    <x v="1"/>
    <x v="0"/>
    <x v="2"/>
    <n v="2695"/>
    <x v="1"/>
    <x v="0"/>
    <n v="3"/>
    <n v="3"/>
    <n v="1"/>
    <x v="4"/>
    <n v="2"/>
    <n v="2"/>
    <n v="2"/>
    <x v="2"/>
    <x v="1"/>
    <x v="1"/>
  </r>
  <r>
    <n v="33"/>
    <s v="No"/>
    <n v="0"/>
    <x v="1"/>
    <x v="1"/>
    <n v="5"/>
    <s v="Life Sciences"/>
    <s v="428"/>
    <x v="2"/>
    <x v="0"/>
    <n v="3"/>
    <n v="3"/>
    <x v="5"/>
    <x v="1"/>
    <x v="1"/>
    <n v="11878"/>
    <x v="0"/>
    <x v="1"/>
    <n v="3"/>
    <n v="12"/>
    <n v="3"/>
    <x v="1"/>
    <n v="6"/>
    <n v="8"/>
    <n v="8"/>
    <x v="2"/>
    <x v="0"/>
    <x v="0"/>
  </r>
  <r>
    <n v="39"/>
    <s v="No"/>
    <n v="0"/>
    <x v="0"/>
    <x v="1"/>
    <n v="10"/>
    <s v="Medical"/>
    <s v="429"/>
    <x v="1"/>
    <x v="1"/>
    <n v="3"/>
    <n v="4"/>
    <x v="5"/>
    <x v="3"/>
    <x v="1"/>
    <n v="17068"/>
    <x v="2"/>
    <x v="0"/>
    <n v="3"/>
    <n v="21"/>
    <n v="3"/>
    <x v="17"/>
    <n v="9"/>
    <n v="11"/>
    <n v="10"/>
    <x v="0"/>
    <x v="2"/>
    <x v="2"/>
  </r>
  <r>
    <n v="43"/>
    <s v="No"/>
    <n v="0"/>
    <x v="1"/>
    <x v="1"/>
    <n v="10"/>
    <s v="Life Sciences"/>
    <s v="430"/>
    <x v="1"/>
    <x v="0"/>
    <n v="3"/>
    <n v="1"/>
    <x v="2"/>
    <x v="0"/>
    <x v="0"/>
    <n v="2455"/>
    <x v="1"/>
    <x v="1"/>
    <n v="3"/>
    <n v="9"/>
    <n v="3"/>
    <x v="3"/>
    <n v="7"/>
    <n v="1"/>
    <n v="7"/>
    <x v="0"/>
    <x v="0"/>
    <x v="0"/>
  </r>
  <r>
    <n v="49"/>
    <s v="No"/>
    <n v="0"/>
    <x v="0"/>
    <x v="1"/>
    <n v="1"/>
    <s v="Technical Degree"/>
    <s v="431"/>
    <x v="1"/>
    <x v="0"/>
    <n v="2"/>
    <n v="4"/>
    <x v="4"/>
    <x v="2"/>
    <x v="0"/>
    <n v="13964"/>
    <x v="2"/>
    <x v="0"/>
    <n v="3"/>
    <n v="25"/>
    <n v="3"/>
    <x v="5"/>
    <n v="1"/>
    <n v="0"/>
    <n v="7"/>
    <x v="1"/>
    <x v="2"/>
    <x v="0"/>
  </r>
  <r>
    <n v="52"/>
    <s v="Yes"/>
    <n v="1"/>
    <x v="0"/>
    <x v="1"/>
    <n v="8"/>
    <s v="Medical"/>
    <s v="433"/>
    <x v="1"/>
    <x v="1"/>
    <n v="2"/>
    <n v="2"/>
    <x v="1"/>
    <x v="1"/>
    <x v="1"/>
    <n v="4941"/>
    <x v="1"/>
    <x v="1"/>
    <n v="3"/>
    <n v="11"/>
    <n v="2"/>
    <x v="3"/>
    <n v="2"/>
    <n v="7"/>
    <n v="7"/>
    <x v="1"/>
    <x v="0"/>
    <x v="0"/>
  </r>
  <r>
    <n v="27"/>
    <s v="No"/>
    <n v="0"/>
    <x v="0"/>
    <x v="1"/>
    <n v="5"/>
    <s v="Life Sciences"/>
    <s v="434"/>
    <x v="1"/>
    <x v="0"/>
    <n v="3"/>
    <n v="1"/>
    <x v="1"/>
    <x v="1"/>
    <x v="0"/>
    <n v="2478"/>
    <x v="1"/>
    <x v="0"/>
    <n v="3"/>
    <n v="4"/>
    <n v="2"/>
    <x v="9"/>
    <n v="3"/>
    <n v="1"/>
    <n v="2"/>
    <x v="2"/>
    <x v="1"/>
    <x v="1"/>
  </r>
  <r>
    <n v="32"/>
    <s v="No"/>
    <n v="0"/>
    <x v="0"/>
    <x v="0"/>
    <n v="8"/>
    <s v="Technical Degree"/>
    <s v="436"/>
    <x v="1"/>
    <x v="0"/>
    <n v="2"/>
    <n v="2"/>
    <x v="0"/>
    <x v="1"/>
    <x v="1"/>
    <n v="5228"/>
    <x v="0"/>
    <x v="0"/>
    <n v="3"/>
    <n v="13"/>
    <n v="3"/>
    <x v="20"/>
    <n v="12"/>
    <n v="11"/>
    <n v="9"/>
    <x v="2"/>
    <x v="0"/>
    <x v="2"/>
  </r>
  <r>
    <n v="27"/>
    <s v="No"/>
    <n v="0"/>
    <x v="0"/>
    <x v="0"/>
    <n v="2"/>
    <s v="Life Sciences"/>
    <s v="437"/>
    <x v="2"/>
    <x v="1"/>
    <n v="3"/>
    <n v="2"/>
    <x v="0"/>
    <x v="2"/>
    <x v="0"/>
    <n v="4478"/>
    <x v="1"/>
    <x v="0"/>
    <n v="3"/>
    <n v="5"/>
    <n v="3"/>
    <x v="8"/>
    <n v="4"/>
    <n v="0"/>
    <n v="4"/>
    <x v="2"/>
    <x v="1"/>
    <x v="1"/>
  </r>
  <r>
    <n v="31"/>
    <s v="No"/>
    <n v="0"/>
    <x v="0"/>
    <x v="0"/>
    <n v="7"/>
    <s v="Marketing"/>
    <s v="438"/>
    <x v="2"/>
    <x v="1"/>
    <n v="3"/>
    <n v="2"/>
    <x v="0"/>
    <x v="0"/>
    <x v="2"/>
    <n v="7547"/>
    <x v="0"/>
    <x v="1"/>
    <n v="3"/>
    <n v="13"/>
    <n v="3"/>
    <x v="5"/>
    <n v="7"/>
    <n v="1"/>
    <n v="7"/>
    <x v="2"/>
    <x v="0"/>
    <x v="0"/>
  </r>
  <r>
    <n v="32"/>
    <s v="No"/>
    <n v="0"/>
    <x v="0"/>
    <x v="1"/>
    <n v="2"/>
    <s v="Medical"/>
    <s v="439"/>
    <x v="3"/>
    <x v="0"/>
    <n v="4"/>
    <n v="2"/>
    <x v="1"/>
    <x v="0"/>
    <x v="0"/>
    <n v="5055"/>
    <x v="0"/>
    <x v="1"/>
    <n v="3"/>
    <n v="10"/>
    <n v="2"/>
    <x v="5"/>
    <n v="7"/>
    <n v="0"/>
    <n v="7"/>
    <x v="2"/>
    <x v="0"/>
    <x v="0"/>
  </r>
  <r>
    <n v="28"/>
    <s v="Yes"/>
    <n v="1"/>
    <x v="0"/>
    <x v="1"/>
    <n v="2"/>
    <s v="Medical"/>
    <s v="440"/>
    <x v="3"/>
    <x v="1"/>
    <n v="1"/>
    <n v="1"/>
    <x v="1"/>
    <x v="0"/>
    <x v="1"/>
    <n v="3464"/>
    <x v="1"/>
    <x v="0"/>
    <n v="3"/>
    <n v="5"/>
    <n v="2"/>
    <x v="11"/>
    <n v="2"/>
    <n v="2"/>
    <n v="2"/>
    <x v="2"/>
    <x v="1"/>
    <x v="1"/>
  </r>
  <r>
    <n v="30"/>
    <s v="No"/>
    <n v="0"/>
    <x v="0"/>
    <x v="1"/>
    <n v="28"/>
    <s v="Medical"/>
    <s v="441"/>
    <x v="2"/>
    <x v="0"/>
    <n v="3"/>
    <n v="2"/>
    <x v="1"/>
    <x v="0"/>
    <x v="1"/>
    <n v="5775"/>
    <x v="0"/>
    <x v="1"/>
    <n v="3"/>
    <n v="11"/>
    <n v="3"/>
    <x v="1"/>
    <n v="8"/>
    <n v="1"/>
    <n v="9"/>
    <x v="2"/>
    <x v="0"/>
    <x v="0"/>
  </r>
  <r>
    <n v="31"/>
    <s v="No"/>
    <n v="0"/>
    <x v="1"/>
    <x v="1"/>
    <n v="7"/>
    <s v="Life Sciences"/>
    <s v="442"/>
    <x v="1"/>
    <x v="0"/>
    <n v="2"/>
    <n v="3"/>
    <x v="3"/>
    <x v="2"/>
    <x v="1"/>
    <n v="8943"/>
    <x v="0"/>
    <x v="1"/>
    <n v="4"/>
    <n v="10"/>
    <n v="3"/>
    <x v="1"/>
    <n v="9"/>
    <n v="8"/>
    <n v="9"/>
    <x v="2"/>
    <x v="0"/>
    <x v="0"/>
  </r>
  <r>
    <n v="39"/>
    <s v="No"/>
    <n v="0"/>
    <x v="1"/>
    <x v="1"/>
    <n v="7"/>
    <s v="Medical"/>
    <s v="444"/>
    <x v="1"/>
    <x v="1"/>
    <n v="2"/>
    <n v="5"/>
    <x v="5"/>
    <x v="0"/>
    <x v="1"/>
    <n v="19272"/>
    <x v="2"/>
    <x v="1"/>
    <n v="3"/>
    <n v="21"/>
    <n v="3"/>
    <x v="17"/>
    <n v="9"/>
    <n v="13"/>
    <n v="3"/>
    <x v="0"/>
    <x v="2"/>
    <x v="2"/>
  </r>
  <r>
    <n v="39"/>
    <s v="Yes"/>
    <n v="1"/>
    <x v="0"/>
    <x v="0"/>
    <n v="3"/>
    <s v="Medical"/>
    <s v="445"/>
    <x v="2"/>
    <x v="0"/>
    <n v="3"/>
    <n v="2"/>
    <x v="0"/>
    <x v="2"/>
    <x v="1"/>
    <n v="5238"/>
    <x v="0"/>
    <x v="0"/>
    <n v="3"/>
    <n v="12"/>
    <n v="2"/>
    <x v="6"/>
    <n v="0"/>
    <n v="0"/>
    <n v="0"/>
    <x v="0"/>
    <x v="0"/>
    <x v="1"/>
  </r>
  <r>
    <n v="33"/>
    <s v="No"/>
    <n v="0"/>
    <x v="1"/>
    <x v="0"/>
    <n v="10"/>
    <s v="Marketing"/>
    <s v="446"/>
    <x v="0"/>
    <x v="1"/>
    <n v="2"/>
    <n v="2"/>
    <x v="0"/>
    <x v="0"/>
    <x v="0"/>
    <n v="4682"/>
    <x v="1"/>
    <x v="1"/>
    <n v="3"/>
    <n v="9"/>
    <n v="2"/>
    <x v="5"/>
    <n v="7"/>
    <n v="0"/>
    <n v="1"/>
    <x v="2"/>
    <x v="0"/>
    <x v="0"/>
  </r>
  <r>
    <n v="47"/>
    <s v="No"/>
    <n v="0"/>
    <x v="0"/>
    <x v="1"/>
    <n v="5"/>
    <s v="Life Sciences"/>
    <s v="447"/>
    <x v="2"/>
    <x v="1"/>
    <n v="3"/>
    <n v="5"/>
    <x v="7"/>
    <x v="2"/>
    <x v="1"/>
    <n v="18300"/>
    <x v="2"/>
    <x v="1"/>
    <n v="3"/>
    <n v="21"/>
    <n v="3"/>
    <x v="11"/>
    <n v="2"/>
    <n v="1"/>
    <n v="1"/>
    <x v="1"/>
    <x v="2"/>
    <x v="1"/>
  </r>
  <r>
    <n v="43"/>
    <s v="No"/>
    <n v="0"/>
    <x v="1"/>
    <x v="1"/>
    <n v="10"/>
    <s v="Life Sciences"/>
    <s v="448"/>
    <x v="1"/>
    <x v="0"/>
    <n v="2"/>
    <n v="2"/>
    <x v="2"/>
    <x v="2"/>
    <x v="2"/>
    <n v="5257"/>
    <x v="0"/>
    <x v="1"/>
    <n v="3"/>
    <n v="9"/>
    <n v="4"/>
    <x v="7"/>
    <n v="7"/>
    <n v="0"/>
    <n v="0"/>
    <x v="0"/>
    <x v="0"/>
    <x v="0"/>
  </r>
  <r>
    <n v="27"/>
    <s v="No"/>
    <n v="0"/>
    <x v="2"/>
    <x v="0"/>
    <n v="1"/>
    <s v="Marketing"/>
    <s v="449"/>
    <x v="1"/>
    <x v="1"/>
    <n v="3"/>
    <n v="2"/>
    <x v="0"/>
    <x v="1"/>
    <x v="1"/>
    <n v="6349"/>
    <x v="0"/>
    <x v="0"/>
    <n v="3"/>
    <n v="6"/>
    <n v="3"/>
    <x v="8"/>
    <n v="4"/>
    <n v="1"/>
    <n v="4"/>
    <x v="2"/>
    <x v="0"/>
    <x v="1"/>
  </r>
  <r>
    <n v="54"/>
    <s v="No"/>
    <n v="0"/>
    <x v="1"/>
    <x v="1"/>
    <n v="20"/>
    <s v="Life Sciences"/>
    <s v="450"/>
    <x v="2"/>
    <x v="0"/>
    <n v="3"/>
    <n v="2"/>
    <x v="1"/>
    <x v="2"/>
    <x v="0"/>
    <n v="4869"/>
    <x v="1"/>
    <x v="1"/>
    <n v="3"/>
    <n v="20"/>
    <n v="2"/>
    <x v="9"/>
    <n v="3"/>
    <n v="0"/>
    <n v="3"/>
    <x v="1"/>
    <x v="2"/>
    <x v="1"/>
  </r>
  <r>
    <n v="43"/>
    <s v="No"/>
    <n v="0"/>
    <x v="0"/>
    <x v="1"/>
    <n v="7"/>
    <s v="Life Sciences"/>
    <s v="451"/>
    <x v="1"/>
    <x v="0"/>
    <n v="3"/>
    <n v="3"/>
    <x v="4"/>
    <x v="3"/>
    <x v="1"/>
    <n v="9985"/>
    <x v="0"/>
    <x v="1"/>
    <n v="3"/>
    <n v="10"/>
    <n v="2"/>
    <x v="6"/>
    <n v="0"/>
    <n v="0"/>
    <n v="0"/>
    <x v="0"/>
    <x v="0"/>
    <x v="1"/>
  </r>
  <r>
    <n v="45"/>
    <s v="No"/>
    <n v="0"/>
    <x v="0"/>
    <x v="1"/>
    <n v="8"/>
    <s v="Other"/>
    <s v="452"/>
    <x v="2"/>
    <x v="1"/>
    <n v="3"/>
    <n v="2"/>
    <x v="1"/>
    <x v="0"/>
    <x v="1"/>
    <n v="3697"/>
    <x v="1"/>
    <x v="1"/>
    <n v="3"/>
    <n v="12"/>
    <n v="3"/>
    <x v="1"/>
    <n v="9"/>
    <n v="9"/>
    <n v="8"/>
    <x v="0"/>
    <x v="0"/>
    <x v="0"/>
  </r>
  <r>
    <n v="40"/>
    <s v="No"/>
    <n v="0"/>
    <x v="0"/>
    <x v="0"/>
    <n v="1"/>
    <s v="Medical"/>
    <s v="453"/>
    <x v="0"/>
    <x v="1"/>
    <n v="1"/>
    <n v="2"/>
    <x v="0"/>
    <x v="0"/>
    <x v="1"/>
    <n v="7457"/>
    <x v="0"/>
    <x v="0"/>
    <n v="4"/>
    <n v="6"/>
    <n v="2"/>
    <x v="9"/>
    <n v="3"/>
    <n v="0"/>
    <n v="2"/>
    <x v="0"/>
    <x v="0"/>
    <x v="1"/>
  </r>
  <r>
    <n v="29"/>
    <s v="Yes"/>
    <n v="1"/>
    <x v="0"/>
    <x v="1"/>
    <n v="8"/>
    <s v="Other"/>
    <s v="454"/>
    <x v="0"/>
    <x v="1"/>
    <n v="1"/>
    <n v="1"/>
    <x v="2"/>
    <x v="3"/>
    <x v="1"/>
    <n v="2119"/>
    <x v="1"/>
    <x v="0"/>
    <n v="3"/>
    <n v="7"/>
    <n v="2"/>
    <x v="5"/>
    <n v="7"/>
    <n v="0"/>
    <n v="7"/>
    <x v="2"/>
    <x v="0"/>
    <x v="0"/>
  </r>
  <r>
    <n v="29"/>
    <s v="No"/>
    <n v="0"/>
    <x v="0"/>
    <x v="1"/>
    <n v="9"/>
    <s v="Other"/>
    <s v="455"/>
    <x v="0"/>
    <x v="1"/>
    <n v="2"/>
    <n v="1"/>
    <x v="2"/>
    <x v="0"/>
    <x v="0"/>
    <n v="3983"/>
    <x v="1"/>
    <x v="1"/>
    <n v="3"/>
    <n v="4"/>
    <n v="3"/>
    <x v="11"/>
    <n v="2"/>
    <n v="2"/>
    <n v="2"/>
    <x v="2"/>
    <x v="1"/>
    <x v="1"/>
  </r>
  <r>
    <n v="30"/>
    <s v="No"/>
    <n v="0"/>
    <x v="0"/>
    <x v="0"/>
    <n v="5"/>
    <s v="Marketing"/>
    <s v="456"/>
    <x v="2"/>
    <x v="0"/>
    <n v="2"/>
    <n v="2"/>
    <x v="0"/>
    <x v="2"/>
    <x v="2"/>
    <n v="6118"/>
    <x v="0"/>
    <x v="1"/>
    <n v="3"/>
    <n v="10"/>
    <n v="3"/>
    <x v="1"/>
    <n v="9"/>
    <n v="1"/>
    <n v="2"/>
    <x v="2"/>
    <x v="0"/>
    <x v="0"/>
  </r>
  <r>
    <n v="27"/>
    <s v="No"/>
    <n v="0"/>
    <x v="0"/>
    <x v="0"/>
    <n v="8"/>
    <s v="Marketing"/>
    <s v="458"/>
    <x v="0"/>
    <x v="0"/>
    <n v="3"/>
    <n v="2"/>
    <x v="0"/>
    <x v="1"/>
    <x v="1"/>
    <n v="6214"/>
    <x v="0"/>
    <x v="1"/>
    <n v="3"/>
    <n v="8"/>
    <n v="3"/>
    <x v="3"/>
    <n v="7"/>
    <n v="0"/>
    <n v="7"/>
    <x v="2"/>
    <x v="0"/>
    <x v="0"/>
  </r>
  <r>
    <n v="37"/>
    <s v="No"/>
    <n v="0"/>
    <x v="0"/>
    <x v="1"/>
    <n v="5"/>
    <s v="Medical"/>
    <s v="460"/>
    <x v="2"/>
    <x v="1"/>
    <n v="3"/>
    <n v="2"/>
    <x v="3"/>
    <x v="0"/>
    <x v="2"/>
    <n v="6347"/>
    <x v="0"/>
    <x v="1"/>
    <n v="3"/>
    <n v="8"/>
    <n v="2"/>
    <x v="0"/>
    <n v="2"/>
    <n v="0"/>
    <n v="4"/>
    <x v="0"/>
    <x v="0"/>
    <x v="0"/>
  </r>
  <r>
    <n v="38"/>
    <s v="No"/>
    <n v="0"/>
    <x v="0"/>
    <x v="1"/>
    <n v="15"/>
    <s v="Life Sciences"/>
    <s v="461"/>
    <x v="1"/>
    <x v="1"/>
    <n v="2"/>
    <n v="3"/>
    <x v="7"/>
    <x v="0"/>
    <x v="2"/>
    <n v="11510"/>
    <x v="0"/>
    <x v="0"/>
    <n v="3"/>
    <n v="12"/>
    <n v="3"/>
    <x v="19"/>
    <n v="10"/>
    <n v="2"/>
    <n v="9"/>
    <x v="0"/>
    <x v="0"/>
    <x v="2"/>
  </r>
  <r>
    <n v="31"/>
    <s v="No"/>
    <n v="0"/>
    <x v="0"/>
    <x v="1"/>
    <n v="7"/>
    <s v="Medical"/>
    <s v="462"/>
    <x v="1"/>
    <x v="0"/>
    <n v="3"/>
    <n v="3"/>
    <x v="3"/>
    <x v="0"/>
    <x v="0"/>
    <n v="7143"/>
    <x v="0"/>
    <x v="0"/>
    <n v="3"/>
    <n v="11"/>
    <n v="2"/>
    <x v="19"/>
    <n v="9"/>
    <n v="4"/>
    <n v="10"/>
    <x v="2"/>
    <x v="0"/>
    <x v="2"/>
  </r>
  <r>
    <n v="29"/>
    <s v="No"/>
    <n v="0"/>
    <x v="0"/>
    <x v="0"/>
    <n v="10"/>
    <s v="Marketing"/>
    <s v="463"/>
    <x v="2"/>
    <x v="0"/>
    <n v="2"/>
    <n v="2"/>
    <x v="0"/>
    <x v="1"/>
    <x v="2"/>
    <n v="8268"/>
    <x v="0"/>
    <x v="0"/>
    <n v="3"/>
    <n v="7"/>
    <n v="3"/>
    <x v="5"/>
    <n v="7"/>
    <n v="1"/>
    <n v="7"/>
    <x v="2"/>
    <x v="0"/>
    <x v="0"/>
  </r>
  <r>
    <n v="35"/>
    <s v="No"/>
    <n v="0"/>
    <x v="0"/>
    <x v="1"/>
    <n v="5"/>
    <s v="Technical Degree"/>
    <s v="464"/>
    <x v="1"/>
    <x v="1"/>
    <n v="3"/>
    <n v="3"/>
    <x v="3"/>
    <x v="1"/>
    <x v="0"/>
    <n v="8095"/>
    <x v="0"/>
    <x v="1"/>
    <n v="3"/>
    <n v="17"/>
    <n v="3"/>
    <x v="22"/>
    <n v="6"/>
    <n v="0"/>
    <n v="13"/>
    <x v="2"/>
    <x v="2"/>
    <x v="2"/>
  </r>
  <r>
    <n v="23"/>
    <s v="No"/>
    <n v="0"/>
    <x v="0"/>
    <x v="1"/>
    <n v="26"/>
    <s v="Life Sciences"/>
    <s v="465"/>
    <x v="1"/>
    <x v="1"/>
    <n v="3"/>
    <n v="1"/>
    <x v="1"/>
    <x v="0"/>
    <x v="2"/>
    <n v="2904"/>
    <x v="1"/>
    <x v="1"/>
    <n v="3"/>
    <n v="4"/>
    <n v="2"/>
    <x v="9"/>
    <n v="2"/>
    <n v="0"/>
    <n v="2"/>
    <x v="3"/>
    <x v="1"/>
    <x v="1"/>
  </r>
  <r>
    <n v="41"/>
    <s v="No"/>
    <n v="0"/>
    <x v="0"/>
    <x v="1"/>
    <n v="6"/>
    <s v="Medical"/>
    <s v="466"/>
    <x v="2"/>
    <x v="1"/>
    <n v="2"/>
    <n v="2"/>
    <x v="3"/>
    <x v="1"/>
    <x v="0"/>
    <n v="6032"/>
    <x v="0"/>
    <x v="0"/>
    <n v="3"/>
    <n v="8"/>
    <n v="3"/>
    <x v="8"/>
    <n v="4"/>
    <n v="1"/>
    <n v="2"/>
    <x v="0"/>
    <x v="0"/>
    <x v="1"/>
  </r>
  <r>
    <n v="47"/>
    <s v="No"/>
    <n v="0"/>
    <x v="1"/>
    <x v="0"/>
    <n v="4"/>
    <s v="Medical"/>
    <s v="467"/>
    <x v="0"/>
    <x v="1"/>
    <n v="3"/>
    <n v="2"/>
    <x v="6"/>
    <x v="2"/>
    <x v="0"/>
    <n v="2976"/>
    <x v="1"/>
    <x v="1"/>
    <n v="3"/>
    <n v="5"/>
    <n v="3"/>
    <x v="2"/>
    <n v="0"/>
    <n v="0"/>
    <n v="0"/>
    <x v="1"/>
    <x v="1"/>
    <x v="1"/>
  </r>
  <r>
    <n v="42"/>
    <s v="No"/>
    <n v="0"/>
    <x v="0"/>
    <x v="1"/>
    <n v="23"/>
    <s v="Life Sciences"/>
    <s v="468"/>
    <x v="3"/>
    <x v="0"/>
    <n v="3"/>
    <n v="4"/>
    <x v="7"/>
    <x v="0"/>
    <x v="0"/>
    <n v="15992"/>
    <x v="2"/>
    <x v="1"/>
    <n v="3"/>
    <n v="16"/>
    <n v="3"/>
    <x v="6"/>
    <n v="0"/>
    <n v="0"/>
    <n v="0"/>
    <x v="0"/>
    <x v="2"/>
    <x v="1"/>
  </r>
  <r>
    <n v="29"/>
    <s v="No"/>
    <n v="0"/>
    <x v="2"/>
    <x v="0"/>
    <n v="2"/>
    <s v="Life Sciences"/>
    <s v="469"/>
    <x v="2"/>
    <x v="1"/>
    <n v="3"/>
    <n v="2"/>
    <x v="0"/>
    <x v="2"/>
    <x v="1"/>
    <n v="4649"/>
    <x v="1"/>
    <x v="1"/>
    <n v="3"/>
    <n v="4"/>
    <n v="2"/>
    <x v="9"/>
    <n v="3"/>
    <n v="0"/>
    <n v="2"/>
    <x v="2"/>
    <x v="1"/>
    <x v="1"/>
  </r>
  <r>
    <n v="42"/>
    <s v="No"/>
    <n v="0"/>
    <x v="0"/>
    <x v="2"/>
    <n v="2"/>
    <s v="Technical Degree"/>
    <s v="470"/>
    <x v="1"/>
    <x v="1"/>
    <n v="3"/>
    <n v="1"/>
    <x v="8"/>
    <x v="2"/>
    <x v="2"/>
    <n v="2696"/>
    <x v="1"/>
    <x v="0"/>
    <n v="3"/>
    <n v="4"/>
    <n v="3"/>
    <x v="11"/>
    <n v="2"/>
    <n v="1"/>
    <n v="0"/>
    <x v="0"/>
    <x v="1"/>
    <x v="1"/>
  </r>
  <r>
    <n v="32"/>
    <s v="No"/>
    <n v="0"/>
    <x v="0"/>
    <x v="1"/>
    <n v="2"/>
    <s v="Medical"/>
    <s v="471"/>
    <x v="1"/>
    <x v="0"/>
    <n v="3"/>
    <n v="1"/>
    <x v="2"/>
    <x v="1"/>
    <x v="1"/>
    <n v="2370"/>
    <x v="1"/>
    <x v="1"/>
    <n v="3"/>
    <n v="8"/>
    <n v="3"/>
    <x v="3"/>
    <n v="0"/>
    <n v="0"/>
    <n v="7"/>
    <x v="2"/>
    <x v="0"/>
    <x v="0"/>
  </r>
  <r>
    <n v="48"/>
    <s v="No"/>
    <n v="0"/>
    <x v="0"/>
    <x v="0"/>
    <n v="29"/>
    <s v="Medical"/>
    <s v="473"/>
    <x v="3"/>
    <x v="0"/>
    <n v="3"/>
    <n v="3"/>
    <x v="5"/>
    <x v="2"/>
    <x v="1"/>
    <n v="12504"/>
    <x v="2"/>
    <x v="1"/>
    <n v="4"/>
    <n v="15"/>
    <n v="1"/>
    <x v="2"/>
    <n v="0"/>
    <n v="0"/>
    <n v="0"/>
    <x v="1"/>
    <x v="0"/>
    <x v="1"/>
  </r>
  <r>
    <n v="37"/>
    <s v="No"/>
    <n v="0"/>
    <x v="0"/>
    <x v="1"/>
    <n v="6"/>
    <s v="Medical"/>
    <s v="474"/>
    <x v="1"/>
    <x v="1"/>
    <n v="4"/>
    <n v="2"/>
    <x v="1"/>
    <x v="3"/>
    <x v="2"/>
    <n v="5974"/>
    <x v="0"/>
    <x v="0"/>
    <n v="3"/>
    <n v="13"/>
    <n v="3"/>
    <x v="5"/>
    <n v="7"/>
    <n v="6"/>
    <n v="7"/>
    <x v="0"/>
    <x v="0"/>
    <x v="0"/>
  </r>
  <r>
    <n v="30"/>
    <s v="No"/>
    <n v="0"/>
    <x v="2"/>
    <x v="0"/>
    <n v="25"/>
    <s v="Technical Degree"/>
    <s v="475"/>
    <x v="2"/>
    <x v="0"/>
    <n v="3"/>
    <n v="2"/>
    <x v="0"/>
    <x v="2"/>
    <x v="1"/>
    <n v="4736"/>
    <x v="1"/>
    <x v="0"/>
    <n v="3"/>
    <n v="4"/>
    <n v="4"/>
    <x v="4"/>
    <n v="2"/>
    <n v="2"/>
    <n v="2"/>
    <x v="2"/>
    <x v="1"/>
    <x v="1"/>
  </r>
  <r>
    <n v="26"/>
    <s v="No"/>
    <n v="0"/>
    <x v="0"/>
    <x v="0"/>
    <n v="1"/>
    <s v="Life Sciences"/>
    <s v="476"/>
    <x v="1"/>
    <x v="1"/>
    <n v="3"/>
    <n v="2"/>
    <x v="0"/>
    <x v="2"/>
    <x v="1"/>
    <n v="5296"/>
    <x v="0"/>
    <x v="1"/>
    <n v="3"/>
    <n v="8"/>
    <n v="3"/>
    <x v="3"/>
    <n v="7"/>
    <n v="7"/>
    <n v="7"/>
    <x v="2"/>
    <x v="0"/>
    <x v="0"/>
  </r>
  <r>
    <n v="42"/>
    <s v="No"/>
    <n v="0"/>
    <x v="0"/>
    <x v="1"/>
    <n v="2"/>
    <s v="Other"/>
    <s v="477"/>
    <x v="3"/>
    <x v="1"/>
    <n v="2"/>
    <n v="2"/>
    <x v="4"/>
    <x v="0"/>
    <x v="0"/>
    <n v="6781"/>
    <x v="0"/>
    <x v="1"/>
    <n v="4"/>
    <n v="14"/>
    <n v="3"/>
    <x v="6"/>
    <n v="0"/>
    <n v="0"/>
    <n v="0"/>
    <x v="0"/>
    <x v="0"/>
    <x v="1"/>
  </r>
  <r>
    <n v="21"/>
    <s v="Yes"/>
    <n v="1"/>
    <x v="1"/>
    <x v="0"/>
    <n v="1"/>
    <s v="Technical Degree"/>
    <s v="478"/>
    <x v="3"/>
    <x v="0"/>
    <n v="2"/>
    <n v="1"/>
    <x v="6"/>
    <x v="1"/>
    <x v="0"/>
    <n v="2174"/>
    <x v="1"/>
    <x v="0"/>
    <n v="3"/>
    <n v="3"/>
    <n v="3"/>
    <x v="11"/>
    <n v="2"/>
    <n v="1"/>
    <n v="2"/>
    <x v="3"/>
    <x v="1"/>
    <x v="1"/>
  </r>
  <r>
    <n v="36"/>
    <s v="No"/>
    <n v="0"/>
    <x v="2"/>
    <x v="0"/>
    <n v="1"/>
    <s v="Medical"/>
    <s v="479"/>
    <x v="2"/>
    <x v="0"/>
    <n v="3"/>
    <n v="2"/>
    <x v="0"/>
    <x v="0"/>
    <x v="0"/>
    <n v="6653"/>
    <x v="0"/>
    <x v="1"/>
    <n v="3"/>
    <n v="7"/>
    <n v="3"/>
    <x v="6"/>
    <n v="0"/>
    <n v="0"/>
    <n v="0"/>
    <x v="0"/>
    <x v="0"/>
    <x v="1"/>
  </r>
  <r>
    <n v="36"/>
    <s v="No"/>
    <n v="0"/>
    <x v="1"/>
    <x v="0"/>
    <n v="3"/>
    <s v="Medical"/>
    <s v="481"/>
    <x v="3"/>
    <x v="1"/>
    <n v="2"/>
    <n v="3"/>
    <x v="0"/>
    <x v="0"/>
    <x v="1"/>
    <n v="9699"/>
    <x v="0"/>
    <x v="1"/>
    <n v="3"/>
    <n v="16"/>
    <n v="3"/>
    <x v="20"/>
    <n v="9"/>
    <n v="1"/>
    <n v="12"/>
    <x v="0"/>
    <x v="2"/>
    <x v="2"/>
  </r>
  <r>
    <n v="57"/>
    <s v="No"/>
    <n v="0"/>
    <x v="0"/>
    <x v="1"/>
    <n v="1"/>
    <s v="Medical"/>
    <s v="482"/>
    <x v="2"/>
    <x v="1"/>
    <n v="3"/>
    <n v="2"/>
    <x v="4"/>
    <x v="2"/>
    <x v="1"/>
    <n v="6755"/>
    <x v="0"/>
    <x v="1"/>
    <n v="3"/>
    <n v="15"/>
    <n v="3"/>
    <x v="11"/>
    <n v="2"/>
    <n v="1"/>
    <n v="2"/>
    <x v="1"/>
    <x v="0"/>
    <x v="1"/>
  </r>
  <r>
    <n v="40"/>
    <s v="No"/>
    <n v="0"/>
    <x v="0"/>
    <x v="1"/>
    <n v="10"/>
    <s v="Life Sciences"/>
    <s v="483"/>
    <x v="2"/>
    <x v="0"/>
    <n v="4"/>
    <n v="1"/>
    <x v="2"/>
    <x v="2"/>
    <x v="1"/>
    <n v="2213"/>
    <x v="1"/>
    <x v="0"/>
    <n v="3"/>
    <n v="10"/>
    <n v="3"/>
    <x v="5"/>
    <n v="7"/>
    <n v="1"/>
    <n v="7"/>
    <x v="0"/>
    <x v="0"/>
    <x v="0"/>
  </r>
  <r>
    <n v="21"/>
    <s v="No"/>
    <n v="0"/>
    <x v="2"/>
    <x v="0"/>
    <n v="9"/>
    <s v="Medical"/>
    <s v="484"/>
    <x v="3"/>
    <x v="1"/>
    <n v="3"/>
    <n v="1"/>
    <x v="6"/>
    <x v="0"/>
    <x v="0"/>
    <n v="2610"/>
    <x v="1"/>
    <x v="1"/>
    <n v="4"/>
    <n v="3"/>
    <n v="2"/>
    <x v="11"/>
    <n v="2"/>
    <n v="2"/>
    <n v="2"/>
    <x v="3"/>
    <x v="1"/>
    <x v="1"/>
  </r>
  <r>
    <n v="33"/>
    <s v="Yes"/>
    <n v="1"/>
    <x v="0"/>
    <x v="0"/>
    <n v="5"/>
    <s v="Marketing"/>
    <s v="485"/>
    <x v="2"/>
    <x v="0"/>
    <n v="3"/>
    <n v="1"/>
    <x v="6"/>
    <x v="2"/>
    <x v="0"/>
    <n v="2851"/>
    <x v="1"/>
    <x v="0"/>
    <n v="3"/>
    <n v="1"/>
    <n v="3"/>
    <x v="6"/>
    <n v="0"/>
    <n v="0"/>
    <n v="0"/>
    <x v="2"/>
    <x v="1"/>
    <x v="1"/>
  </r>
  <r>
    <n v="37"/>
    <s v="No"/>
    <n v="0"/>
    <x v="0"/>
    <x v="1"/>
    <n v="10"/>
    <s v="Medical"/>
    <s v="486"/>
    <x v="1"/>
    <x v="0"/>
    <n v="3"/>
    <n v="1"/>
    <x v="2"/>
    <x v="3"/>
    <x v="1"/>
    <n v="3452"/>
    <x v="1"/>
    <x v="1"/>
    <n v="4"/>
    <n v="17"/>
    <n v="3"/>
    <x v="8"/>
    <n v="4"/>
    <n v="0"/>
    <n v="3"/>
    <x v="0"/>
    <x v="2"/>
    <x v="1"/>
  </r>
  <r>
    <n v="46"/>
    <s v="No"/>
    <n v="0"/>
    <x v="2"/>
    <x v="1"/>
    <n v="7"/>
    <s v="Medical"/>
    <s v="487"/>
    <x v="1"/>
    <x v="0"/>
    <n v="3"/>
    <n v="2"/>
    <x v="3"/>
    <x v="2"/>
    <x v="1"/>
    <n v="5258"/>
    <x v="0"/>
    <x v="1"/>
    <n v="3"/>
    <n v="7"/>
    <n v="4"/>
    <x v="6"/>
    <n v="0"/>
    <n v="0"/>
    <n v="0"/>
    <x v="1"/>
    <x v="0"/>
    <x v="1"/>
  </r>
  <r>
    <n v="41"/>
    <s v="Yes"/>
    <n v="1"/>
    <x v="1"/>
    <x v="0"/>
    <n v="4"/>
    <s v="Marketing"/>
    <s v="488"/>
    <x v="3"/>
    <x v="1"/>
    <n v="3"/>
    <n v="2"/>
    <x v="0"/>
    <x v="1"/>
    <x v="0"/>
    <n v="9355"/>
    <x v="0"/>
    <x v="1"/>
    <n v="3"/>
    <n v="8"/>
    <n v="3"/>
    <x v="3"/>
    <n v="7"/>
    <n v="7"/>
    <n v="7"/>
    <x v="0"/>
    <x v="0"/>
    <x v="0"/>
  </r>
  <r>
    <n v="50"/>
    <s v="No"/>
    <n v="0"/>
    <x v="0"/>
    <x v="1"/>
    <n v="10"/>
    <s v="Technical Degree"/>
    <s v="491"/>
    <x v="2"/>
    <x v="1"/>
    <n v="2"/>
    <n v="3"/>
    <x v="4"/>
    <x v="0"/>
    <x v="0"/>
    <n v="10496"/>
    <x v="0"/>
    <x v="1"/>
    <n v="3"/>
    <n v="20"/>
    <n v="3"/>
    <x v="9"/>
    <n v="3"/>
    <n v="1"/>
    <n v="3"/>
    <x v="1"/>
    <x v="2"/>
    <x v="1"/>
  </r>
  <r>
    <n v="40"/>
    <s v="Yes"/>
    <n v="1"/>
    <x v="0"/>
    <x v="0"/>
    <n v="22"/>
    <s v="Marketing"/>
    <s v="492"/>
    <x v="1"/>
    <x v="1"/>
    <n v="2"/>
    <n v="2"/>
    <x v="0"/>
    <x v="2"/>
    <x v="1"/>
    <n v="6380"/>
    <x v="0"/>
    <x v="0"/>
    <n v="3"/>
    <n v="8"/>
    <n v="3"/>
    <x v="0"/>
    <n v="4"/>
    <n v="1"/>
    <n v="0"/>
    <x v="0"/>
    <x v="0"/>
    <x v="0"/>
  </r>
  <r>
    <n v="31"/>
    <s v="No"/>
    <n v="0"/>
    <x v="0"/>
    <x v="1"/>
    <n v="9"/>
    <s v="Life Sciences"/>
    <s v="493"/>
    <x v="1"/>
    <x v="1"/>
    <n v="2"/>
    <n v="1"/>
    <x v="1"/>
    <x v="1"/>
    <x v="0"/>
    <n v="2657"/>
    <x v="1"/>
    <x v="0"/>
    <n v="3"/>
    <n v="3"/>
    <n v="3"/>
    <x v="4"/>
    <n v="2"/>
    <n v="2"/>
    <n v="2"/>
    <x v="2"/>
    <x v="1"/>
    <x v="1"/>
  </r>
  <r>
    <n v="21"/>
    <s v="Yes"/>
    <n v="1"/>
    <x v="0"/>
    <x v="0"/>
    <n v="12"/>
    <s v="Life Sciences"/>
    <s v="494"/>
    <x v="1"/>
    <x v="0"/>
    <n v="4"/>
    <n v="1"/>
    <x v="6"/>
    <x v="1"/>
    <x v="0"/>
    <n v="2716"/>
    <x v="1"/>
    <x v="1"/>
    <n v="3"/>
    <n v="1"/>
    <n v="3"/>
    <x v="6"/>
    <n v="0"/>
    <n v="0"/>
    <n v="0"/>
    <x v="3"/>
    <x v="1"/>
    <x v="1"/>
  </r>
  <r>
    <n v="29"/>
    <s v="No"/>
    <n v="0"/>
    <x v="0"/>
    <x v="1"/>
    <n v="23"/>
    <s v="Life Sciences"/>
    <s v="495"/>
    <x v="2"/>
    <x v="1"/>
    <n v="3"/>
    <n v="1"/>
    <x v="1"/>
    <x v="0"/>
    <x v="0"/>
    <n v="2201"/>
    <x v="1"/>
    <x v="1"/>
    <n v="3"/>
    <n v="6"/>
    <n v="3"/>
    <x v="11"/>
    <n v="2"/>
    <n v="1"/>
    <n v="2"/>
    <x v="2"/>
    <x v="0"/>
    <x v="1"/>
  </r>
  <r>
    <n v="35"/>
    <s v="No"/>
    <n v="0"/>
    <x v="0"/>
    <x v="1"/>
    <n v="9"/>
    <s v="Life Sciences"/>
    <s v="496"/>
    <x v="1"/>
    <x v="1"/>
    <n v="2"/>
    <n v="2"/>
    <x v="4"/>
    <x v="1"/>
    <x v="0"/>
    <n v="6540"/>
    <x v="0"/>
    <x v="1"/>
    <n v="3"/>
    <n v="10"/>
    <n v="3"/>
    <x v="6"/>
    <n v="1"/>
    <n v="0"/>
    <n v="0"/>
    <x v="2"/>
    <x v="0"/>
    <x v="1"/>
  </r>
  <r>
    <n v="27"/>
    <s v="No"/>
    <n v="0"/>
    <x v="0"/>
    <x v="1"/>
    <n v="1"/>
    <s v="Medical"/>
    <s v="497"/>
    <x v="2"/>
    <x v="1"/>
    <n v="3"/>
    <n v="1"/>
    <x v="2"/>
    <x v="1"/>
    <x v="2"/>
    <n v="3816"/>
    <x v="1"/>
    <x v="1"/>
    <n v="3"/>
    <n v="5"/>
    <n v="3"/>
    <x v="8"/>
    <n v="2"/>
    <n v="0"/>
    <n v="4"/>
    <x v="2"/>
    <x v="1"/>
    <x v="1"/>
  </r>
  <r>
    <n v="28"/>
    <s v="No"/>
    <n v="0"/>
    <x v="0"/>
    <x v="0"/>
    <n v="9"/>
    <s v="Life Sciences"/>
    <s v="498"/>
    <x v="0"/>
    <x v="1"/>
    <n v="3"/>
    <n v="2"/>
    <x v="0"/>
    <x v="0"/>
    <x v="0"/>
    <n v="5253"/>
    <x v="0"/>
    <x v="1"/>
    <n v="3"/>
    <n v="7"/>
    <n v="3"/>
    <x v="5"/>
    <n v="5"/>
    <n v="0"/>
    <n v="7"/>
    <x v="2"/>
    <x v="0"/>
    <x v="0"/>
  </r>
  <r>
    <n v="49"/>
    <s v="No"/>
    <n v="0"/>
    <x v="0"/>
    <x v="1"/>
    <n v="7"/>
    <s v="Other"/>
    <s v="499"/>
    <x v="0"/>
    <x v="1"/>
    <n v="2"/>
    <n v="3"/>
    <x v="4"/>
    <x v="2"/>
    <x v="0"/>
    <n v="10965"/>
    <x v="0"/>
    <x v="1"/>
    <n v="4"/>
    <n v="26"/>
    <n v="3"/>
    <x v="8"/>
    <n v="2"/>
    <n v="0"/>
    <n v="0"/>
    <x v="1"/>
    <x v="2"/>
    <x v="1"/>
  </r>
  <r>
    <n v="51"/>
    <s v="No"/>
    <n v="0"/>
    <x v="0"/>
    <x v="0"/>
    <n v="14"/>
    <s v="Life Sciences"/>
    <s v="500"/>
    <x v="1"/>
    <x v="0"/>
    <n v="3"/>
    <n v="2"/>
    <x v="0"/>
    <x v="0"/>
    <x v="1"/>
    <n v="4936"/>
    <x v="1"/>
    <x v="1"/>
    <n v="3"/>
    <n v="18"/>
    <n v="2"/>
    <x v="5"/>
    <n v="7"/>
    <n v="0"/>
    <n v="7"/>
    <x v="1"/>
    <x v="2"/>
    <x v="0"/>
  </r>
  <r>
    <n v="36"/>
    <s v="No"/>
    <n v="0"/>
    <x v="0"/>
    <x v="1"/>
    <n v="2"/>
    <s v="Life Sciences"/>
    <s v="501"/>
    <x v="2"/>
    <x v="0"/>
    <n v="3"/>
    <n v="1"/>
    <x v="1"/>
    <x v="2"/>
    <x v="1"/>
    <n v="2543"/>
    <x v="1"/>
    <x v="1"/>
    <n v="3"/>
    <n v="6"/>
    <n v="3"/>
    <x v="4"/>
    <n v="2"/>
    <n v="2"/>
    <n v="2"/>
    <x v="0"/>
    <x v="0"/>
    <x v="1"/>
  </r>
  <r>
    <n v="34"/>
    <s v="Yes"/>
    <n v="1"/>
    <x v="2"/>
    <x v="0"/>
    <n v="19"/>
    <s v="Marketing"/>
    <s v="502"/>
    <x v="3"/>
    <x v="1"/>
    <n v="4"/>
    <n v="2"/>
    <x v="0"/>
    <x v="0"/>
    <x v="0"/>
    <n v="5304"/>
    <x v="0"/>
    <x v="0"/>
    <n v="3"/>
    <n v="9"/>
    <n v="2"/>
    <x v="8"/>
    <n v="2"/>
    <n v="0"/>
    <n v="4"/>
    <x v="2"/>
    <x v="0"/>
    <x v="1"/>
  </r>
  <r>
    <n v="55"/>
    <s v="No"/>
    <n v="0"/>
    <x v="0"/>
    <x v="1"/>
    <n v="2"/>
    <s v="Life Sciences"/>
    <s v="505"/>
    <x v="1"/>
    <x v="0"/>
    <n v="3"/>
    <n v="4"/>
    <x v="5"/>
    <x v="0"/>
    <x v="0"/>
    <n v="16659"/>
    <x v="2"/>
    <x v="0"/>
    <n v="3"/>
    <n v="30"/>
    <n v="3"/>
    <x v="8"/>
    <n v="4"/>
    <n v="1"/>
    <n v="2"/>
    <x v="1"/>
    <x v="2"/>
    <x v="1"/>
  </r>
  <r>
    <n v="24"/>
    <s v="No"/>
    <n v="0"/>
    <x v="0"/>
    <x v="0"/>
    <n v="10"/>
    <s v="Marketing"/>
    <s v="507"/>
    <x v="2"/>
    <x v="0"/>
    <n v="3"/>
    <n v="2"/>
    <x v="0"/>
    <x v="2"/>
    <x v="2"/>
    <n v="4260"/>
    <x v="1"/>
    <x v="0"/>
    <n v="3"/>
    <n v="5"/>
    <n v="4"/>
    <x v="8"/>
    <n v="2"/>
    <n v="0"/>
    <n v="3"/>
    <x v="3"/>
    <x v="1"/>
    <x v="1"/>
  </r>
  <r>
    <n v="30"/>
    <s v="No"/>
    <n v="0"/>
    <x v="0"/>
    <x v="0"/>
    <n v="2"/>
    <s v="Technical Degree"/>
    <s v="508"/>
    <x v="1"/>
    <x v="1"/>
    <n v="3"/>
    <n v="1"/>
    <x v="6"/>
    <x v="1"/>
    <x v="1"/>
    <n v="2476"/>
    <x v="1"/>
    <x v="1"/>
    <n v="3"/>
    <n v="1"/>
    <n v="3"/>
    <x v="6"/>
    <n v="0"/>
    <n v="0"/>
    <n v="0"/>
    <x v="2"/>
    <x v="1"/>
    <x v="1"/>
  </r>
  <r>
    <n v="26"/>
    <s v="Yes"/>
    <n v="1"/>
    <x v="1"/>
    <x v="1"/>
    <n v="3"/>
    <s v="Technical Degree"/>
    <s v="510"/>
    <x v="1"/>
    <x v="1"/>
    <n v="3"/>
    <n v="1"/>
    <x v="1"/>
    <x v="3"/>
    <x v="0"/>
    <n v="3102"/>
    <x v="1"/>
    <x v="1"/>
    <n v="4"/>
    <n v="7"/>
    <n v="3"/>
    <x v="0"/>
    <n v="4"/>
    <n v="0"/>
    <n v="4"/>
    <x v="2"/>
    <x v="0"/>
    <x v="0"/>
  </r>
  <r>
    <n v="22"/>
    <s v="No"/>
    <n v="0"/>
    <x v="0"/>
    <x v="1"/>
    <n v="11"/>
    <s v="Medical"/>
    <s v="511"/>
    <x v="3"/>
    <x v="0"/>
    <n v="3"/>
    <n v="1"/>
    <x v="1"/>
    <x v="1"/>
    <x v="1"/>
    <n v="2244"/>
    <x v="1"/>
    <x v="1"/>
    <n v="3"/>
    <n v="2"/>
    <n v="3"/>
    <x v="4"/>
    <n v="1"/>
    <n v="1"/>
    <n v="2"/>
    <x v="3"/>
    <x v="1"/>
    <x v="1"/>
  </r>
  <r>
    <n v="36"/>
    <s v="No"/>
    <n v="0"/>
    <x v="0"/>
    <x v="0"/>
    <n v="2"/>
    <s v="Medical"/>
    <s v="513"/>
    <x v="0"/>
    <x v="1"/>
    <n v="2"/>
    <n v="3"/>
    <x v="0"/>
    <x v="2"/>
    <x v="1"/>
    <n v="7596"/>
    <x v="0"/>
    <x v="1"/>
    <n v="3"/>
    <n v="10"/>
    <n v="3"/>
    <x v="1"/>
    <n v="9"/>
    <n v="9"/>
    <n v="0"/>
    <x v="0"/>
    <x v="0"/>
    <x v="0"/>
  </r>
  <r>
    <n v="30"/>
    <s v="Yes"/>
    <n v="1"/>
    <x v="1"/>
    <x v="1"/>
    <n v="4"/>
    <s v="Technical Degree"/>
    <s v="514"/>
    <x v="1"/>
    <x v="1"/>
    <n v="3"/>
    <n v="1"/>
    <x v="1"/>
    <x v="0"/>
    <x v="0"/>
    <n v="2285"/>
    <x v="1"/>
    <x v="0"/>
    <n v="4"/>
    <n v="3"/>
    <n v="3"/>
    <x v="6"/>
    <n v="0"/>
    <n v="0"/>
    <n v="0"/>
    <x v="2"/>
    <x v="1"/>
    <x v="1"/>
  </r>
  <r>
    <n v="37"/>
    <s v="No"/>
    <n v="0"/>
    <x v="0"/>
    <x v="1"/>
    <n v="14"/>
    <s v="Life Sciences"/>
    <s v="515"/>
    <x v="2"/>
    <x v="0"/>
    <n v="3"/>
    <n v="1"/>
    <x v="2"/>
    <x v="3"/>
    <x v="2"/>
    <n v="3034"/>
    <x v="1"/>
    <x v="1"/>
    <n v="3"/>
    <n v="18"/>
    <n v="2"/>
    <x v="29"/>
    <n v="7"/>
    <n v="12"/>
    <n v="17"/>
    <x v="0"/>
    <x v="2"/>
    <x v="2"/>
  </r>
  <r>
    <n v="40"/>
    <s v="No"/>
    <n v="0"/>
    <x v="0"/>
    <x v="0"/>
    <n v="2"/>
    <s v="Marketing"/>
    <s v="516"/>
    <x v="2"/>
    <x v="0"/>
    <n v="3"/>
    <n v="2"/>
    <x v="0"/>
    <x v="1"/>
    <x v="2"/>
    <n v="5715"/>
    <x v="0"/>
    <x v="1"/>
    <n v="3"/>
    <n v="8"/>
    <n v="3"/>
    <x v="8"/>
    <n v="4"/>
    <n v="1"/>
    <n v="3"/>
    <x v="0"/>
    <x v="0"/>
    <x v="1"/>
  </r>
  <r>
    <n v="42"/>
    <s v="No"/>
    <n v="0"/>
    <x v="0"/>
    <x v="1"/>
    <n v="1"/>
    <s v="Life Sciences"/>
    <s v="517"/>
    <x v="0"/>
    <x v="0"/>
    <n v="3"/>
    <n v="1"/>
    <x v="2"/>
    <x v="3"/>
    <x v="2"/>
    <n v="2576"/>
    <x v="1"/>
    <x v="1"/>
    <n v="3"/>
    <n v="8"/>
    <n v="3"/>
    <x v="8"/>
    <n v="2"/>
    <n v="1"/>
    <n v="2"/>
    <x v="0"/>
    <x v="0"/>
    <x v="1"/>
  </r>
  <r>
    <n v="37"/>
    <s v="No"/>
    <n v="0"/>
    <x v="0"/>
    <x v="1"/>
    <n v="10"/>
    <s v="Life Sciences"/>
    <s v="518"/>
    <x v="1"/>
    <x v="1"/>
    <n v="3"/>
    <n v="2"/>
    <x v="3"/>
    <x v="1"/>
    <x v="0"/>
    <n v="4197"/>
    <x v="1"/>
    <x v="0"/>
    <n v="3"/>
    <n v="18"/>
    <n v="2"/>
    <x v="6"/>
    <n v="0"/>
    <n v="0"/>
    <n v="1"/>
    <x v="0"/>
    <x v="2"/>
    <x v="1"/>
  </r>
  <r>
    <n v="43"/>
    <s v="No"/>
    <n v="0"/>
    <x v="0"/>
    <x v="1"/>
    <n v="12"/>
    <s v="Life Sciences"/>
    <s v="520"/>
    <x v="3"/>
    <x v="1"/>
    <n v="2"/>
    <n v="4"/>
    <x v="7"/>
    <x v="1"/>
    <x v="2"/>
    <n v="14336"/>
    <x v="2"/>
    <x v="1"/>
    <n v="3"/>
    <n v="25"/>
    <n v="3"/>
    <x v="10"/>
    <n v="10"/>
    <n v="3"/>
    <n v="9"/>
    <x v="0"/>
    <x v="2"/>
    <x v="2"/>
  </r>
  <r>
    <n v="40"/>
    <s v="No"/>
    <n v="0"/>
    <x v="0"/>
    <x v="1"/>
    <n v="2"/>
    <s v="Medical"/>
    <s v="521"/>
    <x v="0"/>
    <x v="0"/>
    <n v="2"/>
    <n v="2"/>
    <x v="2"/>
    <x v="2"/>
    <x v="1"/>
    <n v="3448"/>
    <x v="1"/>
    <x v="1"/>
    <n v="4"/>
    <n v="20"/>
    <n v="3"/>
    <x v="6"/>
    <n v="0"/>
    <n v="0"/>
    <n v="0"/>
    <x v="0"/>
    <x v="2"/>
    <x v="1"/>
  </r>
  <r>
    <n v="54"/>
    <s v="No"/>
    <n v="0"/>
    <x v="0"/>
    <x v="1"/>
    <n v="5"/>
    <s v="Medical"/>
    <s v="522"/>
    <x v="3"/>
    <x v="1"/>
    <n v="3"/>
    <n v="5"/>
    <x v="7"/>
    <x v="3"/>
    <x v="1"/>
    <n v="19406"/>
    <x v="2"/>
    <x v="1"/>
    <n v="3"/>
    <n v="24"/>
    <n v="2"/>
    <x v="9"/>
    <n v="2"/>
    <n v="1"/>
    <n v="2"/>
    <x v="1"/>
    <x v="2"/>
    <x v="1"/>
  </r>
  <r>
    <n v="34"/>
    <s v="No"/>
    <n v="0"/>
    <x v="2"/>
    <x v="0"/>
    <n v="4"/>
    <s v="Marketing"/>
    <s v="523"/>
    <x v="1"/>
    <x v="0"/>
    <n v="3"/>
    <n v="2"/>
    <x v="0"/>
    <x v="2"/>
    <x v="1"/>
    <n v="6538"/>
    <x v="0"/>
    <x v="1"/>
    <n v="3"/>
    <n v="6"/>
    <n v="3"/>
    <x v="11"/>
    <n v="2"/>
    <n v="1"/>
    <n v="2"/>
    <x v="2"/>
    <x v="0"/>
    <x v="1"/>
  </r>
  <r>
    <n v="31"/>
    <s v="No"/>
    <n v="0"/>
    <x v="0"/>
    <x v="1"/>
    <n v="7"/>
    <s v="Medical"/>
    <s v="524"/>
    <x v="0"/>
    <x v="0"/>
    <n v="3"/>
    <n v="2"/>
    <x v="3"/>
    <x v="3"/>
    <x v="1"/>
    <n v="4306"/>
    <x v="1"/>
    <x v="1"/>
    <n v="3"/>
    <n v="13"/>
    <n v="1"/>
    <x v="20"/>
    <n v="10"/>
    <n v="3"/>
    <n v="12"/>
    <x v="2"/>
    <x v="0"/>
    <x v="2"/>
  </r>
  <r>
    <n v="43"/>
    <s v="No"/>
    <n v="0"/>
    <x v="1"/>
    <x v="1"/>
    <n v="21"/>
    <s v="Medical"/>
    <s v="525"/>
    <x v="2"/>
    <x v="1"/>
    <n v="3"/>
    <n v="1"/>
    <x v="2"/>
    <x v="0"/>
    <x v="1"/>
    <n v="2258"/>
    <x v="1"/>
    <x v="1"/>
    <n v="4"/>
    <n v="8"/>
    <n v="3"/>
    <x v="11"/>
    <n v="2"/>
    <n v="1"/>
    <n v="2"/>
    <x v="0"/>
    <x v="0"/>
    <x v="1"/>
  </r>
  <r>
    <n v="43"/>
    <s v="No"/>
    <n v="0"/>
    <x v="0"/>
    <x v="1"/>
    <n v="8"/>
    <s v="Other"/>
    <s v="526"/>
    <x v="1"/>
    <x v="0"/>
    <n v="3"/>
    <n v="2"/>
    <x v="4"/>
    <x v="2"/>
    <x v="2"/>
    <n v="4522"/>
    <x v="1"/>
    <x v="0"/>
    <n v="3"/>
    <n v="8"/>
    <n v="3"/>
    <x v="8"/>
    <n v="2"/>
    <n v="0"/>
    <n v="2"/>
    <x v="0"/>
    <x v="0"/>
    <x v="1"/>
  </r>
  <r>
    <n v="25"/>
    <s v="No"/>
    <n v="0"/>
    <x v="0"/>
    <x v="0"/>
    <n v="4"/>
    <s v="Life Sciences"/>
    <s v="527"/>
    <x v="0"/>
    <x v="0"/>
    <n v="2"/>
    <n v="2"/>
    <x v="0"/>
    <x v="0"/>
    <x v="0"/>
    <n v="4487"/>
    <x v="1"/>
    <x v="0"/>
    <n v="3"/>
    <n v="5"/>
    <n v="3"/>
    <x v="8"/>
    <n v="4"/>
    <n v="1"/>
    <n v="3"/>
    <x v="3"/>
    <x v="1"/>
    <x v="1"/>
  </r>
  <r>
    <n v="37"/>
    <s v="No"/>
    <n v="0"/>
    <x v="2"/>
    <x v="1"/>
    <n v="25"/>
    <s v="Medical"/>
    <s v="529"/>
    <x v="0"/>
    <x v="0"/>
    <n v="3"/>
    <n v="2"/>
    <x v="1"/>
    <x v="2"/>
    <x v="1"/>
    <n v="4449"/>
    <x v="1"/>
    <x v="0"/>
    <n v="3"/>
    <n v="15"/>
    <n v="3"/>
    <x v="20"/>
    <n v="11"/>
    <n v="10"/>
    <n v="7"/>
    <x v="0"/>
    <x v="0"/>
    <x v="2"/>
  </r>
  <r>
    <n v="31"/>
    <s v="No"/>
    <n v="0"/>
    <x v="0"/>
    <x v="1"/>
    <n v="1"/>
    <s v="Life Sciences"/>
    <s v="530"/>
    <x v="2"/>
    <x v="1"/>
    <n v="2"/>
    <n v="1"/>
    <x v="2"/>
    <x v="3"/>
    <x v="1"/>
    <n v="2218"/>
    <x v="1"/>
    <x v="1"/>
    <n v="3"/>
    <n v="4"/>
    <n v="3"/>
    <x v="9"/>
    <n v="2"/>
    <n v="3"/>
    <n v="2"/>
    <x v="2"/>
    <x v="1"/>
    <x v="1"/>
  </r>
  <r>
    <n v="39"/>
    <s v="No"/>
    <n v="0"/>
    <x v="1"/>
    <x v="1"/>
    <n v="1"/>
    <s v="Life Sciences"/>
    <s v="531"/>
    <x v="0"/>
    <x v="1"/>
    <n v="3"/>
    <n v="5"/>
    <x v="5"/>
    <x v="2"/>
    <x v="2"/>
    <n v="19197"/>
    <x v="2"/>
    <x v="0"/>
    <n v="3"/>
    <n v="21"/>
    <n v="3"/>
    <x v="17"/>
    <n v="8"/>
    <n v="1"/>
    <n v="6"/>
    <x v="0"/>
    <x v="2"/>
    <x v="2"/>
  </r>
  <r>
    <n v="56"/>
    <s v="No"/>
    <n v="0"/>
    <x v="1"/>
    <x v="0"/>
    <n v="6"/>
    <s v="Life Sciences"/>
    <s v="532"/>
    <x v="1"/>
    <x v="0"/>
    <n v="4"/>
    <n v="4"/>
    <x v="0"/>
    <x v="3"/>
    <x v="1"/>
    <n v="13212"/>
    <x v="2"/>
    <x v="1"/>
    <n v="3"/>
    <n v="36"/>
    <n v="2"/>
    <x v="5"/>
    <n v="7"/>
    <n v="7"/>
    <n v="7"/>
    <x v="1"/>
    <x v="2"/>
    <x v="0"/>
  </r>
  <r>
    <n v="30"/>
    <s v="No"/>
    <n v="0"/>
    <x v="0"/>
    <x v="0"/>
    <n v="12"/>
    <s v="Technical Degree"/>
    <s v="533"/>
    <x v="0"/>
    <x v="0"/>
    <n v="3"/>
    <n v="2"/>
    <x v="0"/>
    <x v="2"/>
    <x v="0"/>
    <n v="6577"/>
    <x v="0"/>
    <x v="1"/>
    <n v="3"/>
    <n v="6"/>
    <n v="3"/>
    <x v="8"/>
    <n v="4"/>
    <n v="4"/>
    <n v="4"/>
    <x v="2"/>
    <x v="0"/>
    <x v="1"/>
  </r>
  <r>
    <n v="41"/>
    <s v="No"/>
    <n v="0"/>
    <x v="0"/>
    <x v="0"/>
    <n v="1"/>
    <s v="Marketing"/>
    <s v="534"/>
    <x v="0"/>
    <x v="1"/>
    <n v="4"/>
    <n v="3"/>
    <x v="0"/>
    <x v="3"/>
    <x v="1"/>
    <n v="8392"/>
    <x v="0"/>
    <x v="1"/>
    <n v="3"/>
    <n v="10"/>
    <n v="3"/>
    <x v="1"/>
    <n v="7"/>
    <n v="0"/>
    <n v="7"/>
    <x v="0"/>
    <x v="0"/>
    <x v="0"/>
  </r>
  <r>
    <n v="28"/>
    <s v="No"/>
    <n v="0"/>
    <x v="0"/>
    <x v="1"/>
    <n v="17"/>
    <s v="Medical"/>
    <s v="536"/>
    <x v="1"/>
    <x v="1"/>
    <n v="3"/>
    <n v="2"/>
    <x v="2"/>
    <x v="3"/>
    <x v="2"/>
    <n v="4558"/>
    <x v="1"/>
    <x v="1"/>
    <n v="3"/>
    <n v="10"/>
    <n v="3"/>
    <x v="1"/>
    <n v="0"/>
    <n v="1"/>
    <n v="8"/>
    <x v="2"/>
    <x v="0"/>
    <x v="0"/>
  </r>
  <r>
    <n v="25"/>
    <s v="Yes"/>
    <n v="1"/>
    <x v="0"/>
    <x v="1"/>
    <n v="3"/>
    <s v="Medical"/>
    <s v="538"/>
    <x v="3"/>
    <x v="1"/>
    <n v="3"/>
    <n v="1"/>
    <x v="2"/>
    <x v="3"/>
    <x v="1"/>
    <n v="4031"/>
    <x v="1"/>
    <x v="1"/>
    <n v="3"/>
    <n v="6"/>
    <n v="3"/>
    <x v="4"/>
    <n v="2"/>
    <n v="0"/>
    <n v="2"/>
    <x v="3"/>
    <x v="0"/>
    <x v="1"/>
  </r>
  <r>
    <n v="52"/>
    <s v="No"/>
    <n v="0"/>
    <x v="0"/>
    <x v="1"/>
    <n v="3"/>
    <s v="Medical"/>
    <s v="543"/>
    <x v="2"/>
    <x v="1"/>
    <n v="2"/>
    <n v="3"/>
    <x v="3"/>
    <x v="2"/>
    <x v="1"/>
    <n v="7969"/>
    <x v="0"/>
    <x v="0"/>
    <n v="3"/>
    <n v="28"/>
    <n v="3"/>
    <x v="8"/>
    <n v="4"/>
    <n v="0"/>
    <n v="4"/>
    <x v="1"/>
    <x v="2"/>
    <x v="1"/>
  </r>
  <r>
    <n v="45"/>
    <s v="No"/>
    <n v="0"/>
    <x v="0"/>
    <x v="1"/>
    <n v="10"/>
    <s v="Life Sciences"/>
    <s v="544"/>
    <x v="3"/>
    <x v="1"/>
    <n v="3"/>
    <n v="1"/>
    <x v="1"/>
    <x v="0"/>
    <x v="1"/>
    <n v="2654"/>
    <x v="1"/>
    <x v="1"/>
    <n v="4"/>
    <n v="8"/>
    <n v="2"/>
    <x v="4"/>
    <n v="2"/>
    <n v="0"/>
    <n v="2"/>
    <x v="0"/>
    <x v="0"/>
    <x v="1"/>
  </r>
  <r>
    <n v="52"/>
    <s v="No"/>
    <n v="0"/>
    <x v="0"/>
    <x v="1"/>
    <n v="4"/>
    <s v="Life Sciences"/>
    <s v="546"/>
    <x v="2"/>
    <x v="0"/>
    <n v="3"/>
    <n v="4"/>
    <x v="5"/>
    <x v="0"/>
    <x v="1"/>
    <n v="16555"/>
    <x v="2"/>
    <x v="1"/>
    <n v="3"/>
    <n v="31"/>
    <n v="1"/>
    <x v="8"/>
    <n v="2"/>
    <n v="1"/>
    <n v="4"/>
    <x v="1"/>
    <x v="2"/>
    <x v="1"/>
  </r>
  <r>
    <n v="42"/>
    <s v="No"/>
    <n v="0"/>
    <x v="1"/>
    <x v="1"/>
    <n v="29"/>
    <s v="Life Sciences"/>
    <s v="547"/>
    <x v="3"/>
    <x v="0"/>
    <n v="3"/>
    <n v="2"/>
    <x v="1"/>
    <x v="2"/>
    <x v="2"/>
    <n v="4556"/>
    <x v="1"/>
    <x v="1"/>
    <n v="3"/>
    <n v="19"/>
    <n v="3"/>
    <x v="8"/>
    <n v="4"/>
    <n v="0"/>
    <n v="2"/>
    <x v="0"/>
    <x v="2"/>
    <x v="1"/>
  </r>
  <r>
    <n v="30"/>
    <s v="No"/>
    <n v="0"/>
    <x v="0"/>
    <x v="1"/>
    <n v="2"/>
    <s v="Life Sciences"/>
    <s v="548"/>
    <x v="1"/>
    <x v="0"/>
    <n v="1"/>
    <n v="2"/>
    <x v="3"/>
    <x v="0"/>
    <x v="0"/>
    <n v="6091"/>
    <x v="0"/>
    <x v="1"/>
    <n v="4"/>
    <n v="11"/>
    <n v="3"/>
    <x v="8"/>
    <n v="4"/>
    <n v="0"/>
    <n v="2"/>
    <x v="2"/>
    <x v="0"/>
    <x v="1"/>
  </r>
  <r>
    <n v="60"/>
    <s v="No"/>
    <n v="0"/>
    <x v="0"/>
    <x v="1"/>
    <n v="7"/>
    <s v="Life Sciences"/>
    <s v="549"/>
    <x v="3"/>
    <x v="0"/>
    <n v="3"/>
    <n v="5"/>
    <x v="5"/>
    <x v="3"/>
    <x v="1"/>
    <n v="19566"/>
    <x v="2"/>
    <x v="1"/>
    <n v="3"/>
    <n v="33"/>
    <n v="1"/>
    <x v="30"/>
    <n v="8"/>
    <n v="11"/>
    <n v="10"/>
    <x v="1"/>
    <x v="2"/>
    <x v="2"/>
  </r>
  <r>
    <n v="46"/>
    <s v="No"/>
    <n v="0"/>
    <x v="0"/>
    <x v="1"/>
    <n v="18"/>
    <s v="Medical"/>
    <s v="550"/>
    <x v="1"/>
    <x v="0"/>
    <n v="3"/>
    <n v="2"/>
    <x v="3"/>
    <x v="2"/>
    <x v="2"/>
    <n v="4810"/>
    <x v="1"/>
    <x v="1"/>
    <n v="3"/>
    <n v="19"/>
    <n v="2"/>
    <x v="1"/>
    <n v="7"/>
    <n v="0"/>
    <n v="8"/>
    <x v="1"/>
    <x v="2"/>
    <x v="0"/>
  </r>
  <r>
    <n v="42"/>
    <s v="No"/>
    <n v="0"/>
    <x v="1"/>
    <x v="1"/>
    <n v="28"/>
    <s v="Technical Degree"/>
    <s v="551"/>
    <x v="2"/>
    <x v="0"/>
    <n v="2"/>
    <n v="2"/>
    <x v="4"/>
    <x v="0"/>
    <x v="1"/>
    <n v="4523"/>
    <x v="1"/>
    <x v="1"/>
    <n v="3"/>
    <n v="7"/>
    <n v="4"/>
    <x v="0"/>
    <n v="5"/>
    <n v="0"/>
    <n v="4"/>
    <x v="0"/>
    <x v="0"/>
    <x v="0"/>
  </r>
  <r>
    <n v="24"/>
    <s v="Yes"/>
    <n v="1"/>
    <x v="0"/>
    <x v="0"/>
    <n v="1"/>
    <s v="Technical Degree"/>
    <s v="554"/>
    <x v="3"/>
    <x v="0"/>
    <n v="3"/>
    <n v="1"/>
    <x v="6"/>
    <x v="1"/>
    <x v="0"/>
    <n v="3202"/>
    <x v="1"/>
    <x v="0"/>
    <n v="3"/>
    <n v="6"/>
    <n v="3"/>
    <x v="8"/>
    <n v="3"/>
    <n v="1"/>
    <n v="4"/>
    <x v="3"/>
    <x v="0"/>
    <x v="1"/>
  </r>
  <r>
    <n v="34"/>
    <s v="Yes"/>
    <n v="1"/>
    <x v="1"/>
    <x v="0"/>
    <n v="6"/>
    <s v="Marketing"/>
    <s v="555"/>
    <x v="2"/>
    <x v="0"/>
    <n v="1"/>
    <n v="1"/>
    <x v="6"/>
    <x v="2"/>
    <x v="2"/>
    <n v="2351"/>
    <x v="1"/>
    <x v="1"/>
    <n v="3"/>
    <n v="3"/>
    <n v="2"/>
    <x v="4"/>
    <n v="2"/>
    <n v="1"/>
    <n v="0"/>
    <x v="2"/>
    <x v="1"/>
    <x v="1"/>
  </r>
  <r>
    <n v="38"/>
    <s v="No"/>
    <n v="0"/>
    <x v="1"/>
    <x v="1"/>
    <n v="2"/>
    <s v="Life Sciences"/>
    <s v="556"/>
    <x v="2"/>
    <x v="1"/>
    <n v="3"/>
    <n v="1"/>
    <x v="2"/>
    <x v="0"/>
    <x v="1"/>
    <n v="1702"/>
    <x v="1"/>
    <x v="0"/>
    <n v="4"/>
    <n v="1"/>
    <n v="3"/>
    <x v="6"/>
    <n v="0"/>
    <n v="0"/>
    <n v="0"/>
    <x v="0"/>
    <x v="1"/>
    <x v="1"/>
  </r>
  <r>
    <n v="40"/>
    <s v="No"/>
    <n v="0"/>
    <x v="0"/>
    <x v="0"/>
    <n v="2"/>
    <s v="Life Sciences"/>
    <s v="558"/>
    <x v="1"/>
    <x v="0"/>
    <n v="3"/>
    <n v="5"/>
    <x v="5"/>
    <x v="2"/>
    <x v="1"/>
    <n v="18041"/>
    <x v="2"/>
    <x v="1"/>
    <n v="3"/>
    <n v="21"/>
    <n v="3"/>
    <x v="23"/>
    <n v="15"/>
    <n v="1"/>
    <n v="12"/>
    <x v="0"/>
    <x v="2"/>
    <x v="2"/>
  </r>
  <r>
    <n v="26"/>
    <s v="No"/>
    <n v="0"/>
    <x v="0"/>
    <x v="1"/>
    <n v="23"/>
    <s v="Life Sciences"/>
    <s v="560"/>
    <x v="3"/>
    <x v="0"/>
    <n v="3"/>
    <n v="1"/>
    <x v="1"/>
    <x v="0"/>
    <x v="2"/>
    <n v="2886"/>
    <x v="1"/>
    <x v="1"/>
    <n v="4"/>
    <n v="3"/>
    <n v="1"/>
    <x v="11"/>
    <n v="2"/>
    <n v="0"/>
    <n v="2"/>
    <x v="2"/>
    <x v="1"/>
    <x v="1"/>
  </r>
  <r>
    <n v="30"/>
    <s v="No"/>
    <n v="0"/>
    <x v="2"/>
    <x v="1"/>
    <n v="3"/>
    <s v="Life Sciences"/>
    <s v="562"/>
    <x v="1"/>
    <x v="1"/>
    <n v="3"/>
    <n v="1"/>
    <x v="2"/>
    <x v="0"/>
    <x v="1"/>
    <n v="2097"/>
    <x v="1"/>
    <x v="1"/>
    <n v="3"/>
    <n v="9"/>
    <n v="1"/>
    <x v="8"/>
    <n v="3"/>
    <n v="1"/>
    <n v="4"/>
    <x v="2"/>
    <x v="0"/>
    <x v="1"/>
  </r>
  <r>
    <n v="29"/>
    <s v="No"/>
    <n v="0"/>
    <x v="0"/>
    <x v="1"/>
    <n v="3"/>
    <s v="Medical"/>
    <s v="564"/>
    <x v="0"/>
    <x v="1"/>
    <n v="2"/>
    <n v="3"/>
    <x v="7"/>
    <x v="2"/>
    <x v="1"/>
    <n v="11935"/>
    <x v="0"/>
    <x v="1"/>
    <n v="3"/>
    <n v="10"/>
    <n v="3"/>
    <x v="1"/>
    <n v="2"/>
    <n v="0"/>
    <n v="7"/>
    <x v="2"/>
    <x v="0"/>
    <x v="0"/>
  </r>
  <r>
    <n v="29"/>
    <s v="Yes"/>
    <n v="1"/>
    <x v="0"/>
    <x v="1"/>
    <n v="25"/>
    <s v="Technical Degree"/>
    <s v="565"/>
    <x v="1"/>
    <x v="0"/>
    <n v="2"/>
    <n v="1"/>
    <x v="1"/>
    <x v="1"/>
    <x v="1"/>
    <n v="2546"/>
    <x v="1"/>
    <x v="1"/>
    <n v="3"/>
    <n v="6"/>
    <n v="4"/>
    <x v="4"/>
    <n v="2"/>
    <n v="1"/>
    <n v="1"/>
    <x v="2"/>
    <x v="0"/>
    <x v="1"/>
  </r>
  <r>
    <n v="19"/>
    <s v="Yes"/>
    <n v="1"/>
    <x v="0"/>
    <x v="2"/>
    <n v="2"/>
    <s v="Technical Degree"/>
    <s v="566"/>
    <x v="3"/>
    <x v="1"/>
    <n v="2"/>
    <n v="1"/>
    <x v="8"/>
    <x v="0"/>
    <x v="0"/>
    <n v="2564"/>
    <x v="1"/>
    <x v="1"/>
    <n v="3"/>
    <n v="1"/>
    <n v="4"/>
    <x v="6"/>
    <n v="0"/>
    <n v="0"/>
    <n v="0"/>
    <x v="3"/>
    <x v="1"/>
    <x v="1"/>
  </r>
  <r>
    <n v="30"/>
    <s v="No"/>
    <n v="0"/>
    <x v="2"/>
    <x v="0"/>
    <n v="22"/>
    <s v="Other"/>
    <s v="567"/>
    <x v="1"/>
    <x v="0"/>
    <n v="3"/>
    <n v="3"/>
    <x v="0"/>
    <x v="3"/>
    <x v="1"/>
    <n v="8412"/>
    <x v="0"/>
    <x v="1"/>
    <n v="3"/>
    <n v="10"/>
    <n v="3"/>
    <x v="7"/>
    <n v="8"/>
    <n v="7"/>
    <n v="8"/>
    <x v="2"/>
    <x v="0"/>
    <x v="0"/>
  </r>
  <r>
    <n v="57"/>
    <s v="No"/>
    <n v="0"/>
    <x v="0"/>
    <x v="0"/>
    <n v="29"/>
    <s v="Marketing"/>
    <s v="568"/>
    <x v="3"/>
    <x v="1"/>
    <n v="2"/>
    <n v="4"/>
    <x v="5"/>
    <x v="0"/>
    <x v="2"/>
    <n v="14118"/>
    <x v="2"/>
    <x v="1"/>
    <n v="3"/>
    <n v="32"/>
    <n v="2"/>
    <x v="6"/>
    <n v="0"/>
    <n v="0"/>
    <n v="0"/>
    <x v="1"/>
    <x v="2"/>
    <x v="1"/>
  </r>
  <r>
    <n v="50"/>
    <s v="No"/>
    <n v="0"/>
    <x v="0"/>
    <x v="1"/>
    <n v="29"/>
    <s v="Life Sciences"/>
    <s v="569"/>
    <x v="0"/>
    <x v="1"/>
    <n v="2"/>
    <n v="4"/>
    <x v="5"/>
    <x v="2"/>
    <x v="1"/>
    <n v="17046"/>
    <x v="2"/>
    <x v="1"/>
    <n v="3"/>
    <n v="28"/>
    <n v="3"/>
    <x v="16"/>
    <n v="10"/>
    <n v="15"/>
    <n v="7"/>
    <x v="1"/>
    <x v="2"/>
    <x v="2"/>
  </r>
  <r>
    <n v="30"/>
    <s v="No"/>
    <n v="0"/>
    <x v="2"/>
    <x v="1"/>
    <n v="2"/>
    <s v="Medical"/>
    <s v="571"/>
    <x v="1"/>
    <x v="0"/>
    <n v="3"/>
    <n v="1"/>
    <x v="2"/>
    <x v="0"/>
    <x v="0"/>
    <n v="2564"/>
    <x v="1"/>
    <x v="1"/>
    <n v="3"/>
    <n v="12"/>
    <n v="2"/>
    <x v="19"/>
    <n v="7"/>
    <n v="6"/>
    <n v="7"/>
    <x v="2"/>
    <x v="0"/>
    <x v="2"/>
  </r>
  <r>
    <n v="60"/>
    <s v="No"/>
    <n v="0"/>
    <x v="1"/>
    <x v="0"/>
    <n v="28"/>
    <s v="Marketing"/>
    <s v="573"/>
    <x v="1"/>
    <x v="0"/>
    <n v="2"/>
    <n v="3"/>
    <x v="0"/>
    <x v="3"/>
    <x v="1"/>
    <n v="10266"/>
    <x v="0"/>
    <x v="1"/>
    <n v="3"/>
    <n v="22"/>
    <n v="4"/>
    <x v="29"/>
    <n v="13"/>
    <n v="13"/>
    <n v="11"/>
    <x v="1"/>
    <x v="2"/>
    <x v="2"/>
  </r>
  <r>
    <n v="47"/>
    <s v="No"/>
    <n v="0"/>
    <x v="0"/>
    <x v="1"/>
    <n v="2"/>
    <s v="Medical"/>
    <s v="574"/>
    <x v="3"/>
    <x v="0"/>
    <n v="3"/>
    <n v="2"/>
    <x v="3"/>
    <x v="0"/>
    <x v="2"/>
    <n v="5070"/>
    <x v="0"/>
    <x v="1"/>
    <n v="3"/>
    <n v="20"/>
    <n v="3"/>
    <x v="8"/>
    <n v="0"/>
    <n v="0"/>
    <n v="4"/>
    <x v="1"/>
    <x v="2"/>
    <x v="1"/>
  </r>
  <r>
    <n v="46"/>
    <s v="No"/>
    <n v="0"/>
    <x v="0"/>
    <x v="1"/>
    <n v="2"/>
    <s v="Life Sciences"/>
    <s v="575"/>
    <x v="3"/>
    <x v="1"/>
    <n v="3"/>
    <n v="4"/>
    <x v="7"/>
    <x v="2"/>
    <x v="1"/>
    <n v="17861"/>
    <x v="2"/>
    <x v="1"/>
    <n v="3"/>
    <n v="26"/>
    <n v="1"/>
    <x v="11"/>
    <n v="2"/>
    <n v="0"/>
    <n v="1"/>
    <x v="1"/>
    <x v="2"/>
    <x v="1"/>
  </r>
  <r>
    <n v="35"/>
    <s v="No"/>
    <n v="0"/>
    <x v="0"/>
    <x v="1"/>
    <n v="22"/>
    <s v="Life Sciences"/>
    <s v="577"/>
    <x v="2"/>
    <x v="1"/>
    <n v="1"/>
    <n v="1"/>
    <x v="2"/>
    <x v="2"/>
    <x v="0"/>
    <n v="4230"/>
    <x v="1"/>
    <x v="1"/>
    <n v="3"/>
    <n v="6"/>
    <n v="3"/>
    <x v="8"/>
    <n v="4"/>
    <n v="4"/>
    <n v="3"/>
    <x v="2"/>
    <x v="0"/>
    <x v="1"/>
  </r>
  <r>
    <n v="54"/>
    <s v="No"/>
    <n v="0"/>
    <x v="0"/>
    <x v="1"/>
    <n v="8"/>
    <s v="Life Sciences"/>
    <s v="578"/>
    <x v="1"/>
    <x v="0"/>
    <n v="3"/>
    <n v="2"/>
    <x v="2"/>
    <x v="2"/>
    <x v="0"/>
    <n v="3780"/>
    <x v="1"/>
    <x v="1"/>
    <n v="3"/>
    <n v="19"/>
    <n v="3"/>
    <x v="6"/>
    <n v="0"/>
    <n v="0"/>
    <n v="0"/>
    <x v="1"/>
    <x v="2"/>
    <x v="1"/>
  </r>
  <r>
    <n v="34"/>
    <s v="No"/>
    <n v="0"/>
    <x v="0"/>
    <x v="1"/>
    <n v="2"/>
    <s v="Life Sciences"/>
    <s v="579"/>
    <x v="2"/>
    <x v="1"/>
    <n v="2"/>
    <n v="1"/>
    <x v="1"/>
    <x v="2"/>
    <x v="2"/>
    <n v="2768"/>
    <x v="1"/>
    <x v="1"/>
    <n v="3"/>
    <n v="14"/>
    <n v="3"/>
    <x v="5"/>
    <n v="3"/>
    <n v="5"/>
    <n v="7"/>
    <x v="2"/>
    <x v="0"/>
    <x v="0"/>
  </r>
  <r>
    <n v="46"/>
    <s v="No"/>
    <n v="0"/>
    <x v="0"/>
    <x v="0"/>
    <n v="10"/>
    <s v="Marketing"/>
    <s v="580"/>
    <x v="1"/>
    <x v="0"/>
    <n v="2"/>
    <n v="3"/>
    <x v="0"/>
    <x v="0"/>
    <x v="1"/>
    <n v="9071"/>
    <x v="0"/>
    <x v="0"/>
    <n v="3"/>
    <n v="15"/>
    <n v="3"/>
    <x v="11"/>
    <n v="2"/>
    <n v="1"/>
    <n v="2"/>
    <x v="1"/>
    <x v="0"/>
    <x v="1"/>
  </r>
  <r>
    <n v="31"/>
    <s v="No"/>
    <n v="0"/>
    <x v="0"/>
    <x v="1"/>
    <n v="9"/>
    <s v="Life Sciences"/>
    <s v="581"/>
    <x v="1"/>
    <x v="1"/>
    <n v="3"/>
    <n v="3"/>
    <x v="3"/>
    <x v="1"/>
    <x v="2"/>
    <n v="10648"/>
    <x v="0"/>
    <x v="1"/>
    <n v="4"/>
    <n v="13"/>
    <n v="4"/>
    <x v="20"/>
    <n v="8"/>
    <n v="0"/>
    <n v="8"/>
    <x v="2"/>
    <x v="0"/>
    <x v="2"/>
  </r>
  <r>
    <n v="33"/>
    <s v="Yes"/>
    <n v="1"/>
    <x v="0"/>
    <x v="1"/>
    <n v="15"/>
    <s v="Medical"/>
    <s v="582"/>
    <x v="0"/>
    <x v="1"/>
    <n v="3"/>
    <n v="3"/>
    <x v="5"/>
    <x v="2"/>
    <x v="1"/>
    <n v="13610"/>
    <x v="2"/>
    <x v="0"/>
    <n v="3"/>
    <n v="15"/>
    <n v="4"/>
    <x v="5"/>
    <n v="6"/>
    <n v="7"/>
    <n v="7"/>
    <x v="2"/>
    <x v="0"/>
    <x v="0"/>
  </r>
  <r>
    <n v="33"/>
    <s v="Yes"/>
    <n v="1"/>
    <x v="0"/>
    <x v="1"/>
    <n v="10"/>
    <s v="Medical"/>
    <s v="584"/>
    <x v="3"/>
    <x v="1"/>
    <n v="1"/>
    <n v="1"/>
    <x v="2"/>
    <x v="0"/>
    <x v="2"/>
    <n v="3408"/>
    <x v="1"/>
    <x v="1"/>
    <n v="3"/>
    <n v="8"/>
    <n v="3"/>
    <x v="9"/>
    <n v="3"/>
    <n v="1"/>
    <n v="3"/>
    <x v="2"/>
    <x v="0"/>
    <x v="1"/>
  </r>
  <r>
    <n v="30"/>
    <s v="No"/>
    <n v="0"/>
    <x v="0"/>
    <x v="0"/>
    <n v="7"/>
    <s v="Marketing"/>
    <s v="585"/>
    <x v="2"/>
    <x v="1"/>
    <n v="3"/>
    <n v="1"/>
    <x v="6"/>
    <x v="1"/>
    <x v="0"/>
    <n v="2983"/>
    <x v="1"/>
    <x v="1"/>
    <n v="3"/>
    <n v="4"/>
    <n v="3"/>
    <x v="11"/>
    <n v="2"/>
    <n v="1"/>
    <n v="2"/>
    <x v="2"/>
    <x v="1"/>
    <x v="1"/>
  </r>
  <r>
    <n v="35"/>
    <s v="No"/>
    <n v="0"/>
    <x v="0"/>
    <x v="1"/>
    <n v="16"/>
    <s v="Life Sciences"/>
    <s v="586"/>
    <x v="2"/>
    <x v="1"/>
    <n v="3"/>
    <n v="3"/>
    <x v="4"/>
    <x v="2"/>
    <x v="1"/>
    <n v="7632"/>
    <x v="0"/>
    <x v="0"/>
    <n v="3"/>
    <n v="10"/>
    <n v="3"/>
    <x v="3"/>
    <n v="7"/>
    <n v="0"/>
    <n v="0"/>
    <x v="2"/>
    <x v="0"/>
    <x v="0"/>
  </r>
  <r>
    <n v="31"/>
    <s v="Yes"/>
    <n v="1"/>
    <x v="1"/>
    <x v="1"/>
    <n v="20"/>
    <s v="Life Sciences"/>
    <s v="587"/>
    <x v="3"/>
    <x v="1"/>
    <n v="3"/>
    <n v="3"/>
    <x v="4"/>
    <x v="2"/>
    <x v="1"/>
    <n v="9824"/>
    <x v="0"/>
    <x v="1"/>
    <n v="3"/>
    <n v="12"/>
    <n v="3"/>
    <x v="6"/>
    <n v="0"/>
    <n v="0"/>
    <n v="0"/>
    <x v="2"/>
    <x v="0"/>
    <x v="1"/>
  </r>
  <r>
    <n v="34"/>
    <s v="Yes"/>
    <n v="1"/>
    <x v="1"/>
    <x v="2"/>
    <n v="23"/>
    <s v="Human Resources"/>
    <s v="590"/>
    <x v="0"/>
    <x v="0"/>
    <n v="3"/>
    <n v="3"/>
    <x v="8"/>
    <x v="3"/>
    <x v="2"/>
    <n v="9950"/>
    <x v="0"/>
    <x v="0"/>
    <n v="3"/>
    <n v="11"/>
    <n v="3"/>
    <x v="11"/>
    <n v="2"/>
    <n v="0"/>
    <n v="2"/>
    <x v="2"/>
    <x v="0"/>
    <x v="1"/>
  </r>
  <r>
    <n v="42"/>
    <s v="No"/>
    <n v="0"/>
    <x v="1"/>
    <x v="1"/>
    <n v="5"/>
    <s v="Other"/>
    <s v="591"/>
    <x v="0"/>
    <x v="1"/>
    <n v="3"/>
    <n v="1"/>
    <x v="2"/>
    <x v="2"/>
    <x v="1"/>
    <n v="2093"/>
    <x v="1"/>
    <x v="1"/>
    <n v="3"/>
    <n v="8"/>
    <n v="3"/>
    <x v="4"/>
    <n v="2"/>
    <n v="2"/>
    <n v="0"/>
    <x v="0"/>
    <x v="0"/>
    <x v="1"/>
  </r>
  <r>
    <n v="36"/>
    <s v="No"/>
    <n v="0"/>
    <x v="2"/>
    <x v="0"/>
    <n v="10"/>
    <s v="Medical"/>
    <s v="592"/>
    <x v="0"/>
    <x v="1"/>
    <n v="3"/>
    <n v="3"/>
    <x v="0"/>
    <x v="0"/>
    <x v="0"/>
    <n v="9980"/>
    <x v="0"/>
    <x v="1"/>
    <n v="3"/>
    <n v="10"/>
    <n v="2"/>
    <x v="1"/>
    <n v="3"/>
    <n v="9"/>
    <n v="7"/>
    <x v="0"/>
    <x v="0"/>
    <x v="0"/>
  </r>
  <r>
    <n v="22"/>
    <s v="Yes"/>
    <n v="1"/>
    <x v="1"/>
    <x v="1"/>
    <n v="4"/>
    <s v="Technical Degree"/>
    <s v="593"/>
    <x v="1"/>
    <x v="1"/>
    <n v="2"/>
    <n v="1"/>
    <x v="2"/>
    <x v="2"/>
    <x v="0"/>
    <n v="3894"/>
    <x v="1"/>
    <x v="1"/>
    <n v="3"/>
    <n v="4"/>
    <n v="3"/>
    <x v="4"/>
    <n v="2"/>
    <n v="1"/>
    <n v="2"/>
    <x v="3"/>
    <x v="1"/>
    <x v="1"/>
  </r>
  <r>
    <n v="48"/>
    <s v="No"/>
    <n v="0"/>
    <x v="0"/>
    <x v="0"/>
    <n v="2"/>
    <s v="Marketing"/>
    <s v="595"/>
    <x v="0"/>
    <x v="0"/>
    <n v="3"/>
    <n v="2"/>
    <x v="0"/>
    <x v="0"/>
    <x v="1"/>
    <n v="4051"/>
    <x v="1"/>
    <x v="1"/>
    <n v="3"/>
    <n v="14"/>
    <n v="3"/>
    <x v="7"/>
    <n v="7"/>
    <n v="6"/>
    <n v="7"/>
    <x v="1"/>
    <x v="0"/>
    <x v="0"/>
  </r>
  <r>
    <n v="55"/>
    <s v="No"/>
    <n v="0"/>
    <x v="0"/>
    <x v="0"/>
    <n v="18"/>
    <s v="Life Sciences"/>
    <s v="597"/>
    <x v="3"/>
    <x v="0"/>
    <n v="3"/>
    <n v="4"/>
    <x v="5"/>
    <x v="1"/>
    <x v="0"/>
    <n v="16835"/>
    <x v="2"/>
    <x v="1"/>
    <n v="4"/>
    <n v="37"/>
    <n v="3"/>
    <x v="1"/>
    <n v="9"/>
    <n v="7"/>
    <n v="7"/>
    <x v="1"/>
    <x v="2"/>
    <x v="0"/>
  </r>
  <r>
    <n v="41"/>
    <s v="No"/>
    <n v="0"/>
    <x v="2"/>
    <x v="0"/>
    <n v="10"/>
    <s v="Life Sciences"/>
    <s v="599"/>
    <x v="2"/>
    <x v="1"/>
    <n v="3"/>
    <n v="2"/>
    <x v="0"/>
    <x v="0"/>
    <x v="0"/>
    <n v="6230"/>
    <x v="0"/>
    <x v="1"/>
    <n v="3"/>
    <n v="16"/>
    <n v="3"/>
    <x v="13"/>
    <n v="3"/>
    <n v="1"/>
    <n v="10"/>
    <x v="0"/>
    <x v="2"/>
    <x v="2"/>
  </r>
  <r>
    <n v="35"/>
    <s v="No"/>
    <n v="0"/>
    <x v="0"/>
    <x v="0"/>
    <n v="1"/>
    <s v="Marketing"/>
    <s v="600"/>
    <x v="0"/>
    <x v="1"/>
    <n v="3"/>
    <n v="2"/>
    <x v="0"/>
    <x v="2"/>
    <x v="1"/>
    <n v="4717"/>
    <x v="1"/>
    <x v="1"/>
    <n v="3"/>
    <n v="15"/>
    <n v="3"/>
    <x v="19"/>
    <n v="9"/>
    <n v="6"/>
    <n v="9"/>
    <x v="2"/>
    <x v="0"/>
    <x v="2"/>
  </r>
  <r>
    <n v="40"/>
    <s v="No"/>
    <n v="0"/>
    <x v="0"/>
    <x v="1"/>
    <n v="6"/>
    <s v="Life Sciences"/>
    <s v="601"/>
    <x v="0"/>
    <x v="0"/>
    <n v="3"/>
    <n v="4"/>
    <x v="3"/>
    <x v="2"/>
    <x v="0"/>
    <n v="13237"/>
    <x v="2"/>
    <x v="1"/>
    <n v="3"/>
    <n v="22"/>
    <n v="3"/>
    <x v="23"/>
    <n v="6"/>
    <n v="5"/>
    <n v="13"/>
    <x v="0"/>
    <x v="2"/>
    <x v="2"/>
  </r>
  <r>
    <n v="39"/>
    <s v="No"/>
    <n v="0"/>
    <x v="1"/>
    <x v="1"/>
    <n v="8"/>
    <s v="Life Sciences"/>
    <s v="602"/>
    <x v="1"/>
    <x v="0"/>
    <n v="3"/>
    <n v="1"/>
    <x v="2"/>
    <x v="2"/>
    <x v="1"/>
    <n v="3755"/>
    <x v="1"/>
    <x v="1"/>
    <n v="3"/>
    <n v="8"/>
    <n v="3"/>
    <x v="3"/>
    <n v="3"/>
    <n v="0"/>
    <n v="7"/>
    <x v="0"/>
    <x v="0"/>
    <x v="0"/>
  </r>
  <r>
    <n v="31"/>
    <s v="No"/>
    <n v="0"/>
    <x v="0"/>
    <x v="0"/>
    <n v="2"/>
    <s v="Life Sciences"/>
    <s v="604"/>
    <x v="0"/>
    <x v="1"/>
    <n v="3"/>
    <n v="2"/>
    <x v="0"/>
    <x v="0"/>
    <x v="0"/>
    <n v="6582"/>
    <x v="0"/>
    <x v="0"/>
    <n v="3"/>
    <n v="10"/>
    <n v="4"/>
    <x v="0"/>
    <n v="5"/>
    <n v="0"/>
    <n v="5"/>
    <x v="2"/>
    <x v="0"/>
    <x v="0"/>
  </r>
  <r>
    <n v="42"/>
    <s v="No"/>
    <n v="0"/>
    <x v="0"/>
    <x v="1"/>
    <n v="24"/>
    <s v="Medical"/>
    <s v="605"/>
    <x v="2"/>
    <x v="1"/>
    <n v="3"/>
    <n v="3"/>
    <x v="3"/>
    <x v="3"/>
    <x v="1"/>
    <n v="7406"/>
    <x v="0"/>
    <x v="0"/>
    <n v="4"/>
    <n v="10"/>
    <n v="2"/>
    <x v="1"/>
    <n v="9"/>
    <n v="5"/>
    <n v="8"/>
    <x v="0"/>
    <x v="0"/>
    <x v="0"/>
  </r>
  <r>
    <n v="45"/>
    <s v="No"/>
    <n v="0"/>
    <x v="0"/>
    <x v="0"/>
    <n v="2"/>
    <s v="Other"/>
    <s v="606"/>
    <x v="2"/>
    <x v="1"/>
    <n v="3"/>
    <n v="2"/>
    <x v="0"/>
    <x v="1"/>
    <x v="1"/>
    <n v="4805"/>
    <x v="1"/>
    <x v="1"/>
    <n v="3"/>
    <n v="9"/>
    <n v="4"/>
    <x v="3"/>
    <n v="7"/>
    <n v="3"/>
    <n v="7"/>
    <x v="0"/>
    <x v="0"/>
    <x v="0"/>
  </r>
  <r>
    <n v="26"/>
    <s v="Yes"/>
    <n v="1"/>
    <x v="1"/>
    <x v="2"/>
    <n v="17"/>
    <s v="Life Sciences"/>
    <s v="608"/>
    <x v="0"/>
    <x v="0"/>
    <n v="3"/>
    <n v="1"/>
    <x v="8"/>
    <x v="2"/>
    <x v="2"/>
    <n v="2741"/>
    <x v="1"/>
    <x v="0"/>
    <n v="3"/>
    <n v="8"/>
    <n v="2"/>
    <x v="5"/>
    <n v="7"/>
    <n v="1"/>
    <n v="0"/>
    <x v="2"/>
    <x v="0"/>
    <x v="0"/>
  </r>
  <r>
    <n v="29"/>
    <s v="No"/>
    <n v="0"/>
    <x v="0"/>
    <x v="1"/>
    <n v="19"/>
    <s v="Technical Degree"/>
    <s v="611"/>
    <x v="2"/>
    <x v="1"/>
    <n v="3"/>
    <n v="2"/>
    <x v="3"/>
    <x v="0"/>
    <x v="2"/>
    <n v="4262"/>
    <x v="1"/>
    <x v="1"/>
    <n v="3"/>
    <n v="8"/>
    <n v="4"/>
    <x v="11"/>
    <n v="2"/>
    <n v="1"/>
    <n v="2"/>
    <x v="2"/>
    <x v="0"/>
    <x v="1"/>
  </r>
  <r>
    <n v="33"/>
    <s v="No"/>
    <n v="0"/>
    <x v="0"/>
    <x v="1"/>
    <n v="1"/>
    <s v="Medical"/>
    <s v="612"/>
    <x v="3"/>
    <x v="0"/>
    <n v="4"/>
    <n v="4"/>
    <x v="7"/>
    <x v="2"/>
    <x v="2"/>
    <n v="16184"/>
    <x v="2"/>
    <x v="1"/>
    <n v="3"/>
    <n v="10"/>
    <n v="3"/>
    <x v="0"/>
    <n v="1"/>
    <n v="0"/>
    <n v="5"/>
    <x v="2"/>
    <x v="0"/>
    <x v="0"/>
  </r>
  <r>
    <n v="31"/>
    <s v="No"/>
    <n v="0"/>
    <x v="0"/>
    <x v="0"/>
    <n v="7"/>
    <s v="Life Sciences"/>
    <s v="613"/>
    <x v="1"/>
    <x v="1"/>
    <n v="2"/>
    <n v="3"/>
    <x v="5"/>
    <x v="0"/>
    <x v="2"/>
    <n v="11557"/>
    <x v="0"/>
    <x v="1"/>
    <n v="4"/>
    <n v="10"/>
    <n v="2"/>
    <x v="8"/>
    <n v="4"/>
    <n v="0"/>
    <n v="1"/>
    <x v="2"/>
    <x v="0"/>
    <x v="1"/>
  </r>
  <r>
    <n v="18"/>
    <s v="Yes"/>
    <n v="1"/>
    <x v="1"/>
    <x v="0"/>
    <n v="5"/>
    <s v="Marketing"/>
    <s v="614"/>
    <x v="0"/>
    <x v="1"/>
    <n v="3"/>
    <n v="1"/>
    <x v="6"/>
    <x v="1"/>
    <x v="0"/>
    <n v="1878"/>
    <x v="1"/>
    <x v="0"/>
    <n v="3"/>
    <n v="0"/>
    <n v="3"/>
    <x v="2"/>
    <n v="0"/>
    <n v="0"/>
    <n v="0"/>
    <x v="3"/>
    <x v="1"/>
    <x v="1"/>
  </r>
  <r>
    <n v="40"/>
    <s v="No"/>
    <n v="0"/>
    <x v="2"/>
    <x v="0"/>
    <n v="28"/>
    <s v="Other"/>
    <s v="615"/>
    <x v="1"/>
    <x v="1"/>
    <n v="1"/>
    <n v="3"/>
    <x v="0"/>
    <x v="3"/>
    <x v="2"/>
    <n v="10932"/>
    <x v="0"/>
    <x v="1"/>
    <n v="3"/>
    <n v="20"/>
    <n v="3"/>
    <x v="6"/>
    <n v="0"/>
    <n v="0"/>
    <n v="1"/>
    <x v="0"/>
    <x v="2"/>
    <x v="1"/>
  </r>
  <r>
    <n v="41"/>
    <s v="No"/>
    <n v="0"/>
    <x v="2"/>
    <x v="1"/>
    <n v="2"/>
    <s v="Other"/>
    <s v="616"/>
    <x v="3"/>
    <x v="0"/>
    <n v="2"/>
    <n v="2"/>
    <x v="4"/>
    <x v="2"/>
    <x v="0"/>
    <n v="6811"/>
    <x v="0"/>
    <x v="0"/>
    <n v="3"/>
    <n v="10"/>
    <n v="3"/>
    <x v="3"/>
    <n v="7"/>
    <n v="0"/>
    <n v="7"/>
    <x v="0"/>
    <x v="0"/>
    <x v="0"/>
  </r>
  <r>
    <n v="26"/>
    <s v="No"/>
    <n v="0"/>
    <x v="0"/>
    <x v="0"/>
    <n v="29"/>
    <s v="Medical"/>
    <s v="618"/>
    <x v="3"/>
    <x v="1"/>
    <n v="3"/>
    <n v="2"/>
    <x v="0"/>
    <x v="2"/>
    <x v="2"/>
    <n v="4306"/>
    <x v="1"/>
    <x v="1"/>
    <n v="3"/>
    <n v="8"/>
    <n v="3"/>
    <x v="2"/>
    <n v="0"/>
    <n v="0"/>
    <n v="0"/>
    <x v="2"/>
    <x v="0"/>
    <x v="1"/>
  </r>
  <r>
    <n v="35"/>
    <s v="No"/>
    <n v="0"/>
    <x v="0"/>
    <x v="0"/>
    <n v="1"/>
    <s v="Medical"/>
    <s v="620"/>
    <x v="3"/>
    <x v="0"/>
    <n v="3"/>
    <n v="2"/>
    <x v="0"/>
    <x v="2"/>
    <x v="0"/>
    <n v="4859"/>
    <x v="1"/>
    <x v="1"/>
    <n v="3"/>
    <n v="5"/>
    <n v="3"/>
    <x v="8"/>
    <n v="4"/>
    <n v="0"/>
    <n v="3"/>
    <x v="2"/>
    <x v="1"/>
    <x v="1"/>
  </r>
  <r>
    <n v="34"/>
    <s v="No"/>
    <n v="0"/>
    <x v="0"/>
    <x v="0"/>
    <n v="21"/>
    <s v="Life Sciences"/>
    <s v="621"/>
    <x v="2"/>
    <x v="1"/>
    <n v="4"/>
    <n v="2"/>
    <x v="0"/>
    <x v="0"/>
    <x v="0"/>
    <n v="5337"/>
    <x v="0"/>
    <x v="1"/>
    <n v="3"/>
    <n v="10"/>
    <n v="3"/>
    <x v="1"/>
    <n v="7"/>
    <n v="5"/>
    <n v="7"/>
    <x v="2"/>
    <x v="0"/>
    <x v="0"/>
  </r>
  <r>
    <n v="26"/>
    <s v="Yes"/>
    <n v="1"/>
    <x v="0"/>
    <x v="1"/>
    <n v="24"/>
    <s v="Technical Degree"/>
    <s v="622"/>
    <x v="1"/>
    <x v="1"/>
    <n v="1"/>
    <n v="1"/>
    <x v="2"/>
    <x v="0"/>
    <x v="0"/>
    <n v="2340"/>
    <x v="1"/>
    <x v="0"/>
    <n v="3"/>
    <n v="1"/>
    <n v="1"/>
    <x v="6"/>
    <n v="0"/>
    <n v="0"/>
    <n v="0"/>
    <x v="2"/>
    <x v="1"/>
    <x v="1"/>
  </r>
  <r>
    <n v="37"/>
    <s v="No"/>
    <n v="0"/>
    <x v="0"/>
    <x v="1"/>
    <n v="1"/>
    <s v="Technical Degree"/>
    <s v="623"/>
    <x v="0"/>
    <x v="0"/>
    <n v="3"/>
    <n v="3"/>
    <x v="3"/>
    <x v="0"/>
    <x v="0"/>
    <n v="7491"/>
    <x v="0"/>
    <x v="1"/>
    <n v="3"/>
    <n v="12"/>
    <n v="4"/>
    <x v="0"/>
    <n v="5"/>
    <n v="1"/>
    <n v="2"/>
    <x v="0"/>
    <x v="0"/>
    <x v="0"/>
  </r>
  <r>
    <n v="46"/>
    <s v="No"/>
    <n v="0"/>
    <x v="1"/>
    <x v="1"/>
    <n v="18"/>
    <s v="Medical"/>
    <s v="624"/>
    <x v="3"/>
    <x v="0"/>
    <n v="3"/>
    <n v="3"/>
    <x v="4"/>
    <x v="2"/>
    <x v="1"/>
    <n v="10527"/>
    <x v="0"/>
    <x v="1"/>
    <n v="3"/>
    <n v="28"/>
    <n v="2"/>
    <x v="4"/>
    <n v="2"/>
    <n v="1"/>
    <n v="2"/>
    <x v="1"/>
    <x v="2"/>
    <x v="1"/>
  </r>
  <r>
    <n v="41"/>
    <s v="No"/>
    <n v="0"/>
    <x v="0"/>
    <x v="0"/>
    <n v="2"/>
    <s v="Life Sciences"/>
    <s v="625"/>
    <x v="0"/>
    <x v="0"/>
    <n v="3"/>
    <n v="4"/>
    <x v="5"/>
    <x v="3"/>
    <x v="1"/>
    <n v="16595"/>
    <x v="2"/>
    <x v="1"/>
    <n v="3"/>
    <n v="22"/>
    <n v="3"/>
    <x v="29"/>
    <n v="16"/>
    <n v="11"/>
    <n v="8"/>
    <x v="0"/>
    <x v="2"/>
    <x v="2"/>
  </r>
  <r>
    <n v="37"/>
    <s v="No"/>
    <n v="0"/>
    <x v="2"/>
    <x v="0"/>
    <n v="9"/>
    <s v="Medical"/>
    <s v="626"/>
    <x v="3"/>
    <x v="1"/>
    <n v="3"/>
    <n v="3"/>
    <x v="0"/>
    <x v="1"/>
    <x v="2"/>
    <n v="8834"/>
    <x v="0"/>
    <x v="1"/>
    <n v="3"/>
    <n v="9"/>
    <n v="3"/>
    <x v="7"/>
    <n v="5"/>
    <n v="7"/>
    <n v="7"/>
    <x v="0"/>
    <x v="0"/>
    <x v="0"/>
  </r>
  <r>
    <n v="52"/>
    <s v="No"/>
    <n v="0"/>
    <x v="0"/>
    <x v="1"/>
    <n v="6"/>
    <s v="Technical Degree"/>
    <s v="630"/>
    <x v="2"/>
    <x v="1"/>
    <n v="3"/>
    <n v="2"/>
    <x v="1"/>
    <x v="3"/>
    <x v="2"/>
    <n v="5577"/>
    <x v="0"/>
    <x v="0"/>
    <n v="3"/>
    <n v="18"/>
    <n v="3"/>
    <x v="1"/>
    <n v="9"/>
    <n v="6"/>
    <n v="9"/>
    <x v="1"/>
    <x v="2"/>
    <x v="0"/>
  </r>
  <r>
    <n v="32"/>
    <s v="Yes"/>
    <n v="1"/>
    <x v="2"/>
    <x v="0"/>
    <n v="11"/>
    <s v="Other"/>
    <s v="631"/>
    <x v="2"/>
    <x v="1"/>
    <n v="4"/>
    <n v="2"/>
    <x v="0"/>
    <x v="2"/>
    <x v="1"/>
    <n v="4707"/>
    <x v="1"/>
    <x v="1"/>
    <n v="3"/>
    <n v="6"/>
    <n v="3"/>
    <x v="9"/>
    <n v="2"/>
    <n v="1"/>
    <n v="2"/>
    <x v="2"/>
    <x v="0"/>
    <x v="1"/>
  </r>
  <r>
    <n v="24"/>
    <s v="No"/>
    <n v="0"/>
    <x v="1"/>
    <x v="0"/>
    <n v="24"/>
    <s v="Medical"/>
    <s v="632"/>
    <x v="2"/>
    <x v="1"/>
    <n v="3"/>
    <n v="1"/>
    <x v="6"/>
    <x v="0"/>
    <x v="1"/>
    <n v="2400"/>
    <x v="1"/>
    <x v="1"/>
    <n v="3"/>
    <n v="3"/>
    <n v="3"/>
    <x v="4"/>
    <n v="2"/>
    <n v="2"/>
    <n v="1"/>
    <x v="3"/>
    <x v="1"/>
    <x v="1"/>
  </r>
  <r>
    <n v="38"/>
    <s v="No"/>
    <n v="0"/>
    <x v="0"/>
    <x v="1"/>
    <n v="10"/>
    <s v="Medical"/>
    <s v="634"/>
    <x v="1"/>
    <x v="0"/>
    <n v="3"/>
    <n v="2"/>
    <x v="4"/>
    <x v="2"/>
    <x v="1"/>
    <n v="9824"/>
    <x v="0"/>
    <x v="1"/>
    <n v="3"/>
    <n v="18"/>
    <n v="3"/>
    <x v="6"/>
    <n v="0"/>
    <n v="0"/>
    <n v="0"/>
    <x v="0"/>
    <x v="2"/>
    <x v="1"/>
  </r>
  <r>
    <n v="37"/>
    <s v="No"/>
    <n v="0"/>
    <x v="0"/>
    <x v="1"/>
    <n v="1"/>
    <s v="Life Sciences"/>
    <s v="635"/>
    <x v="0"/>
    <x v="0"/>
    <n v="3"/>
    <n v="2"/>
    <x v="3"/>
    <x v="1"/>
    <x v="1"/>
    <n v="6447"/>
    <x v="0"/>
    <x v="1"/>
    <n v="3"/>
    <n v="8"/>
    <n v="2"/>
    <x v="0"/>
    <n v="5"/>
    <n v="4"/>
    <n v="3"/>
    <x v="0"/>
    <x v="0"/>
    <x v="0"/>
  </r>
  <r>
    <n v="49"/>
    <s v="No"/>
    <n v="0"/>
    <x v="0"/>
    <x v="1"/>
    <n v="18"/>
    <s v="Life Sciences"/>
    <s v="638"/>
    <x v="2"/>
    <x v="1"/>
    <n v="2"/>
    <n v="5"/>
    <x v="7"/>
    <x v="2"/>
    <x v="2"/>
    <n v="19502"/>
    <x v="2"/>
    <x v="0"/>
    <n v="3"/>
    <n v="31"/>
    <n v="3"/>
    <x v="31"/>
    <n v="9"/>
    <n v="0"/>
    <n v="9"/>
    <x v="1"/>
    <x v="2"/>
    <x v="2"/>
  </r>
  <r>
    <n v="24"/>
    <s v="No"/>
    <n v="0"/>
    <x v="0"/>
    <x v="1"/>
    <n v="23"/>
    <s v="Medical"/>
    <s v="639"/>
    <x v="0"/>
    <x v="1"/>
    <n v="4"/>
    <n v="1"/>
    <x v="1"/>
    <x v="0"/>
    <x v="1"/>
    <n v="2725"/>
    <x v="1"/>
    <x v="0"/>
    <n v="3"/>
    <n v="6"/>
    <n v="3"/>
    <x v="0"/>
    <n v="5"/>
    <n v="1"/>
    <n v="4"/>
    <x v="3"/>
    <x v="0"/>
    <x v="0"/>
  </r>
  <r>
    <n v="26"/>
    <s v="No"/>
    <n v="0"/>
    <x v="0"/>
    <x v="0"/>
    <n v="28"/>
    <s v="Marketing"/>
    <s v="641"/>
    <x v="3"/>
    <x v="1"/>
    <n v="3"/>
    <n v="2"/>
    <x v="0"/>
    <x v="1"/>
    <x v="1"/>
    <n v="6272"/>
    <x v="0"/>
    <x v="1"/>
    <n v="4"/>
    <n v="6"/>
    <n v="4"/>
    <x v="8"/>
    <n v="3"/>
    <n v="1"/>
    <n v="4"/>
    <x v="2"/>
    <x v="0"/>
    <x v="1"/>
  </r>
  <r>
    <n v="24"/>
    <s v="No"/>
    <n v="0"/>
    <x v="0"/>
    <x v="1"/>
    <n v="17"/>
    <s v="Other"/>
    <s v="643"/>
    <x v="2"/>
    <x v="1"/>
    <n v="2"/>
    <n v="1"/>
    <x v="2"/>
    <x v="1"/>
    <x v="1"/>
    <n v="2127"/>
    <x v="1"/>
    <x v="1"/>
    <n v="4"/>
    <n v="1"/>
    <n v="3"/>
    <x v="6"/>
    <n v="0"/>
    <n v="0"/>
    <n v="0"/>
    <x v="3"/>
    <x v="1"/>
    <x v="1"/>
  </r>
  <r>
    <n v="50"/>
    <s v="No"/>
    <n v="0"/>
    <x v="1"/>
    <x v="2"/>
    <n v="3"/>
    <s v="Medical"/>
    <s v="644"/>
    <x v="3"/>
    <x v="1"/>
    <n v="3"/>
    <n v="5"/>
    <x v="5"/>
    <x v="1"/>
    <x v="1"/>
    <n v="18200"/>
    <x v="2"/>
    <x v="1"/>
    <n v="3"/>
    <n v="32"/>
    <n v="3"/>
    <x v="32"/>
    <n v="5"/>
    <n v="10"/>
    <n v="7"/>
    <x v="1"/>
    <x v="2"/>
    <x v="2"/>
  </r>
  <r>
    <n v="25"/>
    <s v="No"/>
    <n v="0"/>
    <x v="0"/>
    <x v="0"/>
    <n v="13"/>
    <s v="Medical"/>
    <s v="645"/>
    <x v="0"/>
    <x v="1"/>
    <n v="3"/>
    <n v="1"/>
    <x v="6"/>
    <x v="2"/>
    <x v="1"/>
    <n v="2096"/>
    <x v="1"/>
    <x v="1"/>
    <n v="3"/>
    <n v="7"/>
    <n v="3"/>
    <x v="5"/>
    <n v="4"/>
    <n v="0"/>
    <n v="6"/>
    <x v="3"/>
    <x v="0"/>
    <x v="0"/>
  </r>
  <r>
    <n v="24"/>
    <s v="Yes"/>
    <n v="1"/>
    <x v="1"/>
    <x v="1"/>
    <n v="7"/>
    <s v="Life Sciences"/>
    <s v="647"/>
    <x v="3"/>
    <x v="0"/>
    <n v="3"/>
    <n v="1"/>
    <x v="2"/>
    <x v="2"/>
    <x v="1"/>
    <n v="2886"/>
    <x v="1"/>
    <x v="0"/>
    <n v="3"/>
    <n v="6"/>
    <n v="3"/>
    <x v="0"/>
    <n v="3"/>
    <n v="1"/>
    <n v="2"/>
    <x v="3"/>
    <x v="0"/>
    <x v="0"/>
  </r>
  <r>
    <n v="30"/>
    <s v="Yes"/>
    <n v="1"/>
    <x v="1"/>
    <x v="0"/>
    <n v="12"/>
    <s v="Life Sciences"/>
    <s v="648"/>
    <x v="0"/>
    <x v="1"/>
    <n v="2"/>
    <n v="1"/>
    <x v="6"/>
    <x v="3"/>
    <x v="1"/>
    <n v="2033"/>
    <x v="1"/>
    <x v="1"/>
    <n v="3"/>
    <n v="1"/>
    <n v="4"/>
    <x v="6"/>
    <n v="0"/>
    <n v="0"/>
    <n v="0"/>
    <x v="2"/>
    <x v="1"/>
    <x v="1"/>
  </r>
  <r>
    <n v="34"/>
    <s v="No"/>
    <n v="0"/>
    <x v="0"/>
    <x v="1"/>
    <n v="1"/>
    <s v="Life Sciences"/>
    <s v="649"/>
    <x v="0"/>
    <x v="1"/>
    <n v="2"/>
    <n v="1"/>
    <x v="1"/>
    <x v="0"/>
    <x v="1"/>
    <n v="3622"/>
    <x v="1"/>
    <x v="0"/>
    <n v="3"/>
    <n v="6"/>
    <n v="3"/>
    <x v="0"/>
    <n v="5"/>
    <n v="1"/>
    <n v="3"/>
    <x v="2"/>
    <x v="0"/>
    <x v="0"/>
  </r>
  <r>
    <n v="31"/>
    <s v="Yes"/>
    <n v="1"/>
    <x v="0"/>
    <x v="0"/>
    <n v="13"/>
    <s v="Medical"/>
    <s v="650"/>
    <x v="0"/>
    <x v="1"/>
    <n v="3"/>
    <n v="2"/>
    <x v="0"/>
    <x v="3"/>
    <x v="2"/>
    <n v="4233"/>
    <x v="1"/>
    <x v="1"/>
    <n v="3"/>
    <n v="9"/>
    <n v="1"/>
    <x v="11"/>
    <n v="1"/>
    <n v="1"/>
    <n v="2"/>
    <x v="2"/>
    <x v="0"/>
    <x v="1"/>
  </r>
  <r>
    <n v="35"/>
    <s v="No"/>
    <n v="0"/>
    <x v="0"/>
    <x v="1"/>
    <n v="25"/>
    <s v="Other"/>
    <s v="652"/>
    <x v="3"/>
    <x v="1"/>
    <n v="2"/>
    <n v="2"/>
    <x v="2"/>
    <x v="0"/>
    <x v="0"/>
    <n v="3681"/>
    <x v="1"/>
    <x v="1"/>
    <n v="3"/>
    <n v="9"/>
    <n v="3"/>
    <x v="11"/>
    <n v="2"/>
    <n v="0"/>
    <n v="2"/>
    <x v="2"/>
    <x v="0"/>
    <x v="1"/>
  </r>
  <r>
    <n v="31"/>
    <s v="No"/>
    <n v="0"/>
    <x v="0"/>
    <x v="0"/>
    <n v="6"/>
    <s v="Medical"/>
    <s v="653"/>
    <x v="3"/>
    <x v="1"/>
    <n v="4"/>
    <n v="2"/>
    <x v="0"/>
    <x v="0"/>
    <x v="2"/>
    <n v="5460"/>
    <x v="0"/>
    <x v="1"/>
    <n v="4"/>
    <n v="13"/>
    <n v="4"/>
    <x v="5"/>
    <n v="7"/>
    <n v="5"/>
    <n v="7"/>
    <x v="2"/>
    <x v="0"/>
    <x v="0"/>
  </r>
  <r>
    <n v="27"/>
    <s v="No"/>
    <n v="0"/>
    <x v="0"/>
    <x v="1"/>
    <n v="6"/>
    <s v="Medical"/>
    <s v="655"/>
    <x v="3"/>
    <x v="0"/>
    <n v="2"/>
    <n v="1"/>
    <x v="1"/>
    <x v="2"/>
    <x v="2"/>
    <n v="2187"/>
    <x v="1"/>
    <x v="1"/>
    <n v="3"/>
    <n v="6"/>
    <n v="2"/>
    <x v="8"/>
    <n v="3"/>
    <n v="0"/>
    <n v="3"/>
    <x v="2"/>
    <x v="0"/>
    <x v="1"/>
  </r>
  <r>
    <n v="37"/>
    <s v="No"/>
    <n v="0"/>
    <x v="0"/>
    <x v="0"/>
    <n v="2"/>
    <s v="Marketing"/>
    <s v="656"/>
    <x v="2"/>
    <x v="1"/>
    <n v="3"/>
    <n v="2"/>
    <x v="0"/>
    <x v="2"/>
    <x v="1"/>
    <n v="9602"/>
    <x v="0"/>
    <x v="0"/>
    <n v="3"/>
    <n v="17"/>
    <n v="2"/>
    <x v="11"/>
    <n v="0"/>
    <n v="1"/>
    <n v="0"/>
    <x v="0"/>
    <x v="2"/>
    <x v="1"/>
  </r>
  <r>
    <n v="20"/>
    <s v="No"/>
    <n v="0"/>
    <x v="0"/>
    <x v="1"/>
    <n v="1"/>
    <s v="Life Sciences"/>
    <s v="657"/>
    <x v="2"/>
    <x v="0"/>
    <n v="2"/>
    <n v="1"/>
    <x v="1"/>
    <x v="1"/>
    <x v="0"/>
    <n v="2836"/>
    <x v="1"/>
    <x v="1"/>
    <n v="3"/>
    <n v="1"/>
    <n v="4"/>
    <x v="6"/>
    <n v="0"/>
    <n v="0"/>
    <n v="0"/>
    <x v="3"/>
    <x v="1"/>
    <x v="1"/>
  </r>
  <r>
    <n v="42"/>
    <s v="No"/>
    <n v="0"/>
    <x v="0"/>
    <x v="1"/>
    <n v="2"/>
    <s v="Life Sciences"/>
    <s v="659"/>
    <x v="1"/>
    <x v="0"/>
    <n v="3"/>
    <n v="2"/>
    <x v="4"/>
    <x v="0"/>
    <x v="1"/>
    <n v="4089"/>
    <x v="1"/>
    <x v="1"/>
    <n v="3"/>
    <n v="10"/>
    <n v="3"/>
    <x v="1"/>
    <n v="2"/>
    <n v="2"/>
    <n v="2"/>
    <x v="0"/>
    <x v="0"/>
    <x v="0"/>
  </r>
  <r>
    <n v="43"/>
    <s v="No"/>
    <n v="0"/>
    <x v="0"/>
    <x v="1"/>
    <n v="6"/>
    <s v="Other"/>
    <s v="661"/>
    <x v="0"/>
    <x v="1"/>
    <n v="2"/>
    <n v="4"/>
    <x v="7"/>
    <x v="0"/>
    <x v="2"/>
    <n v="16627"/>
    <x v="2"/>
    <x v="0"/>
    <n v="3"/>
    <n v="21"/>
    <n v="2"/>
    <x v="6"/>
    <n v="0"/>
    <n v="0"/>
    <n v="0"/>
    <x v="0"/>
    <x v="2"/>
    <x v="1"/>
  </r>
  <r>
    <n v="38"/>
    <s v="No"/>
    <n v="0"/>
    <x v="0"/>
    <x v="1"/>
    <n v="1"/>
    <s v="Life Sciences"/>
    <s v="662"/>
    <x v="1"/>
    <x v="0"/>
    <n v="3"/>
    <n v="1"/>
    <x v="1"/>
    <x v="3"/>
    <x v="0"/>
    <n v="2619"/>
    <x v="1"/>
    <x v="1"/>
    <n v="3"/>
    <n v="8"/>
    <n v="2"/>
    <x v="2"/>
    <n v="0"/>
    <n v="0"/>
    <n v="0"/>
    <x v="0"/>
    <x v="0"/>
    <x v="1"/>
  </r>
  <r>
    <n v="43"/>
    <s v="No"/>
    <n v="0"/>
    <x v="1"/>
    <x v="1"/>
    <n v="9"/>
    <s v="Medical"/>
    <s v="663"/>
    <x v="2"/>
    <x v="1"/>
    <n v="3"/>
    <n v="2"/>
    <x v="2"/>
    <x v="2"/>
    <x v="2"/>
    <n v="5679"/>
    <x v="0"/>
    <x v="0"/>
    <n v="3"/>
    <n v="10"/>
    <n v="3"/>
    <x v="3"/>
    <n v="7"/>
    <n v="4"/>
    <n v="7"/>
    <x v="0"/>
    <x v="0"/>
    <x v="0"/>
  </r>
  <r>
    <n v="48"/>
    <s v="No"/>
    <n v="0"/>
    <x v="0"/>
    <x v="1"/>
    <n v="1"/>
    <s v="Life Sciences"/>
    <s v="664"/>
    <x v="2"/>
    <x v="0"/>
    <n v="2"/>
    <n v="4"/>
    <x v="5"/>
    <x v="3"/>
    <x v="1"/>
    <n v="15402"/>
    <x v="2"/>
    <x v="1"/>
    <n v="3"/>
    <n v="21"/>
    <n v="1"/>
    <x v="11"/>
    <n v="2"/>
    <n v="0"/>
    <n v="2"/>
    <x v="1"/>
    <x v="2"/>
    <x v="1"/>
  </r>
  <r>
    <n v="44"/>
    <s v="No"/>
    <n v="0"/>
    <x v="0"/>
    <x v="2"/>
    <n v="1"/>
    <s v="Life Sciences"/>
    <s v="665"/>
    <x v="3"/>
    <x v="0"/>
    <n v="2"/>
    <n v="2"/>
    <x v="8"/>
    <x v="2"/>
    <x v="0"/>
    <n v="5985"/>
    <x v="0"/>
    <x v="1"/>
    <n v="3"/>
    <n v="10"/>
    <n v="4"/>
    <x v="4"/>
    <n v="2"/>
    <n v="0"/>
    <n v="2"/>
    <x v="0"/>
    <x v="0"/>
    <x v="1"/>
  </r>
  <r>
    <n v="34"/>
    <s v="No"/>
    <n v="0"/>
    <x v="0"/>
    <x v="0"/>
    <n v="14"/>
    <s v="Technical Degree"/>
    <s v="666"/>
    <x v="1"/>
    <x v="0"/>
    <n v="3"/>
    <n v="1"/>
    <x v="6"/>
    <x v="2"/>
    <x v="2"/>
    <n v="2579"/>
    <x v="1"/>
    <x v="0"/>
    <n v="3"/>
    <n v="8"/>
    <n v="3"/>
    <x v="3"/>
    <n v="2"/>
    <n v="0"/>
    <n v="6"/>
    <x v="2"/>
    <x v="0"/>
    <x v="0"/>
  </r>
  <r>
    <n v="27"/>
    <s v="Yes"/>
    <n v="1"/>
    <x v="0"/>
    <x v="0"/>
    <n v="2"/>
    <s v="Marketing"/>
    <s v="667"/>
    <x v="1"/>
    <x v="1"/>
    <n v="3"/>
    <n v="1"/>
    <x v="6"/>
    <x v="3"/>
    <x v="2"/>
    <n v="3041"/>
    <x v="1"/>
    <x v="1"/>
    <n v="3"/>
    <n v="5"/>
    <n v="3"/>
    <x v="9"/>
    <n v="3"/>
    <n v="0"/>
    <n v="2"/>
    <x v="2"/>
    <x v="1"/>
    <x v="1"/>
  </r>
  <r>
    <n v="21"/>
    <s v="No"/>
    <n v="0"/>
    <x v="0"/>
    <x v="0"/>
    <n v="22"/>
    <s v="Technical Degree"/>
    <s v="669"/>
    <x v="1"/>
    <x v="1"/>
    <n v="3"/>
    <n v="1"/>
    <x v="6"/>
    <x v="2"/>
    <x v="0"/>
    <n v="3447"/>
    <x v="1"/>
    <x v="1"/>
    <n v="3"/>
    <n v="3"/>
    <n v="3"/>
    <x v="11"/>
    <n v="2"/>
    <n v="1"/>
    <n v="2"/>
    <x v="3"/>
    <x v="1"/>
    <x v="1"/>
  </r>
  <r>
    <n v="44"/>
    <s v="No"/>
    <n v="0"/>
    <x v="0"/>
    <x v="1"/>
    <n v="3"/>
    <s v="Other"/>
    <s v="671"/>
    <x v="2"/>
    <x v="1"/>
    <n v="3"/>
    <n v="5"/>
    <x v="5"/>
    <x v="0"/>
    <x v="1"/>
    <n v="19513"/>
    <x v="2"/>
    <x v="0"/>
    <n v="3"/>
    <n v="26"/>
    <n v="4"/>
    <x v="4"/>
    <n v="2"/>
    <n v="0"/>
    <n v="1"/>
    <x v="0"/>
    <x v="2"/>
    <x v="1"/>
  </r>
  <r>
    <n v="22"/>
    <s v="No"/>
    <n v="0"/>
    <x v="0"/>
    <x v="1"/>
    <n v="6"/>
    <s v="Medical"/>
    <s v="675"/>
    <x v="3"/>
    <x v="1"/>
    <n v="3"/>
    <n v="1"/>
    <x v="1"/>
    <x v="2"/>
    <x v="1"/>
    <n v="2773"/>
    <x v="1"/>
    <x v="1"/>
    <n v="4"/>
    <n v="3"/>
    <n v="3"/>
    <x v="4"/>
    <n v="2"/>
    <n v="2"/>
    <n v="2"/>
    <x v="3"/>
    <x v="1"/>
    <x v="1"/>
  </r>
  <r>
    <n v="33"/>
    <s v="No"/>
    <n v="0"/>
    <x v="0"/>
    <x v="0"/>
    <n v="8"/>
    <s v="Marketing"/>
    <s v="677"/>
    <x v="1"/>
    <x v="1"/>
    <n v="3"/>
    <n v="2"/>
    <x v="0"/>
    <x v="2"/>
    <x v="2"/>
    <n v="7104"/>
    <x v="0"/>
    <x v="1"/>
    <n v="3"/>
    <n v="6"/>
    <n v="3"/>
    <x v="8"/>
    <n v="0"/>
    <n v="1"/>
    <n v="2"/>
    <x v="2"/>
    <x v="0"/>
    <x v="1"/>
  </r>
  <r>
    <n v="32"/>
    <s v="No"/>
    <n v="0"/>
    <x v="0"/>
    <x v="1"/>
    <n v="9"/>
    <s v="Life Sciences"/>
    <s v="679"/>
    <x v="3"/>
    <x v="0"/>
    <n v="3"/>
    <n v="2"/>
    <x v="1"/>
    <x v="0"/>
    <x v="1"/>
    <n v="6322"/>
    <x v="0"/>
    <x v="0"/>
    <n v="3"/>
    <n v="6"/>
    <n v="2"/>
    <x v="0"/>
    <n v="4"/>
    <n v="0"/>
    <n v="5"/>
    <x v="2"/>
    <x v="0"/>
    <x v="0"/>
  </r>
  <r>
    <n v="30"/>
    <s v="No"/>
    <n v="0"/>
    <x v="1"/>
    <x v="1"/>
    <n v="3"/>
    <s v="Medical"/>
    <s v="680"/>
    <x v="1"/>
    <x v="0"/>
    <n v="3"/>
    <n v="1"/>
    <x v="1"/>
    <x v="2"/>
    <x v="2"/>
    <n v="2083"/>
    <x v="1"/>
    <x v="1"/>
    <n v="4"/>
    <n v="1"/>
    <n v="3"/>
    <x v="6"/>
    <n v="0"/>
    <n v="0"/>
    <n v="0"/>
    <x v="2"/>
    <x v="1"/>
    <x v="1"/>
  </r>
  <r>
    <n v="53"/>
    <s v="No"/>
    <n v="0"/>
    <x v="0"/>
    <x v="0"/>
    <n v="1"/>
    <s v="Medical"/>
    <s v="682"/>
    <x v="2"/>
    <x v="0"/>
    <n v="3"/>
    <n v="2"/>
    <x v="0"/>
    <x v="3"/>
    <x v="0"/>
    <n v="8381"/>
    <x v="0"/>
    <x v="1"/>
    <n v="4"/>
    <n v="18"/>
    <n v="4"/>
    <x v="13"/>
    <n v="7"/>
    <n v="8"/>
    <n v="10"/>
    <x v="1"/>
    <x v="2"/>
    <x v="2"/>
  </r>
  <r>
    <n v="34"/>
    <s v="No"/>
    <n v="0"/>
    <x v="0"/>
    <x v="1"/>
    <n v="1"/>
    <s v="Life Sciences"/>
    <s v="683"/>
    <x v="0"/>
    <x v="1"/>
    <n v="3"/>
    <n v="1"/>
    <x v="1"/>
    <x v="0"/>
    <x v="1"/>
    <n v="2691"/>
    <x v="1"/>
    <x v="1"/>
    <n v="3"/>
    <n v="10"/>
    <n v="2"/>
    <x v="1"/>
    <n v="9"/>
    <n v="8"/>
    <n v="8"/>
    <x v="2"/>
    <x v="0"/>
    <x v="0"/>
  </r>
  <r>
    <n v="45"/>
    <s v="Yes"/>
    <n v="1"/>
    <x v="1"/>
    <x v="0"/>
    <n v="26"/>
    <s v="Life Sciences"/>
    <s v="684"/>
    <x v="3"/>
    <x v="0"/>
    <n v="3"/>
    <n v="2"/>
    <x v="0"/>
    <x v="3"/>
    <x v="1"/>
    <n v="4286"/>
    <x v="1"/>
    <x v="1"/>
    <n v="3"/>
    <n v="5"/>
    <n v="3"/>
    <x v="6"/>
    <n v="1"/>
    <n v="0"/>
    <n v="0"/>
    <x v="0"/>
    <x v="1"/>
    <x v="1"/>
  </r>
  <r>
    <n v="26"/>
    <s v="No"/>
    <n v="0"/>
    <x v="0"/>
    <x v="1"/>
    <n v="6"/>
    <s v="Life Sciences"/>
    <s v="686"/>
    <x v="1"/>
    <x v="0"/>
    <n v="3"/>
    <n v="1"/>
    <x v="2"/>
    <x v="0"/>
    <x v="1"/>
    <n v="2659"/>
    <x v="1"/>
    <x v="0"/>
    <n v="3"/>
    <n v="3"/>
    <n v="3"/>
    <x v="11"/>
    <n v="2"/>
    <n v="0"/>
    <n v="2"/>
    <x v="2"/>
    <x v="1"/>
    <x v="1"/>
  </r>
  <r>
    <n v="37"/>
    <s v="No"/>
    <n v="0"/>
    <x v="0"/>
    <x v="1"/>
    <n v="3"/>
    <s v="Other"/>
    <s v="689"/>
    <x v="1"/>
    <x v="1"/>
    <n v="3"/>
    <n v="3"/>
    <x v="3"/>
    <x v="2"/>
    <x v="1"/>
    <n v="9434"/>
    <x v="0"/>
    <x v="1"/>
    <n v="3"/>
    <n v="10"/>
    <n v="3"/>
    <x v="1"/>
    <n v="7"/>
    <n v="7"/>
    <n v="8"/>
    <x v="0"/>
    <x v="0"/>
    <x v="0"/>
  </r>
  <r>
    <n v="29"/>
    <s v="No"/>
    <n v="0"/>
    <x v="0"/>
    <x v="0"/>
    <n v="3"/>
    <s v="Medical"/>
    <s v="690"/>
    <x v="0"/>
    <x v="0"/>
    <n v="3"/>
    <n v="2"/>
    <x v="0"/>
    <x v="2"/>
    <x v="1"/>
    <n v="5561"/>
    <x v="0"/>
    <x v="1"/>
    <n v="3"/>
    <n v="6"/>
    <n v="2"/>
    <x v="0"/>
    <n v="0"/>
    <n v="1"/>
    <n v="2"/>
    <x v="2"/>
    <x v="0"/>
    <x v="0"/>
  </r>
  <r>
    <n v="35"/>
    <s v="No"/>
    <n v="0"/>
    <x v="0"/>
    <x v="1"/>
    <n v="6"/>
    <s v="Life Sciences"/>
    <s v="691"/>
    <x v="0"/>
    <x v="1"/>
    <n v="1"/>
    <n v="2"/>
    <x v="1"/>
    <x v="0"/>
    <x v="0"/>
    <n v="6646"/>
    <x v="0"/>
    <x v="1"/>
    <n v="3"/>
    <n v="17"/>
    <n v="3"/>
    <x v="18"/>
    <n v="11"/>
    <n v="11"/>
    <n v="8"/>
    <x v="2"/>
    <x v="2"/>
    <x v="2"/>
  </r>
  <r>
    <n v="33"/>
    <s v="No"/>
    <n v="0"/>
    <x v="1"/>
    <x v="1"/>
    <n v="6"/>
    <s v="Life Sciences"/>
    <s v="692"/>
    <x v="1"/>
    <x v="1"/>
    <n v="3"/>
    <n v="2"/>
    <x v="4"/>
    <x v="0"/>
    <x v="2"/>
    <n v="7725"/>
    <x v="0"/>
    <x v="1"/>
    <n v="4"/>
    <n v="15"/>
    <n v="1"/>
    <x v="20"/>
    <n v="11"/>
    <n v="4"/>
    <n v="7"/>
    <x v="2"/>
    <x v="0"/>
    <x v="2"/>
  </r>
  <r>
    <n v="54"/>
    <s v="No"/>
    <n v="0"/>
    <x v="0"/>
    <x v="2"/>
    <n v="19"/>
    <s v="Medical"/>
    <s v="698"/>
    <x v="1"/>
    <x v="1"/>
    <n v="3"/>
    <n v="3"/>
    <x v="8"/>
    <x v="1"/>
    <x v="1"/>
    <n v="10725"/>
    <x v="0"/>
    <x v="1"/>
    <n v="3"/>
    <n v="16"/>
    <n v="4"/>
    <x v="7"/>
    <n v="7"/>
    <n v="7"/>
    <n v="1"/>
    <x v="1"/>
    <x v="2"/>
    <x v="0"/>
  </r>
  <r>
    <n v="36"/>
    <s v="No"/>
    <n v="0"/>
    <x v="0"/>
    <x v="1"/>
    <n v="9"/>
    <s v="Medical"/>
    <s v="699"/>
    <x v="0"/>
    <x v="1"/>
    <n v="2"/>
    <n v="2"/>
    <x v="3"/>
    <x v="1"/>
    <x v="2"/>
    <n v="8847"/>
    <x v="0"/>
    <x v="0"/>
    <n v="3"/>
    <n v="13"/>
    <n v="3"/>
    <x v="11"/>
    <n v="2"/>
    <n v="0"/>
    <n v="2"/>
    <x v="0"/>
    <x v="0"/>
    <x v="1"/>
  </r>
  <r>
    <n v="27"/>
    <s v="No"/>
    <n v="0"/>
    <x v="0"/>
    <x v="1"/>
    <n v="3"/>
    <s v="Medical"/>
    <s v="700"/>
    <x v="3"/>
    <x v="1"/>
    <n v="2"/>
    <n v="1"/>
    <x v="1"/>
    <x v="0"/>
    <x v="0"/>
    <n v="2045"/>
    <x v="1"/>
    <x v="1"/>
    <n v="3"/>
    <n v="5"/>
    <n v="3"/>
    <x v="9"/>
    <n v="2"/>
    <n v="1"/>
    <n v="1"/>
    <x v="2"/>
    <x v="1"/>
    <x v="1"/>
  </r>
  <r>
    <n v="20"/>
    <s v="Yes"/>
    <n v="1"/>
    <x v="0"/>
    <x v="1"/>
    <n v="10"/>
    <s v="Medical"/>
    <s v="701"/>
    <x v="2"/>
    <x v="1"/>
    <n v="3"/>
    <n v="1"/>
    <x v="1"/>
    <x v="2"/>
    <x v="0"/>
    <n v="1009"/>
    <x v="1"/>
    <x v="0"/>
    <n v="3"/>
    <n v="1"/>
    <n v="3"/>
    <x v="6"/>
    <n v="0"/>
    <n v="1"/>
    <n v="1"/>
    <x v="3"/>
    <x v="1"/>
    <x v="1"/>
  </r>
  <r>
    <n v="33"/>
    <s v="Yes"/>
    <n v="1"/>
    <x v="1"/>
    <x v="1"/>
    <n v="3"/>
    <s v="Life Sciences"/>
    <s v="702"/>
    <x v="3"/>
    <x v="1"/>
    <n v="3"/>
    <n v="1"/>
    <x v="1"/>
    <x v="3"/>
    <x v="0"/>
    <n v="3348"/>
    <x v="1"/>
    <x v="0"/>
    <n v="3"/>
    <n v="10"/>
    <n v="3"/>
    <x v="1"/>
    <n v="8"/>
    <n v="9"/>
    <n v="7"/>
    <x v="2"/>
    <x v="0"/>
    <x v="0"/>
  </r>
  <r>
    <n v="35"/>
    <s v="No"/>
    <n v="0"/>
    <x v="2"/>
    <x v="1"/>
    <n v="3"/>
    <s v="Life Sciences"/>
    <s v="704"/>
    <x v="1"/>
    <x v="1"/>
    <n v="2"/>
    <n v="1"/>
    <x v="2"/>
    <x v="2"/>
    <x v="1"/>
    <n v="1281"/>
    <x v="1"/>
    <x v="1"/>
    <n v="3"/>
    <n v="1"/>
    <n v="3"/>
    <x v="6"/>
    <n v="0"/>
    <n v="0"/>
    <n v="0"/>
    <x v="2"/>
    <x v="1"/>
    <x v="1"/>
  </r>
  <r>
    <n v="23"/>
    <s v="No"/>
    <n v="0"/>
    <x v="0"/>
    <x v="1"/>
    <n v="4"/>
    <s v="Medical"/>
    <s v="705"/>
    <x v="3"/>
    <x v="1"/>
    <n v="4"/>
    <n v="1"/>
    <x v="1"/>
    <x v="3"/>
    <x v="1"/>
    <n v="2819"/>
    <x v="1"/>
    <x v="1"/>
    <n v="3"/>
    <n v="5"/>
    <n v="4"/>
    <x v="11"/>
    <n v="2"/>
    <n v="0"/>
    <n v="2"/>
    <x v="3"/>
    <x v="1"/>
    <x v="1"/>
  </r>
  <r>
    <n v="25"/>
    <s v="No"/>
    <n v="0"/>
    <x v="0"/>
    <x v="0"/>
    <n v="8"/>
    <s v="Life Sciences"/>
    <s v="707"/>
    <x v="2"/>
    <x v="1"/>
    <n v="4"/>
    <n v="2"/>
    <x v="0"/>
    <x v="1"/>
    <x v="1"/>
    <n v="4851"/>
    <x v="1"/>
    <x v="1"/>
    <n v="4"/>
    <n v="4"/>
    <n v="3"/>
    <x v="11"/>
    <n v="2"/>
    <n v="1"/>
    <n v="2"/>
    <x v="3"/>
    <x v="1"/>
    <x v="1"/>
  </r>
  <r>
    <n v="38"/>
    <s v="No"/>
    <n v="0"/>
    <x v="0"/>
    <x v="0"/>
    <n v="7"/>
    <s v="Marketing"/>
    <s v="709"/>
    <x v="2"/>
    <x v="0"/>
    <n v="2"/>
    <n v="2"/>
    <x v="0"/>
    <x v="0"/>
    <x v="0"/>
    <n v="4028"/>
    <x v="1"/>
    <x v="1"/>
    <n v="4"/>
    <n v="8"/>
    <n v="3"/>
    <x v="5"/>
    <n v="7"/>
    <n v="0"/>
    <n v="5"/>
    <x v="0"/>
    <x v="0"/>
    <x v="0"/>
  </r>
  <r>
    <n v="29"/>
    <s v="No"/>
    <n v="0"/>
    <x v="1"/>
    <x v="1"/>
    <n v="1"/>
    <s v="Life Sciences"/>
    <s v="710"/>
    <x v="0"/>
    <x v="1"/>
    <n v="1"/>
    <n v="1"/>
    <x v="1"/>
    <x v="0"/>
    <x v="2"/>
    <n v="2720"/>
    <x v="1"/>
    <x v="1"/>
    <n v="3"/>
    <n v="10"/>
    <n v="3"/>
    <x v="1"/>
    <n v="7"/>
    <n v="2"/>
    <n v="8"/>
    <x v="2"/>
    <x v="0"/>
    <x v="0"/>
  </r>
  <r>
    <n v="48"/>
    <s v="No"/>
    <n v="0"/>
    <x v="0"/>
    <x v="0"/>
    <n v="2"/>
    <s v="Marketing"/>
    <s v="712"/>
    <x v="0"/>
    <x v="1"/>
    <n v="4"/>
    <n v="2"/>
    <x v="0"/>
    <x v="1"/>
    <x v="1"/>
    <n v="8120"/>
    <x v="0"/>
    <x v="1"/>
    <n v="3"/>
    <n v="12"/>
    <n v="3"/>
    <x v="4"/>
    <n v="2"/>
    <n v="2"/>
    <n v="2"/>
    <x v="1"/>
    <x v="0"/>
    <x v="1"/>
  </r>
  <r>
    <n v="27"/>
    <s v="No"/>
    <n v="0"/>
    <x v="1"/>
    <x v="0"/>
    <n v="3"/>
    <s v="Medical"/>
    <s v="714"/>
    <x v="2"/>
    <x v="0"/>
    <n v="4"/>
    <n v="2"/>
    <x v="0"/>
    <x v="0"/>
    <x v="2"/>
    <n v="4647"/>
    <x v="1"/>
    <x v="0"/>
    <n v="4"/>
    <n v="6"/>
    <n v="3"/>
    <x v="0"/>
    <n v="5"/>
    <n v="0"/>
    <n v="4"/>
    <x v="2"/>
    <x v="0"/>
    <x v="0"/>
  </r>
  <r>
    <n v="37"/>
    <s v="No"/>
    <n v="0"/>
    <x v="0"/>
    <x v="1"/>
    <n v="10"/>
    <s v="Life Sciences"/>
    <s v="715"/>
    <x v="2"/>
    <x v="1"/>
    <n v="4"/>
    <n v="1"/>
    <x v="1"/>
    <x v="0"/>
    <x v="0"/>
    <n v="4680"/>
    <x v="1"/>
    <x v="1"/>
    <n v="3"/>
    <n v="4"/>
    <n v="3"/>
    <x v="6"/>
    <n v="0"/>
    <n v="0"/>
    <n v="0"/>
    <x v="0"/>
    <x v="1"/>
    <x v="1"/>
  </r>
  <r>
    <n v="50"/>
    <s v="No"/>
    <n v="0"/>
    <x v="0"/>
    <x v="1"/>
    <n v="28"/>
    <s v="Medical"/>
    <s v="716"/>
    <x v="2"/>
    <x v="1"/>
    <n v="4"/>
    <n v="1"/>
    <x v="2"/>
    <x v="2"/>
    <x v="1"/>
    <n v="3221"/>
    <x v="1"/>
    <x v="0"/>
    <n v="3"/>
    <n v="20"/>
    <n v="3"/>
    <x v="23"/>
    <n v="8"/>
    <n v="3"/>
    <n v="8"/>
    <x v="1"/>
    <x v="2"/>
    <x v="2"/>
  </r>
  <r>
    <n v="34"/>
    <s v="No"/>
    <n v="0"/>
    <x v="0"/>
    <x v="1"/>
    <n v="9"/>
    <s v="Medical"/>
    <s v="717"/>
    <x v="2"/>
    <x v="0"/>
    <n v="2"/>
    <n v="3"/>
    <x v="4"/>
    <x v="1"/>
    <x v="0"/>
    <n v="8621"/>
    <x v="0"/>
    <x v="1"/>
    <n v="3"/>
    <n v="9"/>
    <n v="4"/>
    <x v="3"/>
    <n v="7"/>
    <n v="7"/>
    <n v="7"/>
    <x v="2"/>
    <x v="0"/>
    <x v="0"/>
  </r>
  <r>
    <n v="24"/>
    <s v="Yes"/>
    <n v="1"/>
    <x v="0"/>
    <x v="0"/>
    <n v="3"/>
    <s v="Life Sciences"/>
    <s v="720"/>
    <x v="3"/>
    <x v="0"/>
    <n v="3"/>
    <n v="2"/>
    <x v="0"/>
    <x v="2"/>
    <x v="0"/>
    <n v="4577"/>
    <x v="1"/>
    <x v="1"/>
    <n v="3"/>
    <n v="4"/>
    <n v="3"/>
    <x v="4"/>
    <n v="2"/>
    <n v="2"/>
    <n v="0"/>
    <x v="3"/>
    <x v="1"/>
    <x v="1"/>
  </r>
  <r>
    <n v="39"/>
    <s v="No"/>
    <n v="0"/>
    <x v="0"/>
    <x v="1"/>
    <n v="2"/>
    <s v="Technical Degree"/>
    <s v="721"/>
    <x v="2"/>
    <x v="0"/>
    <n v="2"/>
    <n v="2"/>
    <x v="4"/>
    <x v="2"/>
    <x v="0"/>
    <n v="4553"/>
    <x v="1"/>
    <x v="1"/>
    <n v="3"/>
    <n v="20"/>
    <n v="3"/>
    <x v="23"/>
    <n v="7"/>
    <n v="11"/>
    <n v="10"/>
    <x v="0"/>
    <x v="2"/>
    <x v="2"/>
  </r>
  <r>
    <n v="32"/>
    <s v="No"/>
    <n v="0"/>
    <x v="0"/>
    <x v="0"/>
    <n v="10"/>
    <s v="Marketing"/>
    <s v="722"/>
    <x v="2"/>
    <x v="1"/>
    <n v="3"/>
    <n v="2"/>
    <x v="0"/>
    <x v="0"/>
    <x v="0"/>
    <n v="5396"/>
    <x v="0"/>
    <x v="1"/>
    <n v="3"/>
    <n v="10"/>
    <n v="2"/>
    <x v="1"/>
    <n v="7"/>
    <n v="0"/>
    <n v="8"/>
    <x v="2"/>
    <x v="0"/>
    <x v="0"/>
  </r>
  <r>
    <n v="50"/>
    <s v="Yes"/>
    <n v="1"/>
    <x v="1"/>
    <x v="0"/>
    <n v="8"/>
    <s v="Technical Degree"/>
    <s v="723"/>
    <x v="0"/>
    <x v="1"/>
    <n v="3"/>
    <n v="2"/>
    <x v="0"/>
    <x v="2"/>
    <x v="1"/>
    <n v="6796"/>
    <x v="0"/>
    <x v="0"/>
    <n v="3"/>
    <n v="18"/>
    <n v="3"/>
    <x v="9"/>
    <n v="3"/>
    <n v="1"/>
    <n v="3"/>
    <x v="1"/>
    <x v="2"/>
    <x v="1"/>
  </r>
  <r>
    <n v="38"/>
    <s v="No"/>
    <n v="0"/>
    <x v="0"/>
    <x v="1"/>
    <n v="1"/>
    <s v="Life Sciences"/>
    <s v="724"/>
    <x v="0"/>
    <x v="0"/>
    <n v="4"/>
    <n v="2"/>
    <x v="4"/>
    <x v="0"/>
    <x v="0"/>
    <n v="7625"/>
    <x v="0"/>
    <x v="1"/>
    <n v="3"/>
    <n v="10"/>
    <n v="2"/>
    <x v="7"/>
    <n v="7"/>
    <n v="1"/>
    <n v="8"/>
    <x v="0"/>
    <x v="0"/>
    <x v="0"/>
  </r>
  <r>
    <n v="27"/>
    <s v="No"/>
    <n v="0"/>
    <x v="0"/>
    <x v="1"/>
    <n v="1"/>
    <s v="Life Sciences"/>
    <s v="725"/>
    <x v="1"/>
    <x v="0"/>
    <n v="3"/>
    <n v="3"/>
    <x v="3"/>
    <x v="3"/>
    <x v="1"/>
    <n v="7412"/>
    <x v="0"/>
    <x v="1"/>
    <n v="3"/>
    <n v="9"/>
    <n v="3"/>
    <x v="7"/>
    <n v="7"/>
    <n v="0"/>
    <n v="7"/>
    <x v="2"/>
    <x v="0"/>
    <x v="0"/>
  </r>
  <r>
    <n v="32"/>
    <s v="No"/>
    <n v="0"/>
    <x v="0"/>
    <x v="1"/>
    <n v="3"/>
    <s v="Life Sciences"/>
    <s v="727"/>
    <x v="1"/>
    <x v="0"/>
    <n v="3"/>
    <n v="3"/>
    <x v="7"/>
    <x v="0"/>
    <x v="0"/>
    <n v="11159"/>
    <x v="0"/>
    <x v="1"/>
    <n v="3"/>
    <n v="10"/>
    <n v="3"/>
    <x v="5"/>
    <n v="7"/>
    <n v="7"/>
    <n v="7"/>
    <x v="2"/>
    <x v="0"/>
    <x v="0"/>
  </r>
  <r>
    <n v="47"/>
    <s v="No"/>
    <n v="0"/>
    <x v="0"/>
    <x v="0"/>
    <n v="14"/>
    <s v="Marketing"/>
    <s v="728"/>
    <x v="2"/>
    <x v="1"/>
    <n v="3"/>
    <n v="2"/>
    <x v="0"/>
    <x v="3"/>
    <x v="0"/>
    <n v="4960"/>
    <x v="1"/>
    <x v="1"/>
    <n v="3"/>
    <n v="20"/>
    <n v="3"/>
    <x v="5"/>
    <n v="7"/>
    <n v="1"/>
    <n v="7"/>
    <x v="1"/>
    <x v="2"/>
    <x v="0"/>
  </r>
  <r>
    <n v="40"/>
    <s v="No"/>
    <n v="0"/>
    <x v="1"/>
    <x v="0"/>
    <n v="5"/>
    <s v="Life Sciences"/>
    <s v="729"/>
    <x v="2"/>
    <x v="1"/>
    <n v="2"/>
    <n v="3"/>
    <x v="0"/>
    <x v="3"/>
    <x v="1"/>
    <n v="10475"/>
    <x v="0"/>
    <x v="0"/>
    <n v="4"/>
    <n v="20"/>
    <n v="3"/>
    <x v="29"/>
    <n v="13"/>
    <n v="1"/>
    <n v="12"/>
    <x v="0"/>
    <x v="2"/>
    <x v="2"/>
  </r>
  <r>
    <n v="53"/>
    <s v="No"/>
    <n v="0"/>
    <x v="0"/>
    <x v="1"/>
    <n v="7"/>
    <s v="Life Sciences"/>
    <s v="730"/>
    <x v="1"/>
    <x v="1"/>
    <n v="4"/>
    <n v="4"/>
    <x v="7"/>
    <x v="2"/>
    <x v="1"/>
    <n v="14814"/>
    <x v="2"/>
    <x v="1"/>
    <n v="3"/>
    <n v="32"/>
    <n v="3"/>
    <x v="8"/>
    <n v="1"/>
    <n v="1"/>
    <n v="3"/>
    <x v="1"/>
    <x v="2"/>
    <x v="1"/>
  </r>
  <r>
    <n v="41"/>
    <s v="No"/>
    <n v="0"/>
    <x v="0"/>
    <x v="2"/>
    <n v="10"/>
    <s v="Human Resources"/>
    <s v="731"/>
    <x v="0"/>
    <x v="1"/>
    <n v="2"/>
    <n v="5"/>
    <x v="5"/>
    <x v="0"/>
    <x v="2"/>
    <n v="19141"/>
    <x v="2"/>
    <x v="1"/>
    <n v="3"/>
    <n v="23"/>
    <n v="2"/>
    <x v="17"/>
    <n v="6"/>
    <n v="12"/>
    <n v="6"/>
    <x v="0"/>
    <x v="2"/>
    <x v="2"/>
  </r>
  <r>
    <n v="60"/>
    <s v="No"/>
    <n v="0"/>
    <x v="0"/>
    <x v="0"/>
    <n v="16"/>
    <s v="Marketing"/>
    <s v="732"/>
    <x v="3"/>
    <x v="1"/>
    <n v="3"/>
    <n v="2"/>
    <x v="0"/>
    <x v="3"/>
    <x v="0"/>
    <n v="5405"/>
    <x v="0"/>
    <x v="1"/>
    <n v="3"/>
    <n v="10"/>
    <n v="3"/>
    <x v="4"/>
    <n v="2"/>
    <n v="2"/>
    <n v="2"/>
    <x v="1"/>
    <x v="0"/>
    <x v="1"/>
  </r>
  <r>
    <n v="27"/>
    <s v="No"/>
    <n v="0"/>
    <x v="1"/>
    <x v="1"/>
    <n v="10"/>
    <s v="Life Sciences"/>
    <s v="733"/>
    <x v="2"/>
    <x v="1"/>
    <n v="3"/>
    <n v="3"/>
    <x v="3"/>
    <x v="3"/>
    <x v="2"/>
    <n v="8793"/>
    <x v="0"/>
    <x v="1"/>
    <n v="4"/>
    <n v="9"/>
    <n v="2"/>
    <x v="7"/>
    <n v="7"/>
    <n v="1"/>
    <n v="7"/>
    <x v="2"/>
    <x v="0"/>
    <x v="0"/>
  </r>
  <r>
    <n v="41"/>
    <s v="No"/>
    <n v="0"/>
    <x v="0"/>
    <x v="2"/>
    <n v="1"/>
    <s v="Human Resources"/>
    <s v="734"/>
    <x v="2"/>
    <x v="1"/>
    <n v="2"/>
    <n v="5"/>
    <x v="5"/>
    <x v="2"/>
    <x v="1"/>
    <n v="19189"/>
    <x v="2"/>
    <x v="1"/>
    <n v="3"/>
    <n v="22"/>
    <n v="3"/>
    <x v="14"/>
    <n v="7"/>
    <n v="2"/>
    <n v="10"/>
    <x v="0"/>
    <x v="2"/>
    <x v="2"/>
  </r>
  <r>
    <n v="50"/>
    <s v="No"/>
    <n v="0"/>
    <x v="0"/>
    <x v="0"/>
    <n v="8"/>
    <s v="Marketing"/>
    <s v="738"/>
    <x v="2"/>
    <x v="1"/>
    <n v="3"/>
    <n v="1"/>
    <x v="6"/>
    <x v="1"/>
    <x v="1"/>
    <n v="3875"/>
    <x v="1"/>
    <x v="1"/>
    <n v="3"/>
    <n v="4"/>
    <n v="3"/>
    <x v="4"/>
    <n v="2"/>
    <n v="2"/>
    <n v="2"/>
    <x v="1"/>
    <x v="1"/>
    <x v="1"/>
  </r>
  <r>
    <n v="28"/>
    <s v="Yes"/>
    <n v="1"/>
    <x v="0"/>
    <x v="1"/>
    <n v="1"/>
    <s v="Life Sciences"/>
    <s v="741"/>
    <x v="3"/>
    <x v="0"/>
    <n v="1"/>
    <n v="1"/>
    <x v="1"/>
    <x v="1"/>
    <x v="0"/>
    <n v="2216"/>
    <x v="1"/>
    <x v="0"/>
    <n v="3"/>
    <n v="10"/>
    <n v="3"/>
    <x v="5"/>
    <n v="7"/>
    <n v="3"/>
    <n v="7"/>
    <x v="2"/>
    <x v="0"/>
    <x v="0"/>
  </r>
  <r>
    <n v="36"/>
    <s v="No"/>
    <n v="0"/>
    <x v="2"/>
    <x v="1"/>
    <n v="8"/>
    <s v="Life Sciences"/>
    <s v="742"/>
    <x v="3"/>
    <x v="0"/>
    <n v="4"/>
    <n v="3"/>
    <x v="7"/>
    <x v="3"/>
    <x v="1"/>
    <n v="11713"/>
    <x v="0"/>
    <x v="1"/>
    <n v="3"/>
    <n v="10"/>
    <n v="3"/>
    <x v="3"/>
    <n v="7"/>
    <n v="0"/>
    <n v="5"/>
    <x v="0"/>
    <x v="0"/>
    <x v="0"/>
  </r>
  <r>
    <n v="38"/>
    <s v="No"/>
    <n v="0"/>
    <x v="0"/>
    <x v="1"/>
    <n v="1"/>
    <s v="Life Sciences"/>
    <s v="743"/>
    <x v="1"/>
    <x v="0"/>
    <n v="3"/>
    <n v="3"/>
    <x v="3"/>
    <x v="2"/>
    <x v="0"/>
    <n v="7861"/>
    <x v="0"/>
    <x v="0"/>
    <n v="3"/>
    <n v="10"/>
    <n v="4"/>
    <x v="6"/>
    <n v="0"/>
    <n v="0"/>
    <n v="0"/>
    <x v="0"/>
    <x v="0"/>
    <x v="1"/>
  </r>
  <r>
    <n v="44"/>
    <s v="No"/>
    <n v="0"/>
    <x v="2"/>
    <x v="1"/>
    <n v="24"/>
    <s v="Medical"/>
    <s v="744"/>
    <x v="3"/>
    <x v="1"/>
    <n v="1"/>
    <n v="1"/>
    <x v="2"/>
    <x v="2"/>
    <x v="0"/>
    <n v="3708"/>
    <x v="1"/>
    <x v="1"/>
    <n v="3"/>
    <n v="9"/>
    <n v="3"/>
    <x v="8"/>
    <n v="2"/>
    <n v="1"/>
    <n v="4"/>
    <x v="0"/>
    <x v="0"/>
    <x v="1"/>
  </r>
  <r>
    <n v="47"/>
    <s v="No"/>
    <n v="0"/>
    <x v="1"/>
    <x v="0"/>
    <n v="3"/>
    <s v="Medical"/>
    <s v="746"/>
    <x v="2"/>
    <x v="0"/>
    <n v="3"/>
    <n v="4"/>
    <x v="0"/>
    <x v="2"/>
    <x v="2"/>
    <n v="13770"/>
    <x v="2"/>
    <x v="0"/>
    <n v="3"/>
    <n v="28"/>
    <n v="2"/>
    <x v="14"/>
    <n v="2"/>
    <n v="11"/>
    <n v="13"/>
    <x v="1"/>
    <x v="2"/>
    <x v="2"/>
  </r>
  <r>
    <n v="30"/>
    <s v="No"/>
    <n v="0"/>
    <x v="0"/>
    <x v="0"/>
    <n v="27"/>
    <s v="Marketing"/>
    <s v="747"/>
    <x v="1"/>
    <x v="1"/>
    <n v="3"/>
    <n v="2"/>
    <x v="0"/>
    <x v="0"/>
    <x v="2"/>
    <n v="5304"/>
    <x v="0"/>
    <x v="1"/>
    <n v="4"/>
    <n v="10"/>
    <n v="2"/>
    <x v="3"/>
    <n v="7"/>
    <n v="7"/>
    <n v="7"/>
    <x v="2"/>
    <x v="0"/>
    <x v="0"/>
  </r>
  <r>
    <n v="29"/>
    <s v="No"/>
    <n v="0"/>
    <x v="0"/>
    <x v="0"/>
    <n v="10"/>
    <s v="Life Sciences"/>
    <s v="749"/>
    <x v="1"/>
    <x v="1"/>
    <n v="3"/>
    <n v="1"/>
    <x v="6"/>
    <x v="2"/>
    <x v="0"/>
    <n v="2642"/>
    <x v="1"/>
    <x v="1"/>
    <n v="3"/>
    <n v="1"/>
    <n v="3"/>
    <x v="6"/>
    <n v="0"/>
    <n v="0"/>
    <n v="0"/>
    <x v="2"/>
    <x v="1"/>
    <x v="1"/>
  </r>
  <r>
    <n v="42"/>
    <s v="Yes"/>
    <n v="1"/>
    <x v="1"/>
    <x v="1"/>
    <n v="19"/>
    <s v="Medical"/>
    <s v="752"/>
    <x v="1"/>
    <x v="1"/>
    <n v="4"/>
    <n v="1"/>
    <x v="1"/>
    <x v="2"/>
    <x v="2"/>
    <n v="2759"/>
    <x v="1"/>
    <x v="0"/>
    <n v="3"/>
    <n v="7"/>
    <n v="3"/>
    <x v="4"/>
    <n v="2"/>
    <n v="2"/>
    <n v="2"/>
    <x v="0"/>
    <x v="0"/>
    <x v="1"/>
  </r>
  <r>
    <n v="43"/>
    <s v="No"/>
    <n v="0"/>
    <x v="1"/>
    <x v="0"/>
    <n v="15"/>
    <s v="Life Sciences"/>
    <s v="754"/>
    <x v="2"/>
    <x v="1"/>
    <n v="2"/>
    <n v="2"/>
    <x v="0"/>
    <x v="0"/>
    <x v="1"/>
    <n v="6804"/>
    <x v="0"/>
    <x v="1"/>
    <n v="3"/>
    <n v="7"/>
    <n v="3"/>
    <x v="4"/>
    <n v="2"/>
    <n v="2"/>
    <n v="2"/>
    <x v="0"/>
    <x v="0"/>
    <x v="1"/>
  </r>
  <r>
    <n v="34"/>
    <s v="No"/>
    <n v="0"/>
    <x v="0"/>
    <x v="1"/>
    <n v="8"/>
    <s v="Medical"/>
    <s v="757"/>
    <x v="0"/>
    <x v="0"/>
    <n v="3"/>
    <n v="2"/>
    <x v="4"/>
    <x v="2"/>
    <x v="0"/>
    <n v="6142"/>
    <x v="0"/>
    <x v="1"/>
    <n v="3"/>
    <n v="10"/>
    <n v="3"/>
    <x v="8"/>
    <n v="1"/>
    <n v="4"/>
    <n v="3"/>
    <x v="2"/>
    <x v="0"/>
    <x v="1"/>
  </r>
  <r>
    <n v="23"/>
    <s v="No"/>
    <n v="0"/>
    <x v="0"/>
    <x v="1"/>
    <n v="9"/>
    <s v="Medical"/>
    <s v="758"/>
    <x v="0"/>
    <x v="1"/>
    <n v="3"/>
    <n v="1"/>
    <x v="2"/>
    <x v="3"/>
    <x v="1"/>
    <n v="2500"/>
    <x v="1"/>
    <x v="1"/>
    <n v="3"/>
    <n v="5"/>
    <n v="4"/>
    <x v="9"/>
    <n v="3"/>
    <n v="0"/>
    <n v="2"/>
    <x v="3"/>
    <x v="1"/>
    <x v="1"/>
  </r>
  <r>
    <n v="39"/>
    <s v="No"/>
    <n v="0"/>
    <x v="0"/>
    <x v="2"/>
    <n v="3"/>
    <s v="Human Resources"/>
    <s v="760"/>
    <x v="1"/>
    <x v="0"/>
    <n v="4"/>
    <n v="2"/>
    <x v="8"/>
    <x v="1"/>
    <x v="1"/>
    <n v="6389"/>
    <x v="0"/>
    <x v="1"/>
    <n v="3"/>
    <n v="12"/>
    <n v="1"/>
    <x v="3"/>
    <n v="3"/>
    <n v="3"/>
    <n v="6"/>
    <x v="0"/>
    <x v="0"/>
    <x v="0"/>
  </r>
  <r>
    <n v="56"/>
    <s v="No"/>
    <n v="0"/>
    <x v="0"/>
    <x v="1"/>
    <n v="9"/>
    <s v="Medical"/>
    <s v="762"/>
    <x v="1"/>
    <x v="1"/>
    <n v="3"/>
    <n v="4"/>
    <x v="4"/>
    <x v="0"/>
    <x v="1"/>
    <n v="11103"/>
    <x v="0"/>
    <x v="1"/>
    <n v="3"/>
    <n v="30"/>
    <n v="2"/>
    <x v="1"/>
    <n v="7"/>
    <n v="1"/>
    <n v="1"/>
    <x v="1"/>
    <x v="2"/>
    <x v="0"/>
  </r>
  <r>
    <n v="40"/>
    <s v="No"/>
    <n v="0"/>
    <x v="0"/>
    <x v="1"/>
    <n v="2"/>
    <s v="Medical"/>
    <s v="763"/>
    <x v="2"/>
    <x v="0"/>
    <n v="2"/>
    <n v="1"/>
    <x v="1"/>
    <x v="0"/>
    <x v="0"/>
    <n v="2342"/>
    <x v="1"/>
    <x v="0"/>
    <n v="4"/>
    <n v="5"/>
    <n v="2"/>
    <x v="9"/>
    <n v="2"/>
    <n v="2"/>
    <n v="3"/>
    <x v="0"/>
    <x v="1"/>
    <x v="1"/>
  </r>
  <r>
    <n v="27"/>
    <s v="No"/>
    <n v="0"/>
    <x v="0"/>
    <x v="1"/>
    <n v="7"/>
    <s v="Medical"/>
    <s v="764"/>
    <x v="2"/>
    <x v="0"/>
    <n v="2"/>
    <n v="2"/>
    <x v="4"/>
    <x v="3"/>
    <x v="0"/>
    <n v="6811"/>
    <x v="0"/>
    <x v="1"/>
    <n v="3"/>
    <n v="9"/>
    <n v="1"/>
    <x v="5"/>
    <n v="6"/>
    <n v="0"/>
    <n v="7"/>
    <x v="2"/>
    <x v="0"/>
    <x v="0"/>
  </r>
  <r>
    <n v="29"/>
    <s v="No"/>
    <n v="0"/>
    <x v="0"/>
    <x v="0"/>
    <n v="10"/>
    <s v="Marketing"/>
    <s v="766"/>
    <x v="2"/>
    <x v="1"/>
    <n v="3"/>
    <n v="1"/>
    <x v="6"/>
    <x v="1"/>
    <x v="2"/>
    <n v="2297"/>
    <x v="1"/>
    <x v="1"/>
    <n v="3"/>
    <n v="2"/>
    <n v="3"/>
    <x v="4"/>
    <n v="2"/>
    <n v="2"/>
    <n v="2"/>
    <x v="2"/>
    <x v="1"/>
    <x v="1"/>
  </r>
  <r>
    <n v="53"/>
    <s v="No"/>
    <n v="0"/>
    <x v="0"/>
    <x v="1"/>
    <n v="6"/>
    <s v="Life Sciences"/>
    <s v="769"/>
    <x v="2"/>
    <x v="1"/>
    <n v="3"/>
    <n v="2"/>
    <x v="2"/>
    <x v="0"/>
    <x v="0"/>
    <n v="2450"/>
    <x v="1"/>
    <x v="1"/>
    <n v="3"/>
    <n v="19"/>
    <n v="3"/>
    <x v="4"/>
    <n v="2"/>
    <n v="2"/>
    <n v="2"/>
    <x v="1"/>
    <x v="2"/>
    <x v="1"/>
  </r>
  <r>
    <n v="35"/>
    <s v="No"/>
    <n v="0"/>
    <x v="2"/>
    <x v="1"/>
    <n v="2"/>
    <s v="Life Sciences"/>
    <s v="771"/>
    <x v="2"/>
    <x v="0"/>
    <n v="3"/>
    <n v="2"/>
    <x v="4"/>
    <x v="3"/>
    <x v="2"/>
    <n v="5093"/>
    <x v="0"/>
    <x v="1"/>
    <n v="3"/>
    <n v="16"/>
    <n v="4"/>
    <x v="6"/>
    <n v="0"/>
    <n v="0"/>
    <n v="0"/>
    <x v="2"/>
    <x v="2"/>
    <x v="1"/>
  </r>
  <r>
    <n v="32"/>
    <s v="No"/>
    <n v="0"/>
    <x v="1"/>
    <x v="1"/>
    <n v="24"/>
    <s v="Life Sciences"/>
    <s v="772"/>
    <x v="3"/>
    <x v="1"/>
    <n v="3"/>
    <n v="2"/>
    <x v="2"/>
    <x v="0"/>
    <x v="1"/>
    <n v="5309"/>
    <x v="0"/>
    <x v="1"/>
    <n v="3"/>
    <n v="10"/>
    <n v="3"/>
    <x v="1"/>
    <n v="8"/>
    <n v="4"/>
    <n v="7"/>
    <x v="2"/>
    <x v="0"/>
    <x v="0"/>
  </r>
  <r>
    <n v="38"/>
    <s v="No"/>
    <n v="0"/>
    <x v="0"/>
    <x v="1"/>
    <n v="2"/>
    <s v="Medical"/>
    <s v="773"/>
    <x v="2"/>
    <x v="1"/>
    <n v="3"/>
    <n v="1"/>
    <x v="1"/>
    <x v="2"/>
    <x v="1"/>
    <n v="3057"/>
    <x v="1"/>
    <x v="0"/>
    <n v="3"/>
    <n v="6"/>
    <n v="1"/>
    <x v="6"/>
    <n v="0"/>
    <n v="0"/>
    <n v="1"/>
    <x v="0"/>
    <x v="0"/>
    <x v="1"/>
  </r>
  <r>
    <n v="34"/>
    <s v="No"/>
    <n v="0"/>
    <x v="0"/>
    <x v="1"/>
    <n v="8"/>
    <s v="Life Sciences"/>
    <s v="775"/>
    <x v="0"/>
    <x v="0"/>
    <n v="3"/>
    <n v="2"/>
    <x v="3"/>
    <x v="3"/>
    <x v="2"/>
    <n v="5121"/>
    <x v="0"/>
    <x v="1"/>
    <n v="3"/>
    <n v="7"/>
    <n v="3"/>
    <x v="2"/>
    <n v="0"/>
    <n v="0"/>
    <n v="0"/>
    <x v="2"/>
    <x v="0"/>
    <x v="1"/>
  </r>
  <r>
    <n v="52"/>
    <s v="No"/>
    <n v="0"/>
    <x v="0"/>
    <x v="0"/>
    <n v="3"/>
    <s v="Marketing"/>
    <s v="776"/>
    <x v="1"/>
    <x v="1"/>
    <n v="2"/>
    <n v="4"/>
    <x v="5"/>
    <x v="3"/>
    <x v="1"/>
    <n v="16856"/>
    <x v="2"/>
    <x v="1"/>
    <n v="3"/>
    <n v="34"/>
    <n v="4"/>
    <x v="33"/>
    <n v="6"/>
    <n v="1"/>
    <n v="16"/>
    <x v="1"/>
    <x v="2"/>
    <x v="2"/>
  </r>
  <r>
    <n v="33"/>
    <s v="Yes"/>
    <n v="1"/>
    <x v="0"/>
    <x v="1"/>
    <n v="1"/>
    <s v="Other"/>
    <s v="780"/>
    <x v="2"/>
    <x v="1"/>
    <n v="3"/>
    <n v="1"/>
    <x v="1"/>
    <x v="0"/>
    <x v="0"/>
    <n v="2686"/>
    <x v="1"/>
    <x v="0"/>
    <n v="3"/>
    <n v="10"/>
    <n v="2"/>
    <x v="1"/>
    <n v="9"/>
    <n v="7"/>
    <n v="8"/>
    <x v="2"/>
    <x v="0"/>
    <x v="0"/>
  </r>
  <r>
    <n v="25"/>
    <s v="No"/>
    <n v="0"/>
    <x v="0"/>
    <x v="0"/>
    <n v="26"/>
    <s v="Medical"/>
    <s v="781"/>
    <x v="1"/>
    <x v="0"/>
    <n v="3"/>
    <n v="2"/>
    <x v="0"/>
    <x v="0"/>
    <x v="0"/>
    <n v="6180"/>
    <x v="0"/>
    <x v="1"/>
    <n v="4"/>
    <n v="6"/>
    <n v="2"/>
    <x v="0"/>
    <n v="5"/>
    <n v="1"/>
    <n v="4"/>
    <x v="3"/>
    <x v="0"/>
    <x v="0"/>
  </r>
  <r>
    <n v="45"/>
    <s v="No"/>
    <n v="0"/>
    <x v="0"/>
    <x v="0"/>
    <n v="2"/>
    <s v="Technical Degree"/>
    <s v="783"/>
    <x v="0"/>
    <x v="1"/>
    <n v="1"/>
    <n v="2"/>
    <x v="6"/>
    <x v="2"/>
    <x v="0"/>
    <n v="6632"/>
    <x v="0"/>
    <x v="1"/>
    <n v="3"/>
    <n v="9"/>
    <n v="3"/>
    <x v="3"/>
    <n v="7"/>
    <n v="3"/>
    <n v="1"/>
    <x v="0"/>
    <x v="0"/>
    <x v="0"/>
  </r>
  <r>
    <n v="23"/>
    <s v="No"/>
    <n v="0"/>
    <x v="0"/>
    <x v="1"/>
    <n v="10"/>
    <s v="Medical"/>
    <s v="784"/>
    <x v="3"/>
    <x v="1"/>
    <n v="4"/>
    <n v="1"/>
    <x v="1"/>
    <x v="2"/>
    <x v="0"/>
    <n v="3505"/>
    <x v="1"/>
    <x v="1"/>
    <n v="3"/>
    <n v="2"/>
    <n v="3"/>
    <x v="4"/>
    <n v="2"/>
    <n v="0"/>
    <n v="2"/>
    <x v="3"/>
    <x v="1"/>
    <x v="1"/>
  </r>
  <r>
    <n v="47"/>
    <s v="Yes"/>
    <n v="1"/>
    <x v="1"/>
    <x v="0"/>
    <n v="27"/>
    <s v="Life Sciences"/>
    <s v="785"/>
    <x v="0"/>
    <x v="0"/>
    <n v="4"/>
    <n v="2"/>
    <x v="0"/>
    <x v="2"/>
    <x v="0"/>
    <n v="6397"/>
    <x v="0"/>
    <x v="0"/>
    <n v="3"/>
    <n v="8"/>
    <n v="3"/>
    <x v="8"/>
    <n v="4"/>
    <n v="1"/>
    <n v="3"/>
    <x v="1"/>
    <x v="0"/>
    <x v="1"/>
  </r>
  <r>
    <n v="34"/>
    <s v="No"/>
    <n v="0"/>
    <x v="0"/>
    <x v="0"/>
    <n v="2"/>
    <s v="Other"/>
    <s v="786"/>
    <x v="2"/>
    <x v="1"/>
    <n v="3"/>
    <n v="2"/>
    <x v="0"/>
    <x v="0"/>
    <x v="0"/>
    <n v="6274"/>
    <x v="0"/>
    <x v="1"/>
    <n v="4"/>
    <n v="6"/>
    <n v="3"/>
    <x v="0"/>
    <n v="5"/>
    <n v="1"/>
    <n v="4"/>
    <x v="2"/>
    <x v="0"/>
    <x v="0"/>
  </r>
  <r>
    <n v="55"/>
    <s v="Yes"/>
    <n v="1"/>
    <x v="0"/>
    <x v="1"/>
    <n v="2"/>
    <s v="Medical"/>
    <s v="787"/>
    <x v="2"/>
    <x v="1"/>
    <n v="3"/>
    <n v="5"/>
    <x v="5"/>
    <x v="3"/>
    <x v="1"/>
    <n v="19859"/>
    <x v="2"/>
    <x v="0"/>
    <n v="3"/>
    <n v="24"/>
    <n v="3"/>
    <x v="8"/>
    <n v="2"/>
    <n v="1"/>
    <n v="4"/>
    <x v="1"/>
    <x v="2"/>
    <x v="1"/>
  </r>
  <r>
    <n v="36"/>
    <s v="No"/>
    <n v="0"/>
    <x v="2"/>
    <x v="0"/>
    <n v="8"/>
    <s v="Life Sciences"/>
    <s v="789"/>
    <x v="3"/>
    <x v="1"/>
    <n v="2"/>
    <n v="3"/>
    <x v="0"/>
    <x v="3"/>
    <x v="0"/>
    <n v="7587"/>
    <x v="0"/>
    <x v="1"/>
    <n v="3"/>
    <n v="10"/>
    <n v="3"/>
    <x v="1"/>
    <n v="7"/>
    <n v="0"/>
    <n v="9"/>
    <x v="0"/>
    <x v="0"/>
    <x v="0"/>
  </r>
  <r>
    <n v="52"/>
    <s v="No"/>
    <n v="0"/>
    <x v="2"/>
    <x v="1"/>
    <n v="19"/>
    <s v="Medical"/>
    <s v="791"/>
    <x v="2"/>
    <x v="1"/>
    <n v="3"/>
    <n v="1"/>
    <x v="1"/>
    <x v="0"/>
    <x v="1"/>
    <n v="4258"/>
    <x v="1"/>
    <x v="1"/>
    <n v="3"/>
    <n v="5"/>
    <n v="3"/>
    <x v="9"/>
    <n v="3"/>
    <n v="1"/>
    <n v="2"/>
    <x v="1"/>
    <x v="1"/>
    <x v="1"/>
  </r>
  <r>
    <n v="26"/>
    <s v="No"/>
    <n v="0"/>
    <x v="1"/>
    <x v="1"/>
    <n v="1"/>
    <s v="Life Sciences"/>
    <s v="792"/>
    <x v="3"/>
    <x v="0"/>
    <n v="1"/>
    <n v="1"/>
    <x v="2"/>
    <x v="0"/>
    <x v="2"/>
    <n v="4364"/>
    <x v="1"/>
    <x v="1"/>
    <n v="3"/>
    <n v="5"/>
    <n v="3"/>
    <x v="4"/>
    <n v="2"/>
    <n v="2"/>
    <n v="0"/>
    <x v="2"/>
    <x v="1"/>
    <x v="1"/>
  </r>
  <r>
    <n v="29"/>
    <s v="No"/>
    <n v="0"/>
    <x v="0"/>
    <x v="1"/>
    <n v="27"/>
    <s v="Medical"/>
    <s v="793"/>
    <x v="0"/>
    <x v="0"/>
    <n v="3"/>
    <n v="2"/>
    <x v="4"/>
    <x v="2"/>
    <x v="1"/>
    <n v="4335"/>
    <x v="1"/>
    <x v="1"/>
    <n v="3"/>
    <n v="11"/>
    <n v="2"/>
    <x v="3"/>
    <n v="7"/>
    <n v="1"/>
    <n v="1"/>
    <x v="2"/>
    <x v="0"/>
    <x v="0"/>
  </r>
  <r>
    <n v="26"/>
    <s v="Yes"/>
    <n v="1"/>
    <x v="0"/>
    <x v="0"/>
    <n v="8"/>
    <s v="Technical Degree"/>
    <s v="796"/>
    <x v="2"/>
    <x v="1"/>
    <n v="2"/>
    <n v="2"/>
    <x v="0"/>
    <x v="3"/>
    <x v="0"/>
    <n v="5326"/>
    <x v="0"/>
    <x v="1"/>
    <n v="3"/>
    <n v="6"/>
    <n v="2"/>
    <x v="9"/>
    <n v="3"/>
    <n v="1"/>
    <n v="2"/>
    <x v="2"/>
    <x v="0"/>
    <x v="1"/>
  </r>
  <r>
    <n v="34"/>
    <s v="No"/>
    <n v="0"/>
    <x v="0"/>
    <x v="1"/>
    <n v="1"/>
    <s v="Life Sciences"/>
    <s v="797"/>
    <x v="0"/>
    <x v="0"/>
    <n v="4"/>
    <n v="1"/>
    <x v="1"/>
    <x v="0"/>
    <x v="0"/>
    <n v="3280"/>
    <x v="1"/>
    <x v="1"/>
    <n v="3"/>
    <n v="10"/>
    <n v="3"/>
    <x v="9"/>
    <n v="2"/>
    <n v="1"/>
    <n v="3"/>
    <x v="2"/>
    <x v="0"/>
    <x v="1"/>
  </r>
  <r>
    <n v="54"/>
    <s v="No"/>
    <n v="0"/>
    <x v="0"/>
    <x v="1"/>
    <n v="19"/>
    <s v="Medical"/>
    <s v="799"/>
    <x v="2"/>
    <x v="0"/>
    <n v="3"/>
    <n v="2"/>
    <x v="3"/>
    <x v="3"/>
    <x v="2"/>
    <n v="5485"/>
    <x v="0"/>
    <x v="0"/>
    <n v="3"/>
    <n v="9"/>
    <n v="3"/>
    <x v="8"/>
    <n v="3"/>
    <n v="1"/>
    <n v="4"/>
    <x v="1"/>
    <x v="0"/>
    <x v="1"/>
  </r>
  <r>
    <n v="27"/>
    <s v="No"/>
    <n v="0"/>
    <x v="1"/>
    <x v="0"/>
    <n v="8"/>
    <s v="Marketing"/>
    <s v="800"/>
    <x v="1"/>
    <x v="1"/>
    <n v="3"/>
    <n v="2"/>
    <x v="0"/>
    <x v="0"/>
    <x v="1"/>
    <n v="4342"/>
    <x v="1"/>
    <x v="1"/>
    <n v="3"/>
    <n v="5"/>
    <n v="3"/>
    <x v="9"/>
    <n v="2"/>
    <n v="1"/>
    <n v="1"/>
    <x v="2"/>
    <x v="1"/>
    <x v="1"/>
  </r>
  <r>
    <n v="37"/>
    <s v="No"/>
    <n v="0"/>
    <x v="0"/>
    <x v="1"/>
    <n v="10"/>
    <s v="Life Sciences"/>
    <s v="802"/>
    <x v="2"/>
    <x v="0"/>
    <n v="3"/>
    <n v="1"/>
    <x v="1"/>
    <x v="3"/>
    <x v="2"/>
    <n v="2782"/>
    <x v="1"/>
    <x v="0"/>
    <n v="3"/>
    <n v="6"/>
    <n v="2"/>
    <x v="8"/>
    <n v="3"/>
    <n v="4"/>
    <n v="3"/>
    <x v="0"/>
    <x v="0"/>
    <x v="1"/>
  </r>
  <r>
    <n v="38"/>
    <s v="No"/>
    <n v="0"/>
    <x v="1"/>
    <x v="1"/>
    <n v="2"/>
    <s v="Life Sciences"/>
    <s v="803"/>
    <x v="3"/>
    <x v="0"/>
    <n v="4"/>
    <n v="2"/>
    <x v="3"/>
    <x v="3"/>
    <x v="0"/>
    <n v="5980"/>
    <x v="0"/>
    <x v="0"/>
    <n v="3"/>
    <n v="17"/>
    <n v="3"/>
    <x v="15"/>
    <n v="7"/>
    <n v="4"/>
    <n v="12"/>
    <x v="0"/>
    <x v="2"/>
    <x v="2"/>
  </r>
  <r>
    <n v="34"/>
    <s v="No"/>
    <n v="0"/>
    <x v="0"/>
    <x v="1"/>
    <n v="2"/>
    <s v="Medical"/>
    <s v="804"/>
    <x v="1"/>
    <x v="0"/>
    <n v="2"/>
    <n v="1"/>
    <x v="1"/>
    <x v="3"/>
    <x v="0"/>
    <n v="4381"/>
    <x v="1"/>
    <x v="1"/>
    <n v="3"/>
    <n v="6"/>
    <n v="3"/>
    <x v="0"/>
    <n v="5"/>
    <n v="1"/>
    <n v="3"/>
    <x v="2"/>
    <x v="0"/>
    <x v="0"/>
  </r>
  <r>
    <n v="35"/>
    <s v="No"/>
    <n v="0"/>
    <x v="0"/>
    <x v="0"/>
    <n v="8"/>
    <s v="Life Sciences"/>
    <s v="805"/>
    <x v="3"/>
    <x v="0"/>
    <n v="3"/>
    <n v="1"/>
    <x v="6"/>
    <x v="0"/>
    <x v="1"/>
    <n v="2572"/>
    <x v="1"/>
    <x v="1"/>
    <n v="3"/>
    <n v="3"/>
    <n v="2"/>
    <x v="11"/>
    <n v="2"/>
    <n v="0"/>
    <n v="2"/>
    <x v="2"/>
    <x v="1"/>
    <x v="1"/>
  </r>
  <r>
    <n v="30"/>
    <s v="No"/>
    <n v="0"/>
    <x v="0"/>
    <x v="1"/>
    <n v="1"/>
    <s v="Life Sciences"/>
    <s v="806"/>
    <x v="2"/>
    <x v="1"/>
    <n v="1"/>
    <n v="1"/>
    <x v="2"/>
    <x v="2"/>
    <x v="1"/>
    <n v="3833"/>
    <x v="1"/>
    <x v="1"/>
    <n v="4"/>
    <n v="7"/>
    <n v="3"/>
    <x v="4"/>
    <n v="2"/>
    <n v="0"/>
    <n v="2"/>
    <x v="2"/>
    <x v="0"/>
    <x v="1"/>
  </r>
  <r>
    <n v="40"/>
    <s v="No"/>
    <n v="0"/>
    <x v="1"/>
    <x v="1"/>
    <n v="2"/>
    <s v="Medical"/>
    <s v="807"/>
    <x v="1"/>
    <x v="0"/>
    <n v="4"/>
    <n v="2"/>
    <x v="4"/>
    <x v="1"/>
    <x v="1"/>
    <n v="4244"/>
    <x v="1"/>
    <x v="1"/>
    <n v="4"/>
    <n v="8"/>
    <n v="3"/>
    <x v="3"/>
    <n v="7"/>
    <n v="3"/>
    <n v="7"/>
    <x v="0"/>
    <x v="0"/>
    <x v="0"/>
  </r>
  <r>
    <n v="34"/>
    <s v="No"/>
    <n v="0"/>
    <x v="0"/>
    <x v="0"/>
    <n v="8"/>
    <s v="Life Sciences"/>
    <s v="808"/>
    <x v="1"/>
    <x v="0"/>
    <n v="3"/>
    <n v="2"/>
    <x v="0"/>
    <x v="3"/>
    <x v="1"/>
    <n v="6500"/>
    <x v="0"/>
    <x v="1"/>
    <n v="3"/>
    <n v="6"/>
    <n v="3"/>
    <x v="11"/>
    <n v="2"/>
    <n v="1"/>
    <n v="2"/>
    <x v="2"/>
    <x v="0"/>
    <x v="1"/>
  </r>
  <r>
    <n v="42"/>
    <s v="No"/>
    <n v="0"/>
    <x v="1"/>
    <x v="1"/>
    <n v="8"/>
    <s v="Life Sciences"/>
    <s v="809"/>
    <x v="0"/>
    <x v="1"/>
    <n v="3"/>
    <n v="5"/>
    <x v="5"/>
    <x v="0"/>
    <x v="2"/>
    <n v="18430"/>
    <x v="2"/>
    <x v="1"/>
    <n v="3"/>
    <n v="24"/>
    <n v="2"/>
    <x v="25"/>
    <n v="7"/>
    <n v="14"/>
    <n v="9"/>
    <x v="0"/>
    <x v="2"/>
    <x v="2"/>
  </r>
  <r>
    <n v="23"/>
    <s v="Yes"/>
    <n v="1"/>
    <x v="0"/>
    <x v="1"/>
    <n v="6"/>
    <s v="Life Sciences"/>
    <s v="811"/>
    <x v="1"/>
    <x v="1"/>
    <n v="4"/>
    <n v="1"/>
    <x v="2"/>
    <x v="3"/>
    <x v="1"/>
    <n v="1601"/>
    <x v="1"/>
    <x v="0"/>
    <n v="4"/>
    <n v="1"/>
    <n v="3"/>
    <x v="2"/>
    <n v="0"/>
    <n v="0"/>
    <n v="0"/>
    <x v="3"/>
    <x v="1"/>
    <x v="1"/>
  </r>
  <r>
    <n v="24"/>
    <s v="No"/>
    <n v="0"/>
    <x v="2"/>
    <x v="1"/>
    <n v="9"/>
    <s v="Life Sciences"/>
    <s v="812"/>
    <x v="1"/>
    <x v="1"/>
    <n v="2"/>
    <n v="1"/>
    <x v="2"/>
    <x v="1"/>
    <x v="2"/>
    <n v="2694"/>
    <x v="1"/>
    <x v="1"/>
    <n v="3"/>
    <n v="1"/>
    <n v="3"/>
    <x v="6"/>
    <n v="0"/>
    <n v="0"/>
    <n v="0"/>
    <x v="3"/>
    <x v="1"/>
    <x v="1"/>
  </r>
  <r>
    <n v="52"/>
    <s v="No"/>
    <n v="0"/>
    <x v="0"/>
    <x v="1"/>
    <n v="11"/>
    <s v="Life Sciences"/>
    <s v="813"/>
    <x v="2"/>
    <x v="0"/>
    <n v="3"/>
    <n v="2"/>
    <x v="2"/>
    <x v="2"/>
    <x v="1"/>
    <n v="3149"/>
    <x v="1"/>
    <x v="1"/>
    <n v="4"/>
    <n v="9"/>
    <n v="3"/>
    <x v="8"/>
    <n v="2"/>
    <n v="1"/>
    <n v="4"/>
    <x v="1"/>
    <x v="0"/>
    <x v="1"/>
  </r>
  <r>
    <n v="50"/>
    <s v="No"/>
    <n v="0"/>
    <x v="0"/>
    <x v="1"/>
    <n v="2"/>
    <s v="Medical"/>
    <s v="815"/>
    <x v="1"/>
    <x v="1"/>
    <n v="3"/>
    <n v="4"/>
    <x v="7"/>
    <x v="2"/>
    <x v="1"/>
    <n v="17639"/>
    <x v="2"/>
    <x v="1"/>
    <n v="3"/>
    <n v="30"/>
    <n v="3"/>
    <x v="9"/>
    <n v="3"/>
    <n v="0"/>
    <n v="3"/>
    <x v="1"/>
    <x v="2"/>
    <x v="1"/>
  </r>
  <r>
    <n v="29"/>
    <s v="Yes"/>
    <n v="1"/>
    <x v="0"/>
    <x v="1"/>
    <n v="1"/>
    <s v="Life Sciences"/>
    <s v="816"/>
    <x v="0"/>
    <x v="0"/>
    <n v="2"/>
    <n v="1"/>
    <x v="2"/>
    <x v="3"/>
    <x v="1"/>
    <n v="2319"/>
    <x v="1"/>
    <x v="0"/>
    <n v="3"/>
    <n v="1"/>
    <n v="3"/>
    <x v="6"/>
    <n v="0"/>
    <n v="0"/>
    <n v="0"/>
    <x v="2"/>
    <x v="1"/>
    <x v="1"/>
  </r>
  <r>
    <n v="33"/>
    <s v="No"/>
    <n v="0"/>
    <x v="0"/>
    <x v="1"/>
    <n v="7"/>
    <s v="Medical"/>
    <s v="817"/>
    <x v="1"/>
    <x v="1"/>
    <n v="3"/>
    <n v="3"/>
    <x v="7"/>
    <x v="2"/>
    <x v="1"/>
    <n v="11691"/>
    <x v="0"/>
    <x v="1"/>
    <n v="3"/>
    <n v="14"/>
    <n v="4"/>
    <x v="20"/>
    <n v="9"/>
    <n v="3"/>
    <n v="7"/>
    <x v="2"/>
    <x v="0"/>
    <x v="2"/>
  </r>
  <r>
    <n v="33"/>
    <s v="Yes"/>
    <n v="1"/>
    <x v="0"/>
    <x v="0"/>
    <n v="16"/>
    <s v="Marketing"/>
    <s v="819"/>
    <x v="3"/>
    <x v="0"/>
    <n v="3"/>
    <n v="2"/>
    <x v="0"/>
    <x v="3"/>
    <x v="0"/>
    <n v="5324"/>
    <x v="0"/>
    <x v="1"/>
    <n v="3"/>
    <n v="6"/>
    <n v="3"/>
    <x v="11"/>
    <n v="2"/>
    <n v="0"/>
    <n v="2"/>
    <x v="2"/>
    <x v="0"/>
    <x v="1"/>
  </r>
  <r>
    <n v="47"/>
    <s v="No"/>
    <n v="0"/>
    <x v="0"/>
    <x v="1"/>
    <n v="2"/>
    <s v="Other"/>
    <s v="820"/>
    <x v="1"/>
    <x v="0"/>
    <n v="3"/>
    <n v="4"/>
    <x v="5"/>
    <x v="0"/>
    <x v="1"/>
    <n v="16752"/>
    <x v="2"/>
    <x v="0"/>
    <n v="3"/>
    <n v="26"/>
    <n v="2"/>
    <x v="34"/>
    <n v="14"/>
    <n v="3"/>
    <n v="0"/>
    <x v="1"/>
    <x v="2"/>
    <x v="2"/>
  </r>
  <r>
    <n v="36"/>
    <s v="No"/>
    <n v="0"/>
    <x v="0"/>
    <x v="1"/>
    <n v="1"/>
    <s v="Other"/>
    <s v="823"/>
    <x v="1"/>
    <x v="0"/>
    <n v="3"/>
    <n v="2"/>
    <x v="3"/>
    <x v="1"/>
    <x v="1"/>
    <n v="5228"/>
    <x v="0"/>
    <x v="1"/>
    <n v="3"/>
    <n v="10"/>
    <n v="3"/>
    <x v="7"/>
    <n v="7"/>
    <n v="0"/>
    <n v="5"/>
    <x v="0"/>
    <x v="0"/>
    <x v="0"/>
  </r>
  <r>
    <n v="29"/>
    <s v="No"/>
    <n v="0"/>
    <x v="0"/>
    <x v="1"/>
    <n v="23"/>
    <s v="Life Sciences"/>
    <s v="824"/>
    <x v="1"/>
    <x v="1"/>
    <n v="4"/>
    <n v="1"/>
    <x v="1"/>
    <x v="2"/>
    <x v="1"/>
    <n v="2700"/>
    <x v="1"/>
    <x v="1"/>
    <n v="4"/>
    <n v="10"/>
    <n v="3"/>
    <x v="1"/>
    <n v="7"/>
    <n v="0"/>
    <n v="7"/>
    <x v="2"/>
    <x v="0"/>
    <x v="0"/>
  </r>
  <r>
    <n v="58"/>
    <s v="Yes"/>
    <n v="1"/>
    <x v="0"/>
    <x v="1"/>
    <n v="2"/>
    <s v="Life Sciences"/>
    <s v="825"/>
    <x v="2"/>
    <x v="1"/>
    <n v="3"/>
    <n v="5"/>
    <x v="7"/>
    <x v="1"/>
    <x v="0"/>
    <n v="19246"/>
    <x v="2"/>
    <x v="0"/>
    <n v="3"/>
    <n v="40"/>
    <n v="3"/>
    <x v="31"/>
    <n v="15"/>
    <n v="13"/>
    <n v="8"/>
    <x v="1"/>
    <x v="2"/>
    <x v="2"/>
  </r>
  <r>
    <n v="35"/>
    <s v="No"/>
    <n v="0"/>
    <x v="0"/>
    <x v="1"/>
    <n v="1"/>
    <s v="Life Sciences"/>
    <s v="826"/>
    <x v="2"/>
    <x v="0"/>
    <n v="4"/>
    <n v="1"/>
    <x v="1"/>
    <x v="2"/>
    <x v="0"/>
    <n v="2506"/>
    <x v="1"/>
    <x v="1"/>
    <n v="3"/>
    <n v="7"/>
    <n v="3"/>
    <x v="4"/>
    <n v="2"/>
    <n v="2"/>
    <n v="2"/>
    <x v="2"/>
    <x v="0"/>
    <x v="1"/>
  </r>
  <r>
    <n v="42"/>
    <s v="No"/>
    <n v="0"/>
    <x v="0"/>
    <x v="1"/>
    <n v="1"/>
    <s v="Life Sciences"/>
    <s v="827"/>
    <x v="2"/>
    <x v="0"/>
    <n v="2"/>
    <n v="2"/>
    <x v="3"/>
    <x v="0"/>
    <x v="1"/>
    <n v="6062"/>
    <x v="0"/>
    <x v="0"/>
    <n v="3"/>
    <n v="8"/>
    <n v="3"/>
    <x v="9"/>
    <n v="3"/>
    <n v="0"/>
    <n v="2"/>
    <x v="0"/>
    <x v="0"/>
    <x v="1"/>
  </r>
  <r>
    <n v="28"/>
    <s v="Yes"/>
    <n v="1"/>
    <x v="0"/>
    <x v="1"/>
    <n v="2"/>
    <s v="Medical"/>
    <s v="828"/>
    <x v="1"/>
    <x v="1"/>
    <n v="3"/>
    <n v="1"/>
    <x v="1"/>
    <x v="2"/>
    <x v="0"/>
    <n v="4382"/>
    <x v="1"/>
    <x v="1"/>
    <n v="3"/>
    <n v="5"/>
    <n v="2"/>
    <x v="4"/>
    <n v="2"/>
    <n v="2"/>
    <n v="1"/>
    <x v="2"/>
    <x v="1"/>
    <x v="1"/>
  </r>
  <r>
    <n v="36"/>
    <s v="No"/>
    <n v="0"/>
    <x v="0"/>
    <x v="2"/>
    <n v="13"/>
    <s v="Human Resources"/>
    <s v="829"/>
    <x v="1"/>
    <x v="1"/>
    <n v="3"/>
    <n v="1"/>
    <x v="8"/>
    <x v="1"/>
    <x v="1"/>
    <n v="2143"/>
    <x v="1"/>
    <x v="1"/>
    <n v="3"/>
    <n v="8"/>
    <n v="3"/>
    <x v="8"/>
    <n v="2"/>
    <n v="0"/>
    <n v="4"/>
    <x v="0"/>
    <x v="0"/>
    <x v="1"/>
  </r>
  <r>
    <n v="32"/>
    <s v="No"/>
    <n v="0"/>
    <x v="0"/>
    <x v="1"/>
    <n v="4"/>
    <s v="Life Sciences"/>
    <s v="830"/>
    <x v="1"/>
    <x v="0"/>
    <n v="2"/>
    <n v="2"/>
    <x v="3"/>
    <x v="2"/>
    <x v="1"/>
    <n v="6162"/>
    <x v="0"/>
    <x v="1"/>
    <n v="3"/>
    <n v="14"/>
    <n v="3"/>
    <x v="13"/>
    <n v="13"/>
    <n v="6"/>
    <n v="8"/>
    <x v="2"/>
    <x v="0"/>
    <x v="2"/>
  </r>
  <r>
    <n v="40"/>
    <s v="No"/>
    <n v="0"/>
    <x v="1"/>
    <x v="1"/>
    <n v="16"/>
    <s v="Medical"/>
    <s v="832"/>
    <x v="3"/>
    <x v="1"/>
    <n v="2"/>
    <n v="2"/>
    <x v="2"/>
    <x v="2"/>
    <x v="0"/>
    <n v="5094"/>
    <x v="0"/>
    <x v="1"/>
    <n v="3"/>
    <n v="10"/>
    <n v="3"/>
    <x v="6"/>
    <n v="0"/>
    <n v="0"/>
    <n v="0"/>
    <x v="0"/>
    <x v="0"/>
    <x v="1"/>
  </r>
  <r>
    <n v="30"/>
    <s v="No"/>
    <n v="0"/>
    <x v="0"/>
    <x v="1"/>
    <n v="2"/>
    <s v="Medical"/>
    <s v="833"/>
    <x v="1"/>
    <x v="0"/>
    <n v="2"/>
    <n v="2"/>
    <x v="3"/>
    <x v="0"/>
    <x v="0"/>
    <n v="6877"/>
    <x v="0"/>
    <x v="0"/>
    <n v="4"/>
    <n v="12"/>
    <n v="2"/>
    <x v="2"/>
    <n v="0"/>
    <n v="0"/>
    <n v="0"/>
    <x v="2"/>
    <x v="0"/>
    <x v="1"/>
  </r>
  <r>
    <n v="45"/>
    <s v="No"/>
    <n v="0"/>
    <x v="0"/>
    <x v="1"/>
    <n v="2"/>
    <s v="Life Sciences"/>
    <s v="834"/>
    <x v="0"/>
    <x v="0"/>
    <n v="2"/>
    <n v="1"/>
    <x v="1"/>
    <x v="2"/>
    <x v="0"/>
    <n v="2274"/>
    <x v="1"/>
    <x v="1"/>
    <n v="3"/>
    <n v="1"/>
    <n v="3"/>
    <x v="6"/>
    <n v="0"/>
    <n v="0"/>
    <n v="0"/>
    <x v="0"/>
    <x v="1"/>
    <x v="1"/>
  </r>
  <r>
    <n v="42"/>
    <s v="No"/>
    <n v="0"/>
    <x v="0"/>
    <x v="1"/>
    <n v="29"/>
    <s v="Life Sciences"/>
    <s v="836"/>
    <x v="0"/>
    <x v="1"/>
    <n v="3"/>
    <n v="2"/>
    <x v="3"/>
    <x v="1"/>
    <x v="1"/>
    <n v="4434"/>
    <x v="1"/>
    <x v="1"/>
    <n v="3"/>
    <n v="10"/>
    <n v="2"/>
    <x v="7"/>
    <n v="8"/>
    <n v="7"/>
    <n v="8"/>
    <x v="0"/>
    <x v="0"/>
    <x v="0"/>
  </r>
  <r>
    <n v="38"/>
    <s v="No"/>
    <n v="0"/>
    <x v="1"/>
    <x v="1"/>
    <n v="12"/>
    <s v="Life Sciences"/>
    <s v="837"/>
    <x v="3"/>
    <x v="1"/>
    <n v="2"/>
    <n v="2"/>
    <x v="4"/>
    <x v="3"/>
    <x v="2"/>
    <n v="6288"/>
    <x v="0"/>
    <x v="1"/>
    <n v="3"/>
    <n v="13"/>
    <n v="2"/>
    <x v="9"/>
    <n v="3"/>
    <n v="1"/>
    <n v="2"/>
    <x v="0"/>
    <x v="0"/>
    <x v="1"/>
  </r>
  <r>
    <n v="34"/>
    <s v="No"/>
    <n v="0"/>
    <x v="1"/>
    <x v="1"/>
    <n v="16"/>
    <s v="Life Sciences"/>
    <s v="838"/>
    <x v="1"/>
    <x v="0"/>
    <n v="2"/>
    <n v="1"/>
    <x v="1"/>
    <x v="0"/>
    <x v="0"/>
    <n v="2553"/>
    <x v="1"/>
    <x v="1"/>
    <n v="3"/>
    <n v="6"/>
    <n v="3"/>
    <x v="8"/>
    <n v="2"/>
    <n v="1"/>
    <n v="3"/>
    <x v="2"/>
    <x v="0"/>
    <x v="1"/>
  </r>
  <r>
    <n v="49"/>
    <s v="Yes"/>
    <n v="1"/>
    <x v="0"/>
    <x v="0"/>
    <n v="11"/>
    <s v="Marketing"/>
    <s v="840"/>
    <x v="1"/>
    <x v="0"/>
    <n v="3"/>
    <n v="3"/>
    <x v="0"/>
    <x v="0"/>
    <x v="1"/>
    <n v="7654"/>
    <x v="0"/>
    <x v="1"/>
    <n v="3"/>
    <n v="9"/>
    <n v="4"/>
    <x v="7"/>
    <n v="8"/>
    <n v="7"/>
    <n v="7"/>
    <x v="1"/>
    <x v="0"/>
    <x v="0"/>
  </r>
  <r>
    <n v="55"/>
    <s v="Yes"/>
    <n v="1"/>
    <x v="0"/>
    <x v="0"/>
    <n v="2"/>
    <s v="Medical"/>
    <s v="842"/>
    <x v="1"/>
    <x v="1"/>
    <n v="3"/>
    <n v="2"/>
    <x v="0"/>
    <x v="0"/>
    <x v="0"/>
    <n v="5160"/>
    <x v="0"/>
    <x v="1"/>
    <n v="3"/>
    <n v="12"/>
    <n v="2"/>
    <x v="7"/>
    <n v="7"/>
    <n v="7"/>
    <n v="3"/>
    <x v="1"/>
    <x v="0"/>
    <x v="0"/>
  </r>
  <r>
    <n v="43"/>
    <s v="No"/>
    <n v="0"/>
    <x v="0"/>
    <x v="1"/>
    <n v="14"/>
    <s v="Life Sciences"/>
    <s v="843"/>
    <x v="0"/>
    <x v="1"/>
    <n v="3"/>
    <n v="4"/>
    <x v="7"/>
    <x v="3"/>
    <x v="1"/>
    <n v="17159"/>
    <x v="2"/>
    <x v="1"/>
    <n v="4"/>
    <n v="22"/>
    <n v="3"/>
    <x v="9"/>
    <n v="1"/>
    <n v="1"/>
    <n v="0"/>
    <x v="0"/>
    <x v="2"/>
    <x v="1"/>
  </r>
  <r>
    <n v="27"/>
    <s v="No"/>
    <n v="0"/>
    <x v="0"/>
    <x v="1"/>
    <n v="5"/>
    <s v="Technical Degree"/>
    <s v="844"/>
    <x v="1"/>
    <x v="1"/>
    <n v="2"/>
    <n v="3"/>
    <x v="7"/>
    <x v="0"/>
    <x v="2"/>
    <n v="12808"/>
    <x v="2"/>
    <x v="0"/>
    <n v="3"/>
    <n v="9"/>
    <n v="3"/>
    <x v="7"/>
    <n v="8"/>
    <n v="0"/>
    <n v="8"/>
    <x v="2"/>
    <x v="0"/>
    <x v="0"/>
  </r>
  <r>
    <n v="35"/>
    <s v="No"/>
    <n v="0"/>
    <x v="0"/>
    <x v="1"/>
    <n v="7"/>
    <s v="Other"/>
    <s v="845"/>
    <x v="1"/>
    <x v="1"/>
    <n v="3"/>
    <n v="3"/>
    <x v="3"/>
    <x v="2"/>
    <x v="0"/>
    <n v="10221"/>
    <x v="0"/>
    <x v="1"/>
    <n v="4"/>
    <n v="17"/>
    <n v="4"/>
    <x v="3"/>
    <n v="5"/>
    <n v="1"/>
    <n v="6"/>
    <x v="2"/>
    <x v="2"/>
    <x v="0"/>
  </r>
  <r>
    <n v="28"/>
    <s v="No"/>
    <n v="0"/>
    <x v="0"/>
    <x v="0"/>
    <n v="2"/>
    <s v="Marketing"/>
    <s v="846"/>
    <x v="0"/>
    <x v="0"/>
    <n v="3"/>
    <n v="2"/>
    <x v="0"/>
    <x v="1"/>
    <x v="1"/>
    <n v="4779"/>
    <x v="1"/>
    <x v="0"/>
    <n v="4"/>
    <n v="8"/>
    <n v="3"/>
    <x v="3"/>
    <n v="7"/>
    <n v="7"/>
    <n v="5"/>
    <x v="2"/>
    <x v="0"/>
    <x v="0"/>
  </r>
  <r>
    <n v="34"/>
    <s v="No"/>
    <n v="0"/>
    <x v="0"/>
    <x v="2"/>
    <n v="3"/>
    <s v="Human Resources"/>
    <s v="847"/>
    <x v="1"/>
    <x v="1"/>
    <n v="3"/>
    <n v="1"/>
    <x v="8"/>
    <x v="0"/>
    <x v="1"/>
    <n v="3737"/>
    <x v="1"/>
    <x v="1"/>
    <n v="3"/>
    <n v="4"/>
    <n v="1"/>
    <x v="11"/>
    <n v="2"/>
    <n v="0"/>
    <n v="2"/>
    <x v="2"/>
    <x v="1"/>
    <x v="1"/>
  </r>
  <r>
    <n v="26"/>
    <s v="Yes"/>
    <n v="1"/>
    <x v="1"/>
    <x v="1"/>
    <n v="5"/>
    <s v="Medical"/>
    <s v="848"/>
    <x v="1"/>
    <x v="0"/>
    <n v="2"/>
    <n v="1"/>
    <x v="1"/>
    <x v="2"/>
    <x v="1"/>
    <n v="2366"/>
    <x v="1"/>
    <x v="0"/>
    <n v="3"/>
    <n v="8"/>
    <n v="3"/>
    <x v="3"/>
    <n v="7"/>
    <n v="1"/>
    <n v="7"/>
    <x v="2"/>
    <x v="0"/>
    <x v="0"/>
  </r>
  <r>
    <n v="27"/>
    <s v="No"/>
    <n v="0"/>
    <x v="2"/>
    <x v="1"/>
    <n v="3"/>
    <s v="Medical"/>
    <s v="850"/>
    <x v="2"/>
    <x v="1"/>
    <n v="3"/>
    <n v="1"/>
    <x v="1"/>
    <x v="0"/>
    <x v="1"/>
    <n v="1706"/>
    <x v="1"/>
    <x v="1"/>
    <n v="3"/>
    <n v="0"/>
    <n v="2"/>
    <x v="2"/>
    <n v="0"/>
    <n v="0"/>
    <n v="0"/>
    <x v="2"/>
    <x v="1"/>
    <x v="1"/>
  </r>
  <r>
    <n v="51"/>
    <s v="No"/>
    <n v="0"/>
    <x v="0"/>
    <x v="0"/>
    <n v="26"/>
    <s v="Marketing"/>
    <s v="851"/>
    <x v="3"/>
    <x v="0"/>
    <n v="3"/>
    <n v="4"/>
    <x v="5"/>
    <x v="2"/>
    <x v="1"/>
    <n v="16307"/>
    <x v="2"/>
    <x v="1"/>
    <n v="3"/>
    <n v="29"/>
    <n v="2"/>
    <x v="23"/>
    <n v="6"/>
    <n v="4"/>
    <n v="17"/>
    <x v="1"/>
    <x v="2"/>
    <x v="2"/>
  </r>
  <r>
    <n v="44"/>
    <s v="No"/>
    <n v="0"/>
    <x v="0"/>
    <x v="1"/>
    <n v="4"/>
    <s v="Medical"/>
    <s v="852"/>
    <x v="2"/>
    <x v="1"/>
    <n v="3"/>
    <n v="2"/>
    <x v="4"/>
    <x v="1"/>
    <x v="0"/>
    <n v="5933"/>
    <x v="0"/>
    <x v="1"/>
    <n v="3"/>
    <n v="10"/>
    <n v="2"/>
    <x v="8"/>
    <n v="2"/>
    <n v="2"/>
    <n v="3"/>
    <x v="0"/>
    <x v="0"/>
    <x v="1"/>
  </r>
  <r>
    <n v="25"/>
    <s v="No"/>
    <n v="0"/>
    <x v="0"/>
    <x v="1"/>
    <n v="2"/>
    <s v="Medical"/>
    <s v="854"/>
    <x v="3"/>
    <x v="1"/>
    <n v="4"/>
    <n v="1"/>
    <x v="1"/>
    <x v="3"/>
    <x v="0"/>
    <n v="3424"/>
    <x v="1"/>
    <x v="1"/>
    <n v="3"/>
    <n v="6"/>
    <n v="2"/>
    <x v="9"/>
    <n v="3"/>
    <n v="0"/>
    <n v="1"/>
    <x v="3"/>
    <x v="0"/>
    <x v="1"/>
  </r>
  <r>
    <n v="33"/>
    <s v="No"/>
    <n v="0"/>
    <x v="0"/>
    <x v="0"/>
    <n v="1"/>
    <s v="Medical"/>
    <s v="855"/>
    <x v="3"/>
    <x v="1"/>
    <n v="4"/>
    <n v="2"/>
    <x v="0"/>
    <x v="3"/>
    <x v="2"/>
    <n v="4037"/>
    <x v="1"/>
    <x v="1"/>
    <n v="4"/>
    <n v="9"/>
    <n v="3"/>
    <x v="7"/>
    <n v="8"/>
    <n v="0"/>
    <n v="8"/>
    <x v="2"/>
    <x v="0"/>
    <x v="0"/>
  </r>
  <r>
    <n v="35"/>
    <s v="No"/>
    <n v="0"/>
    <x v="0"/>
    <x v="1"/>
    <n v="27"/>
    <s v="Medical"/>
    <s v="856"/>
    <x v="1"/>
    <x v="0"/>
    <n v="2"/>
    <n v="1"/>
    <x v="1"/>
    <x v="3"/>
    <x v="0"/>
    <n v="2559"/>
    <x v="1"/>
    <x v="1"/>
    <n v="3"/>
    <n v="6"/>
    <n v="2"/>
    <x v="0"/>
    <n v="5"/>
    <n v="1"/>
    <n v="1"/>
    <x v="2"/>
    <x v="0"/>
    <x v="0"/>
  </r>
  <r>
    <n v="36"/>
    <s v="No"/>
    <n v="0"/>
    <x v="0"/>
    <x v="0"/>
    <n v="1"/>
    <s v="Life Sciences"/>
    <s v="857"/>
    <x v="0"/>
    <x v="1"/>
    <n v="3"/>
    <n v="2"/>
    <x v="0"/>
    <x v="0"/>
    <x v="1"/>
    <n v="6201"/>
    <x v="0"/>
    <x v="0"/>
    <n v="3"/>
    <n v="18"/>
    <n v="2"/>
    <x v="29"/>
    <n v="14"/>
    <n v="4"/>
    <n v="11"/>
    <x v="0"/>
    <x v="2"/>
    <x v="2"/>
  </r>
  <r>
    <n v="32"/>
    <s v="No"/>
    <n v="0"/>
    <x v="0"/>
    <x v="0"/>
    <n v="13"/>
    <s v="Life Sciences"/>
    <s v="859"/>
    <x v="0"/>
    <x v="1"/>
    <n v="3"/>
    <n v="2"/>
    <x v="0"/>
    <x v="0"/>
    <x v="2"/>
    <n v="4403"/>
    <x v="1"/>
    <x v="1"/>
    <n v="3"/>
    <n v="8"/>
    <n v="2"/>
    <x v="8"/>
    <n v="2"/>
    <n v="0"/>
    <n v="3"/>
    <x v="2"/>
    <x v="0"/>
    <x v="1"/>
  </r>
  <r>
    <n v="30"/>
    <s v="No"/>
    <n v="0"/>
    <x v="1"/>
    <x v="1"/>
    <n v="5"/>
    <s v="Life Sciences"/>
    <s v="861"/>
    <x v="0"/>
    <x v="1"/>
    <n v="2"/>
    <n v="1"/>
    <x v="1"/>
    <x v="0"/>
    <x v="2"/>
    <n v="3761"/>
    <x v="1"/>
    <x v="1"/>
    <n v="3"/>
    <n v="10"/>
    <n v="2"/>
    <x v="8"/>
    <n v="4"/>
    <n v="0"/>
    <n v="3"/>
    <x v="2"/>
    <x v="0"/>
    <x v="1"/>
  </r>
  <r>
    <n v="53"/>
    <s v="No"/>
    <n v="0"/>
    <x v="0"/>
    <x v="0"/>
    <n v="7"/>
    <s v="Marketing"/>
    <s v="862"/>
    <x v="3"/>
    <x v="0"/>
    <n v="2"/>
    <n v="3"/>
    <x v="0"/>
    <x v="0"/>
    <x v="1"/>
    <n v="10934"/>
    <x v="0"/>
    <x v="0"/>
    <n v="3"/>
    <n v="35"/>
    <n v="3"/>
    <x v="8"/>
    <n v="2"/>
    <n v="0"/>
    <n v="4"/>
    <x v="1"/>
    <x v="2"/>
    <x v="1"/>
  </r>
  <r>
    <n v="45"/>
    <s v="No"/>
    <n v="0"/>
    <x v="0"/>
    <x v="0"/>
    <n v="9"/>
    <s v="Marketing"/>
    <s v="864"/>
    <x v="2"/>
    <x v="1"/>
    <n v="3"/>
    <n v="3"/>
    <x v="0"/>
    <x v="3"/>
    <x v="2"/>
    <n v="10761"/>
    <x v="0"/>
    <x v="0"/>
    <n v="3"/>
    <n v="18"/>
    <n v="3"/>
    <x v="8"/>
    <n v="4"/>
    <n v="0"/>
    <n v="2"/>
    <x v="0"/>
    <x v="2"/>
    <x v="1"/>
  </r>
  <r>
    <n v="32"/>
    <s v="No"/>
    <n v="0"/>
    <x v="0"/>
    <x v="1"/>
    <n v="8"/>
    <s v="Medical"/>
    <s v="865"/>
    <x v="1"/>
    <x v="0"/>
    <n v="4"/>
    <n v="2"/>
    <x v="1"/>
    <x v="2"/>
    <x v="1"/>
    <n v="5175"/>
    <x v="0"/>
    <x v="1"/>
    <n v="3"/>
    <n v="9"/>
    <n v="2"/>
    <x v="8"/>
    <n v="3"/>
    <n v="1"/>
    <n v="3"/>
    <x v="2"/>
    <x v="0"/>
    <x v="1"/>
  </r>
  <r>
    <n v="52"/>
    <s v="No"/>
    <n v="0"/>
    <x v="1"/>
    <x v="1"/>
    <n v="25"/>
    <s v="Medical"/>
    <s v="867"/>
    <x v="1"/>
    <x v="0"/>
    <n v="2"/>
    <n v="4"/>
    <x v="3"/>
    <x v="0"/>
    <x v="1"/>
    <n v="13826"/>
    <x v="2"/>
    <x v="1"/>
    <n v="4"/>
    <n v="31"/>
    <n v="3"/>
    <x v="7"/>
    <n v="8"/>
    <n v="0"/>
    <n v="0"/>
    <x v="1"/>
    <x v="2"/>
    <x v="0"/>
  </r>
  <r>
    <n v="37"/>
    <s v="No"/>
    <n v="0"/>
    <x v="0"/>
    <x v="0"/>
    <n v="16"/>
    <s v="Marketing"/>
    <s v="868"/>
    <x v="2"/>
    <x v="1"/>
    <n v="2"/>
    <n v="2"/>
    <x v="0"/>
    <x v="2"/>
    <x v="2"/>
    <n v="6334"/>
    <x v="0"/>
    <x v="1"/>
    <n v="3"/>
    <n v="9"/>
    <n v="3"/>
    <x v="6"/>
    <n v="0"/>
    <n v="0"/>
    <n v="0"/>
    <x v="0"/>
    <x v="0"/>
    <x v="1"/>
  </r>
  <r>
    <n v="28"/>
    <s v="No"/>
    <n v="0"/>
    <x v="0"/>
    <x v="2"/>
    <n v="8"/>
    <s v="Medical"/>
    <s v="869"/>
    <x v="0"/>
    <x v="1"/>
    <n v="2"/>
    <n v="1"/>
    <x v="8"/>
    <x v="0"/>
    <x v="2"/>
    <n v="4936"/>
    <x v="1"/>
    <x v="1"/>
    <n v="3"/>
    <n v="6"/>
    <n v="3"/>
    <x v="8"/>
    <n v="1"/>
    <n v="0"/>
    <n v="4"/>
    <x v="2"/>
    <x v="0"/>
    <x v="1"/>
  </r>
  <r>
    <n v="22"/>
    <s v="No"/>
    <n v="0"/>
    <x v="0"/>
    <x v="1"/>
    <n v="1"/>
    <s v="Life Sciences"/>
    <s v="872"/>
    <x v="2"/>
    <x v="1"/>
    <n v="2"/>
    <n v="2"/>
    <x v="3"/>
    <x v="0"/>
    <x v="1"/>
    <n v="4775"/>
    <x v="1"/>
    <x v="1"/>
    <n v="4"/>
    <n v="4"/>
    <n v="1"/>
    <x v="4"/>
    <n v="2"/>
    <n v="2"/>
    <n v="2"/>
    <x v="3"/>
    <x v="1"/>
    <x v="1"/>
  </r>
  <r>
    <n v="44"/>
    <s v="No"/>
    <n v="0"/>
    <x v="0"/>
    <x v="1"/>
    <n v="8"/>
    <s v="Life Sciences"/>
    <s v="874"/>
    <x v="3"/>
    <x v="1"/>
    <n v="4"/>
    <n v="1"/>
    <x v="2"/>
    <x v="0"/>
    <x v="1"/>
    <n v="2818"/>
    <x v="1"/>
    <x v="0"/>
    <n v="4"/>
    <n v="10"/>
    <n v="2"/>
    <x v="11"/>
    <n v="2"/>
    <n v="0"/>
    <n v="2"/>
    <x v="0"/>
    <x v="0"/>
    <x v="1"/>
  </r>
  <r>
    <n v="42"/>
    <s v="No"/>
    <n v="0"/>
    <x v="1"/>
    <x v="1"/>
    <n v="2"/>
    <s v="Medical"/>
    <s v="875"/>
    <x v="0"/>
    <x v="1"/>
    <n v="3"/>
    <n v="1"/>
    <x v="1"/>
    <x v="0"/>
    <x v="0"/>
    <n v="2515"/>
    <x v="1"/>
    <x v="0"/>
    <n v="3"/>
    <n v="8"/>
    <n v="3"/>
    <x v="4"/>
    <n v="1"/>
    <n v="2"/>
    <n v="2"/>
    <x v="0"/>
    <x v="0"/>
    <x v="1"/>
  </r>
  <r>
    <n v="36"/>
    <s v="No"/>
    <n v="0"/>
    <x v="0"/>
    <x v="2"/>
    <n v="8"/>
    <s v="Life Sciences"/>
    <s v="878"/>
    <x v="3"/>
    <x v="1"/>
    <n v="2"/>
    <n v="1"/>
    <x v="8"/>
    <x v="3"/>
    <x v="1"/>
    <n v="2342"/>
    <x v="1"/>
    <x v="1"/>
    <n v="4"/>
    <n v="6"/>
    <n v="3"/>
    <x v="8"/>
    <n v="4"/>
    <n v="0"/>
    <n v="3"/>
    <x v="0"/>
    <x v="0"/>
    <x v="1"/>
  </r>
  <r>
    <n v="25"/>
    <s v="No"/>
    <n v="0"/>
    <x v="0"/>
    <x v="0"/>
    <n v="3"/>
    <s v="Other"/>
    <s v="879"/>
    <x v="1"/>
    <x v="1"/>
    <n v="3"/>
    <n v="2"/>
    <x v="0"/>
    <x v="3"/>
    <x v="1"/>
    <n v="4194"/>
    <x v="1"/>
    <x v="0"/>
    <n v="3"/>
    <n v="5"/>
    <n v="3"/>
    <x v="8"/>
    <n v="3"/>
    <n v="0"/>
    <n v="3"/>
    <x v="3"/>
    <x v="1"/>
    <x v="1"/>
  </r>
  <r>
    <n v="35"/>
    <s v="No"/>
    <n v="0"/>
    <x v="0"/>
    <x v="1"/>
    <n v="9"/>
    <s v="Life Sciences"/>
    <s v="880"/>
    <x v="2"/>
    <x v="0"/>
    <n v="2"/>
    <n v="3"/>
    <x v="3"/>
    <x v="2"/>
    <x v="1"/>
    <n v="10685"/>
    <x v="0"/>
    <x v="0"/>
    <n v="4"/>
    <n v="17"/>
    <n v="3"/>
    <x v="18"/>
    <n v="14"/>
    <n v="5"/>
    <n v="15"/>
    <x v="2"/>
    <x v="2"/>
    <x v="2"/>
  </r>
  <r>
    <n v="35"/>
    <s v="Yes"/>
    <n v="1"/>
    <x v="1"/>
    <x v="1"/>
    <n v="25"/>
    <s v="Life Sciences"/>
    <s v="881"/>
    <x v="2"/>
    <x v="0"/>
    <n v="3"/>
    <n v="1"/>
    <x v="1"/>
    <x v="1"/>
    <x v="2"/>
    <n v="2022"/>
    <x v="1"/>
    <x v="0"/>
    <n v="3"/>
    <n v="10"/>
    <n v="2"/>
    <x v="1"/>
    <n v="2"/>
    <n v="7"/>
    <n v="8"/>
    <x v="2"/>
    <x v="0"/>
    <x v="0"/>
  </r>
  <r>
    <n v="32"/>
    <s v="No"/>
    <n v="0"/>
    <x v="2"/>
    <x v="1"/>
    <n v="1"/>
    <s v="Life Sciences"/>
    <s v="882"/>
    <x v="2"/>
    <x v="1"/>
    <n v="3"/>
    <n v="1"/>
    <x v="2"/>
    <x v="0"/>
    <x v="2"/>
    <n v="2314"/>
    <x v="1"/>
    <x v="1"/>
    <n v="3"/>
    <n v="4"/>
    <n v="3"/>
    <x v="11"/>
    <n v="0"/>
    <n v="0"/>
    <n v="2"/>
    <x v="2"/>
    <x v="1"/>
    <x v="1"/>
  </r>
  <r>
    <n v="25"/>
    <s v="No"/>
    <n v="0"/>
    <x v="0"/>
    <x v="0"/>
    <n v="4"/>
    <s v="Marketing"/>
    <s v="885"/>
    <x v="1"/>
    <x v="1"/>
    <n v="2"/>
    <n v="2"/>
    <x v="0"/>
    <x v="3"/>
    <x v="1"/>
    <n v="4256"/>
    <x v="1"/>
    <x v="1"/>
    <n v="3"/>
    <n v="5"/>
    <n v="4"/>
    <x v="8"/>
    <n v="2"/>
    <n v="0"/>
    <n v="3"/>
    <x v="3"/>
    <x v="1"/>
    <x v="1"/>
  </r>
  <r>
    <n v="49"/>
    <s v="No"/>
    <n v="0"/>
    <x v="0"/>
    <x v="1"/>
    <n v="1"/>
    <s v="Technical Degree"/>
    <s v="887"/>
    <x v="1"/>
    <x v="0"/>
    <n v="3"/>
    <n v="1"/>
    <x v="1"/>
    <x v="3"/>
    <x v="1"/>
    <n v="3580"/>
    <x v="1"/>
    <x v="1"/>
    <n v="3"/>
    <n v="7"/>
    <n v="3"/>
    <x v="9"/>
    <n v="2"/>
    <n v="0"/>
    <n v="2"/>
    <x v="1"/>
    <x v="0"/>
    <x v="1"/>
  </r>
  <r>
    <n v="24"/>
    <s v="No"/>
    <n v="0"/>
    <x v="2"/>
    <x v="1"/>
    <n v="4"/>
    <s v="Life Sciences"/>
    <s v="888"/>
    <x v="3"/>
    <x v="1"/>
    <n v="2"/>
    <n v="1"/>
    <x v="2"/>
    <x v="0"/>
    <x v="1"/>
    <n v="3162"/>
    <x v="1"/>
    <x v="1"/>
    <n v="3"/>
    <n v="6"/>
    <n v="2"/>
    <x v="8"/>
    <n v="2"/>
    <n v="3"/>
    <n v="4"/>
    <x v="3"/>
    <x v="0"/>
    <x v="1"/>
  </r>
  <r>
    <n v="32"/>
    <s v="No"/>
    <n v="0"/>
    <x v="1"/>
    <x v="0"/>
    <n v="5"/>
    <s v="Life Sciences"/>
    <s v="889"/>
    <x v="0"/>
    <x v="1"/>
    <n v="3"/>
    <n v="2"/>
    <x v="0"/>
    <x v="1"/>
    <x v="1"/>
    <n v="6524"/>
    <x v="0"/>
    <x v="1"/>
    <n v="3"/>
    <n v="10"/>
    <n v="3"/>
    <x v="1"/>
    <n v="8"/>
    <n v="5"/>
    <n v="3"/>
    <x v="2"/>
    <x v="0"/>
    <x v="0"/>
  </r>
  <r>
    <n v="38"/>
    <s v="No"/>
    <n v="0"/>
    <x v="0"/>
    <x v="0"/>
    <n v="9"/>
    <s v="Marketing"/>
    <s v="893"/>
    <x v="0"/>
    <x v="1"/>
    <n v="2"/>
    <n v="1"/>
    <x v="6"/>
    <x v="1"/>
    <x v="1"/>
    <n v="2899"/>
    <x v="1"/>
    <x v="1"/>
    <n v="3"/>
    <n v="3"/>
    <n v="3"/>
    <x v="4"/>
    <n v="2"/>
    <n v="1"/>
    <n v="2"/>
    <x v="0"/>
    <x v="1"/>
    <x v="1"/>
  </r>
  <r>
    <n v="42"/>
    <s v="No"/>
    <n v="0"/>
    <x v="0"/>
    <x v="1"/>
    <n v="3"/>
    <s v="Life Sciences"/>
    <s v="894"/>
    <x v="1"/>
    <x v="0"/>
    <n v="4"/>
    <n v="2"/>
    <x v="2"/>
    <x v="0"/>
    <x v="1"/>
    <n v="5231"/>
    <x v="0"/>
    <x v="0"/>
    <n v="3"/>
    <n v="17"/>
    <n v="2"/>
    <x v="8"/>
    <n v="3"/>
    <n v="1"/>
    <n v="3"/>
    <x v="0"/>
    <x v="2"/>
    <x v="1"/>
  </r>
  <r>
    <n v="31"/>
    <s v="No"/>
    <n v="0"/>
    <x v="0"/>
    <x v="1"/>
    <n v="11"/>
    <s v="Life Sciences"/>
    <s v="895"/>
    <x v="2"/>
    <x v="1"/>
    <n v="3"/>
    <n v="1"/>
    <x v="1"/>
    <x v="0"/>
    <x v="1"/>
    <n v="2356"/>
    <x v="1"/>
    <x v="0"/>
    <n v="3"/>
    <n v="8"/>
    <n v="3"/>
    <x v="0"/>
    <n v="4"/>
    <n v="0"/>
    <n v="2"/>
    <x v="2"/>
    <x v="0"/>
    <x v="0"/>
  </r>
  <r>
    <n v="29"/>
    <s v="Yes"/>
    <n v="1"/>
    <x v="0"/>
    <x v="0"/>
    <n v="1"/>
    <s v="Medical"/>
    <s v="896"/>
    <x v="0"/>
    <x v="0"/>
    <n v="2"/>
    <n v="1"/>
    <x v="6"/>
    <x v="2"/>
    <x v="2"/>
    <n v="2800"/>
    <x v="1"/>
    <x v="0"/>
    <n v="3"/>
    <n v="5"/>
    <n v="3"/>
    <x v="11"/>
    <n v="2"/>
    <n v="0"/>
    <n v="2"/>
    <x v="2"/>
    <x v="1"/>
    <x v="1"/>
  </r>
  <r>
    <n v="53"/>
    <s v="No"/>
    <n v="0"/>
    <x v="0"/>
    <x v="0"/>
    <n v="8"/>
    <s v="Marketing"/>
    <s v="897"/>
    <x v="3"/>
    <x v="1"/>
    <n v="3"/>
    <n v="4"/>
    <x v="0"/>
    <x v="0"/>
    <x v="1"/>
    <n v="11836"/>
    <x v="0"/>
    <x v="1"/>
    <n v="3"/>
    <n v="28"/>
    <n v="3"/>
    <x v="4"/>
    <n v="0"/>
    <n v="2"/>
    <n v="2"/>
    <x v="1"/>
    <x v="2"/>
    <x v="1"/>
  </r>
  <r>
    <n v="35"/>
    <s v="No"/>
    <n v="0"/>
    <x v="0"/>
    <x v="1"/>
    <n v="25"/>
    <s v="Technical Degree"/>
    <s v="899"/>
    <x v="2"/>
    <x v="1"/>
    <n v="2"/>
    <n v="3"/>
    <x v="3"/>
    <x v="1"/>
    <x v="1"/>
    <n v="10903"/>
    <x v="0"/>
    <x v="1"/>
    <n v="3"/>
    <n v="16"/>
    <n v="3"/>
    <x v="20"/>
    <n v="10"/>
    <n v="4"/>
    <n v="8"/>
    <x v="2"/>
    <x v="2"/>
    <x v="2"/>
  </r>
  <r>
    <n v="37"/>
    <s v="No"/>
    <n v="0"/>
    <x v="1"/>
    <x v="0"/>
    <n v="21"/>
    <s v="Medical"/>
    <s v="900"/>
    <x v="1"/>
    <x v="0"/>
    <n v="3"/>
    <n v="1"/>
    <x v="6"/>
    <x v="0"/>
    <x v="1"/>
    <n v="2973"/>
    <x v="1"/>
    <x v="1"/>
    <n v="3"/>
    <n v="10"/>
    <n v="3"/>
    <x v="8"/>
    <n v="4"/>
    <n v="0"/>
    <n v="0"/>
    <x v="0"/>
    <x v="0"/>
    <x v="1"/>
  </r>
  <r>
    <n v="53"/>
    <s v="No"/>
    <n v="0"/>
    <x v="0"/>
    <x v="1"/>
    <n v="23"/>
    <s v="Life Sciences"/>
    <s v="901"/>
    <x v="2"/>
    <x v="0"/>
    <n v="3"/>
    <n v="4"/>
    <x v="7"/>
    <x v="0"/>
    <x v="0"/>
    <n v="14275"/>
    <x v="2"/>
    <x v="1"/>
    <n v="3"/>
    <n v="33"/>
    <n v="3"/>
    <x v="12"/>
    <n v="9"/>
    <n v="3"/>
    <n v="8"/>
    <x v="1"/>
    <x v="2"/>
    <x v="2"/>
  </r>
  <r>
    <n v="43"/>
    <s v="No"/>
    <n v="0"/>
    <x v="1"/>
    <x v="1"/>
    <n v="1"/>
    <s v="Life Sciences"/>
    <s v="902"/>
    <x v="2"/>
    <x v="0"/>
    <n v="3"/>
    <n v="2"/>
    <x v="4"/>
    <x v="0"/>
    <x v="1"/>
    <n v="5562"/>
    <x v="0"/>
    <x v="1"/>
    <n v="3"/>
    <n v="12"/>
    <n v="2"/>
    <x v="8"/>
    <n v="2"/>
    <n v="2"/>
    <n v="2"/>
    <x v="0"/>
    <x v="0"/>
    <x v="1"/>
  </r>
  <r>
    <n v="47"/>
    <s v="No"/>
    <n v="0"/>
    <x v="0"/>
    <x v="0"/>
    <n v="2"/>
    <s v="Marketing"/>
    <s v="903"/>
    <x v="1"/>
    <x v="0"/>
    <n v="3"/>
    <n v="2"/>
    <x v="0"/>
    <x v="0"/>
    <x v="1"/>
    <n v="4537"/>
    <x v="1"/>
    <x v="0"/>
    <n v="4"/>
    <n v="8"/>
    <n v="3"/>
    <x v="5"/>
    <n v="6"/>
    <n v="7"/>
    <n v="7"/>
    <x v="1"/>
    <x v="0"/>
    <x v="0"/>
  </r>
  <r>
    <n v="37"/>
    <s v="No"/>
    <n v="0"/>
    <x v="2"/>
    <x v="0"/>
    <n v="19"/>
    <s v="Medical"/>
    <s v="904"/>
    <x v="3"/>
    <x v="1"/>
    <n v="3"/>
    <n v="3"/>
    <x v="0"/>
    <x v="1"/>
    <x v="0"/>
    <n v="7642"/>
    <x v="0"/>
    <x v="0"/>
    <n v="3"/>
    <n v="10"/>
    <n v="3"/>
    <x v="1"/>
    <n v="0"/>
    <n v="0"/>
    <n v="9"/>
    <x v="0"/>
    <x v="0"/>
    <x v="0"/>
  </r>
  <r>
    <n v="50"/>
    <s v="No"/>
    <n v="0"/>
    <x v="2"/>
    <x v="1"/>
    <n v="2"/>
    <s v="Life Sciences"/>
    <s v="905"/>
    <x v="3"/>
    <x v="1"/>
    <n v="3"/>
    <n v="4"/>
    <x v="5"/>
    <x v="3"/>
    <x v="2"/>
    <n v="17924"/>
    <x v="2"/>
    <x v="1"/>
    <n v="3"/>
    <n v="31"/>
    <n v="3"/>
    <x v="31"/>
    <n v="6"/>
    <n v="14"/>
    <n v="7"/>
    <x v="1"/>
    <x v="2"/>
    <x v="2"/>
  </r>
  <r>
    <n v="39"/>
    <s v="No"/>
    <n v="0"/>
    <x v="0"/>
    <x v="2"/>
    <n v="2"/>
    <s v="Life Sciences"/>
    <s v="909"/>
    <x v="2"/>
    <x v="0"/>
    <n v="2"/>
    <n v="2"/>
    <x v="8"/>
    <x v="0"/>
    <x v="1"/>
    <n v="5204"/>
    <x v="0"/>
    <x v="1"/>
    <n v="3"/>
    <n v="13"/>
    <n v="3"/>
    <x v="8"/>
    <n v="4"/>
    <n v="0"/>
    <n v="4"/>
    <x v="0"/>
    <x v="0"/>
    <x v="1"/>
  </r>
  <r>
    <n v="33"/>
    <s v="No"/>
    <n v="0"/>
    <x v="0"/>
    <x v="2"/>
    <n v="3"/>
    <s v="Human Resources"/>
    <s v="910"/>
    <x v="2"/>
    <x v="1"/>
    <n v="3"/>
    <n v="1"/>
    <x v="8"/>
    <x v="1"/>
    <x v="2"/>
    <n v="2277"/>
    <x v="1"/>
    <x v="0"/>
    <n v="3"/>
    <n v="7"/>
    <n v="4"/>
    <x v="9"/>
    <n v="3"/>
    <n v="0"/>
    <n v="3"/>
    <x v="2"/>
    <x v="0"/>
    <x v="1"/>
  </r>
  <r>
    <n v="32"/>
    <s v="Yes"/>
    <n v="1"/>
    <x v="0"/>
    <x v="1"/>
    <n v="25"/>
    <s v="Life Sciences"/>
    <s v="911"/>
    <x v="3"/>
    <x v="1"/>
    <n v="3"/>
    <n v="1"/>
    <x v="2"/>
    <x v="0"/>
    <x v="0"/>
    <n v="2795"/>
    <x v="1"/>
    <x v="0"/>
    <n v="4"/>
    <n v="1"/>
    <n v="1"/>
    <x v="6"/>
    <n v="0"/>
    <n v="0"/>
    <n v="1"/>
    <x v="2"/>
    <x v="1"/>
    <x v="1"/>
  </r>
  <r>
    <n v="29"/>
    <s v="No"/>
    <n v="0"/>
    <x v="0"/>
    <x v="1"/>
    <n v="7"/>
    <s v="Medical"/>
    <s v="912"/>
    <x v="3"/>
    <x v="0"/>
    <n v="2"/>
    <n v="1"/>
    <x v="2"/>
    <x v="0"/>
    <x v="2"/>
    <n v="2532"/>
    <x v="1"/>
    <x v="1"/>
    <n v="3"/>
    <n v="8"/>
    <n v="3"/>
    <x v="9"/>
    <n v="3"/>
    <n v="0"/>
    <n v="3"/>
    <x v="2"/>
    <x v="0"/>
    <x v="1"/>
  </r>
  <r>
    <n v="44"/>
    <s v="No"/>
    <n v="0"/>
    <x v="0"/>
    <x v="1"/>
    <n v="9"/>
    <s v="Life Sciences"/>
    <s v="913"/>
    <x v="0"/>
    <x v="1"/>
    <n v="3"/>
    <n v="1"/>
    <x v="1"/>
    <x v="3"/>
    <x v="1"/>
    <n v="2559"/>
    <x v="1"/>
    <x v="0"/>
    <n v="3"/>
    <n v="8"/>
    <n v="3"/>
    <x v="3"/>
    <n v="7"/>
    <n v="7"/>
    <n v="1"/>
    <x v="0"/>
    <x v="0"/>
    <x v="0"/>
  </r>
  <r>
    <n v="28"/>
    <s v="No"/>
    <n v="0"/>
    <x v="0"/>
    <x v="0"/>
    <n v="5"/>
    <s v="Medical"/>
    <s v="916"/>
    <x v="3"/>
    <x v="1"/>
    <n v="3"/>
    <n v="2"/>
    <x v="0"/>
    <x v="0"/>
    <x v="0"/>
    <n v="4908"/>
    <x v="1"/>
    <x v="1"/>
    <n v="3"/>
    <n v="4"/>
    <n v="3"/>
    <x v="9"/>
    <n v="2"/>
    <n v="0"/>
    <n v="2"/>
    <x v="2"/>
    <x v="1"/>
    <x v="1"/>
  </r>
  <r>
    <n v="58"/>
    <s v="Yes"/>
    <n v="1"/>
    <x v="1"/>
    <x v="1"/>
    <n v="2"/>
    <s v="Life Sciences"/>
    <s v="918"/>
    <x v="2"/>
    <x v="1"/>
    <n v="2"/>
    <n v="1"/>
    <x v="2"/>
    <x v="0"/>
    <x v="2"/>
    <n v="2380"/>
    <x v="1"/>
    <x v="0"/>
    <n v="3"/>
    <n v="3"/>
    <n v="2"/>
    <x v="6"/>
    <n v="0"/>
    <n v="0"/>
    <n v="0"/>
    <x v="1"/>
    <x v="1"/>
    <x v="1"/>
  </r>
  <r>
    <n v="43"/>
    <s v="No"/>
    <n v="0"/>
    <x v="0"/>
    <x v="1"/>
    <n v="8"/>
    <s v="Life Sciences"/>
    <s v="920"/>
    <x v="3"/>
    <x v="0"/>
    <n v="3"/>
    <n v="2"/>
    <x v="3"/>
    <x v="1"/>
    <x v="2"/>
    <n v="4765"/>
    <x v="1"/>
    <x v="1"/>
    <n v="4"/>
    <n v="4"/>
    <n v="4"/>
    <x v="6"/>
    <n v="0"/>
    <n v="0"/>
    <n v="0"/>
    <x v="0"/>
    <x v="1"/>
    <x v="1"/>
  </r>
  <r>
    <n v="20"/>
    <s v="Yes"/>
    <n v="1"/>
    <x v="0"/>
    <x v="0"/>
    <n v="2"/>
    <s v="Medical"/>
    <s v="922"/>
    <x v="1"/>
    <x v="0"/>
    <n v="2"/>
    <n v="1"/>
    <x v="6"/>
    <x v="2"/>
    <x v="0"/>
    <n v="2044"/>
    <x v="1"/>
    <x v="1"/>
    <n v="3"/>
    <n v="2"/>
    <n v="2"/>
    <x v="4"/>
    <n v="2"/>
    <n v="0"/>
    <n v="2"/>
    <x v="3"/>
    <x v="1"/>
    <x v="1"/>
  </r>
  <r>
    <n v="21"/>
    <s v="Yes"/>
    <n v="1"/>
    <x v="0"/>
    <x v="1"/>
    <n v="18"/>
    <s v="Other"/>
    <s v="923"/>
    <x v="2"/>
    <x v="0"/>
    <n v="3"/>
    <n v="1"/>
    <x v="1"/>
    <x v="0"/>
    <x v="0"/>
    <n v="2693"/>
    <x v="1"/>
    <x v="1"/>
    <n v="3"/>
    <n v="1"/>
    <n v="2"/>
    <x v="6"/>
    <n v="0"/>
    <n v="0"/>
    <n v="0"/>
    <x v="3"/>
    <x v="1"/>
    <x v="1"/>
  </r>
  <r>
    <n v="36"/>
    <s v="No"/>
    <n v="0"/>
    <x v="0"/>
    <x v="1"/>
    <n v="14"/>
    <s v="Life Sciences"/>
    <s v="924"/>
    <x v="1"/>
    <x v="1"/>
    <n v="3"/>
    <n v="2"/>
    <x v="4"/>
    <x v="0"/>
    <x v="1"/>
    <n v="6586"/>
    <x v="0"/>
    <x v="0"/>
    <n v="3"/>
    <n v="17"/>
    <n v="2"/>
    <x v="22"/>
    <n v="8"/>
    <n v="4"/>
    <n v="11"/>
    <x v="0"/>
    <x v="2"/>
    <x v="2"/>
  </r>
  <r>
    <n v="47"/>
    <s v="No"/>
    <n v="0"/>
    <x v="0"/>
    <x v="0"/>
    <n v="2"/>
    <s v="Life Sciences"/>
    <s v="925"/>
    <x v="2"/>
    <x v="0"/>
    <n v="2"/>
    <n v="1"/>
    <x v="6"/>
    <x v="0"/>
    <x v="0"/>
    <n v="3294"/>
    <x v="1"/>
    <x v="0"/>
    <n v="3"/>
    <n v="3"/>
    <n v="2"/>
    <x v="11"/>
    <n v="2"/>
    <n v="1"/>
    <n v="2"/>
    <x v="1"/>
    <x v="1"/>
    <x v="1"/>
  </r>
  <r>
    <n v="22"/>
    <s v="Yes"/>
    <n v="1"/>
    <x v="0"/>
    <x v="1"/>
    <n v="3"/>
    <s v="Life Sciences"/>
    <s v="926"/>
    <x v="0"/>
    <x v="0"/>
    <n v="3"/>
    <n v="2"/>
    <x v="3"/>
    <x v="2"/>
    <x v="1"/>
    <n v="4171"/>
    <x v="1"/>
    <x v="0"/>
    <n v="3"/>
    <n v="4"/>
    <n v="4"/>
    <x v="11"/>
    <n v="2"/>
    <n v="0"/>
    <n v="2"/>
    <x v="3"/>
    <x v="1"/>
    <x v="1"/>
  </r>
  <r>
    <n v="41"/>
    <s v="Yes"/>
    <n v="1"/>
    <x v="0"/>
    <x v="1"/>
    <n v="2"/>
    <s v="Life Sciences"/>
    <s v="927"/>
    <x v="0"/>
    <x v="0"/>
    <n v="1"/>
    <n v="1"/>
    <x v="2"/>
    <x v="0"/>
    <x v="2"/>
    <n v="2778"/>
    <x v="1"/>
    <x v="0"/>
    <n v="3"/>
    <n v="10"/>
    <n v="2"/>
    <x v="5"/>
    <n v="7"/>
    <n v="1"/>
    <n v="0"/>
    <x v="0"/>
    <x v="0"/>
    <x v="0"/>
  </r>
  <r>
    <n v="28"/>
    <s v="No"/>
    <n v="0"/>
    <x v="0"/>
    <x v="1"/>
    <n v="9"/>
    <s v="Medical"/>
    <s v="930"/>
    <x v="1"/>
    <x v="0"/>
    <n v="3"/>
    <n v="1"/>
    <x v="1"/>
    <x v="2"/>
    <x v="2"/>
    <n v="2377"/>
    <x v="1"/>
    <x v="1"/>
    <n v="3"/>
    <n v="6"/>
    <n v="3"/>
    <x v="4"/>
    <n v="2"/>
    <n v="2"/>
    <n v="2"/>
    <x v="2"/>
    <x v="0"/>
    <x v="1"/>
  </r>
  <r>
    <n v="39"/>
    <s v="Yes"/>
    <n v="1"/>
    <x v="0"/>
    <x v="1"/>
    <n v="6"/>
    <s v="Medical"/>
    <s v="932"/>
    <x v="2"/>
    <x v="1"/>
    <n v="3"/>
    <n v="1"/>
    <x v="2"/>
    <x v="3"/>
    <x v="1"/>
    <n v="2404"/>
    <x v="1"/>
    <x v="0"/>
    <n v="4"/>
    <n v="8"/>
    <n v="1"/>
    <x v="4"/>
    <n v="2"/>
    <n v="2"/>
    <n v="2"/>
    <x v="0"/>
    <x v="0"/>
    <x v="1"/>
  </r>
  <r>
    <n v="27"/>
    <s v="No"/>
    <n v="0"/>
    <x v="0"/>
    <x v="1"/>
    <n v="4"/>
    <s v="Life Sciences"/>
    <s v="933"/>
    <x v="0"/>
    <x v="0"/>
    <n v="3"/>
    <n v="1"/>
    <x v="1"/>
    <x v="2"/>
    <x v="0"/>
    <n v="2318"/>
    <x v="1"/>
    <x v="1"/>
    <n v="3"/>
    <n v="1"/>
    <n v="3"/>
    <x v="6"/>
    <n v="1"/>
    <n v="0"/>
    <n v="0"/>
    <x v="2"/>
    <x v="1"/>
    <x v="1"/>
  </r>
  <r>
    <n v="34"/>
    <s v="No"/>
    <n v="0"/>
    <x v="0"/>
    <x v="1"/>
    <n v="10"/>
    <s v="Life Sciences"/>
    <s v="934"/>
    <x v="0"/>
    <x v="1"/>
    <n v="3"/>
    <n v="1"/>
    <x v="2"/>
    <x v="1"/>
    <x v="2"/>
    <n v="2008"/>
    <x v="1"/>
    <x v="1"/>
    <n v="3"/>
    <n v="1"/>
    <n v="3"/>
    <x v="6"/>
    <n v="0"/>
    <n v="1"/>
    <n v="0"/>
    <x v="2"/>
    <x v="1"/>
    <x v="1"/>
  </r>
  <r>
    <n v="42"/>
    <s v="No"/>
    <n v="0"/>
    <x v="0"/>
    <x v="0"/>
    <n v="14"/>
    <s v="Medical"/>
    <s v="936"/>
    <x v="1"/>
    <x v="0"/>
    <n v="2"/>
    <n v="2"/>
    <x v="0"/>
    <x v="2"/>
    <x v="0"/>
    <n v="6244"/>
    <x v="0"/>
    <x v="1"/>
    <n v="3"/>
    <n v="10"/>
    <n v="3"/>
    <x v="8"/>
    <n v="4"/>
    <n v="0"/>
    <n v="3"/>
    <x v="0"/>
    <x v="0"/>
    <x v="1"/>
  </r>
  <r>
    <n v="33"/>
    <s v="No"/>
    <n v="0"/>
    <x v="0"/>
    <x v="1"/>
    <n v="1"/>
    <s v="Other"/>
    <s v="939"/>
    <x v="1"/>
    <x v="1"/>
    <n v="2"/>
    <n v="1"/>
    <x v="1"/>
    <x v="3"/>
    <x v="0"/>
    <n v="2799"/>
    <x v="1"/>
    <x v="0"/>
    <n v="3"/>
    <n v="6"/>
    <n v="3"/>
    <x v="11"/>
    <n v="2"/>
    <n v="0"/>
    <n v="2"/>
    <x v="2"/>
    <x v="0"/>
    <x v="1"/>
  </r>
  <r>
    <n v="58"/>
    <s v="No"/>
    <n v="0"/>
    <x v="0"/>
    <x v="1"/>
    <n v="5"/>
    <s v="Technical Degree"/>
    <s v="940"/>
    <x v="1"/>
    <x v="0"/>
    <n v="2"/>
    <n v="3"/>
    <x v="4"/>
    <x v="1"/>
    <x v="2"/>
    <n v="10552"/>
    <x v="0"/>
    <x v="0"/>
    <n v="3"/>
    <n v="24"/>
    <n v="3"/>
    <x v="0"/>
    <n v="0"/>
    <n v="0"/>
    <n v="4"/>
    <x v="1"/>
    <x v="2"/>
    <x v="0"/>
  </r>
  <r>
    <n v="31"/>
    <s v="No"/>
    <n v="0"/>
    <x v="0"/>
    <x v="0"/>
    <n v="7"/>
    <s v="Life Sciences"/>
    <s v="941"/>
    <x v="0"/>
    <x v="1"/>
    <n v="2"/>
    <n v="1"/>
    <x v="6"/>
    <x v="2"/>
    <x v="1"/>
    <n v="2329"/>
    <x v="1"/>
    <x v="1"/>
    <n v="3"/>
    <n v="13"/>
    <n v="4"/>
    <x v="5"/>
    <n v="7"/>
    <n v="5"/>
    <n v="2"/>
    <x v="2"/>
    <x v="0"/>
    <x v="0"/>
  </r>
  <r>
    <n v="35"/>
    <s v="No"/>
    <n v="0"/>
    <x v="0"/>
    <x v="1"/>
    <n v="21"/>
    <s v="Life Sciences"/>
    <s v="942"/>
    <x v="2"/>
    <x v="0"/>
    <n v="3"/>
    <n v="2"/>
    <x v="4"/>
    <x v="0"/>
    <x v="1"/>
    <n v="4014"/>
    <x v="1"/>
    <x v="0"/>
    <n v="4"/>
    <n v="10"/>
    <n v="1"/>
    <x v="1"/>
    <n v="6"/>
    <n v="0"/>
    <n v="7"/>
    <x v="2"/>
    <x v="0"/>
    <x v="0"/>
  </r>
  <r>
    <n v="49"/>
    <s v="No"/>
    <n v="0"/>
    <x v="0"/>
    <x v="1"/>
    <n v="8"/>
    <s v="Other"/>
    <s v="944"/>
    <x v="3"/>
    <x v="0"/>
    <n v="3"/>
    <n v="3"/>
    <x v="2"/>
    <x v="1"/>
    <x v="1"/>
    <n v="7403"/>
    <x v="0"/>
    <x v="1"/>
    <n v="3"/>
    <n v="29"/>
    <n v="2"/>
    <x v="34"/>
    <n v="9"/>
    <n v="1"/>
    <n v="7"/>
    <x v="1"/>
    <x v="2"/>
    <x v="2"/>
  </r>
  <r>
    <n v="48"/>
    <s v="No"/>
    <n v="0"/>
    <x v="0"/>
    <x v="1"/>
    <n v="20"/>
    <s v="Medical"/>
    <s v="945"/>
    <x v="2"/>
    <x v="1"/>
    <n v="3"/>
    <n v="1"/>
    <x v="1"/>
    <x v="2"/>
    <x v="1"/>
    <n v="2259"/>
    <x v="1"/>
    <x v="1"/>
    <n v="3"/>
    <n v="13"/>
    <n v="2"/>
    <x v="2"/>
    <n v="0"/>
    <n v="0"/>
    <n v="0"/>
    <x v="1"/>
    <x v="0"/>
    <x v="1"/>
  </r>
  <r>
    <n v="31"/>
    <s v="No"/>
    <n v="0"/>
    <x v="2"/>
    <x v="0"/>
    <n v="20"/>
    <s v="Marketing"/>
    <s v="947"/>
    <x v="2"/>
    <x v="0"/>
    <n v="3"/>
    <n v="2"/>
    <x v="0"/>
    <x v="2"/>
    <x v="1"/>
    <n v="6932"/>
    <x v="0"/>
    <x v="1"/>
    <n v="3"/>
    <n v="9"/>
    <n v="2"/>
    <x v="7"/>
    <n v="8"/>
    <n v="0"/>
    <n v="0"/>
    <x v="2"/>
    <x v="0"/>
    <x v="0"/>
  </r>
  <r>
    <n v="36"/>
    <s v="No"/>
    <n v="0"/>
    <x v="0"/>
    <x v="1"/>
    <n v="7"/>
    <s v="Other"/>
    <s v="949"/>
    <x v="0"/>
    <x v="1"/>
    <n v="3"/>
    <n v="1"/>
    <x v="1"/>
    <x v="0"/>
    <x v="0"/>
    <n v="4678"/>
    <x v="1"/>
    <x v="1"/>
    <n v="3"/>
    <n v="8"/>
    <n v="3"/>
    <x v="0"/>
    <n v="2"/>
    <n v="0"/>
    <n v="1"/>
    <x v="0"/>
    <x v="0"/>
    <x v="0"/>
  </r>
  <r>
    <n v="38"/>
    <s v="No"/>
    <n v="0"/>
    <x v="0"/>
    <x v="1"/>
    <n v="1"/>
    <s v="Technical Degree"/>
    <s v="950"/>
    <x v="2"/>
    <x v="0"/>
    <n v="3"/>
    <n v="3"/>
    <x v="7"/>
    <x v="3"/>
    <x v="1"/>
    <n v="13582"/>
    <x v="2"/>
    <x v="1"/>
    <n v="3"/>
    <n v="15"/>
    <n v="3"/>
    <x v="15"/>
    <n v="12"/>
    <n v="5"/>
    <n v="11"/>
    <x v="0"/>
    <x v="0"/>
    <x v="2"/>
  </r>
  <r>
    <n v="32"/>
    <s v="No"/>
    <n v="0"/>
    <x v="2"/>
    <x v="1"/>
    <n v="1"/>
    <s v="Life Sciences"/>
    <s v="951"/>
    <x v="1"/>
    <x v="0"/>
    <n v="2"/>
    <n v="1"/>
    <x v="2"/>
    <x v="1"/>
    <x v="1"/>
    <n v="2332"/>
    <x v="1"/>
    <x v="1"/>
    <n v="4"/>
    <n v="5"/>
    <n v="3"/>
    <x v="11"/>
    <n v="0"/>
    <n v="0"/>
    <n v="2"/>
    <x v="2"/>
    <x v="1"/>
    <x v="1"/>
  </r>
  <r>
    <n v="25"/>
    <s v="Yes"/>
    <n v="1"/>
    <x v="0"/>
    <x v="0"/>
    <n v="19"/>
    <s v="Marketing"/>
    <s v="952"/>
    <x v="1"/>
    <x v="1"/>
    <n v="2"/>
    <n v="1"/>
    <x v="6"/>
    <x v="1"/>
    <x v="1"/>
    <n v="2413"/>
    <x v="1"/>
    <x v="0"/>
    <n v="3"/>
    <n v="1"/>
    <n v="3"/>
    <x v="6"/>
    <n v="0"/>
    <n v="0"/>
    <n v="0"/>
    <x v="3"/>
    <x v="1"/>
    <x v="1"/>
  </r>
  <r>
    <n v="40"/>
    <s v="No"/>
    <n v="0"/>
    <x v="0"/>
    <x v="0"/>
    <n v="10"/>
    <s v="Marketing"/>
    <s v="954"/>
    <x v="3"/>
    <x v="1"/>
    <n v="2"/>
    <n v="3"/>
    <x v="0"/>
    <x v="1"/>
    <x v="2"/>
    <n v="9705"/>
    <x v="0"/>
    <x v="1"/>
    <n v="3"/>
    <n v="11"/>
    <n v="2"/>
    <x v="6"/>
    <n v="0"/>
    <n v="0"/>
    <n v="0"/>
    <x v="0"/>
    <x v="0"/>
    <x v="1"/>
  </r>
  <r>
    <n v="26"/>
    <s v="No"/>
    <n v="0"/>
    <x v="1"/>
    <x v="0"/>
    <n v="1"/>
    <s v="Medical"/>
    <s v="956"/>
    <x v="1"/>
    <x v="1"/>
    <n v="2"/>
    <n v="2"/>
    <x v="0"/>
    <x v="3"/>
    <x v="0"/>
    <n v="4294"/>
    <x v="1"/>
    <x v="1"/>
    <n v="3"/>
    <n v="7"/>
    <n v="3"/>
    <x v="5"/>
    <n v="7"/>
    <n v="0"/>
    <n v="7"/>
    <x v="2"/>
    <x v="0"/>
    <x v="0"/>
  </r>
  <r>
    <n v="41"/>
    <s v="No"/>
    <n v="0"/>
    <x v="0"/>
    <x v="1"/>
    <n v="6"/>
    <s v="Medical"/>
    <s v="957"/>
    <x v="2"/>
    <x v="1"/>
    <n v="3"/>
    <n v="1"/>
    <x v="2"/>
    <x v="3"/>
    <x v="0"/>
    <n v="4721"/>
    <x v="1"/>
    <x v="0"/>
    <n v="3"/>
    <n v="20"/>
    <n v="3"/>
    <x v="29"/>
    <n v="13"/>
    <n v="2"/>
    <n v="17"/>
    <x v="0"/>
    <x v="2"/>
    <x v="2"/>
  </r>
  <r>
    <n v="36"/>
    <s v="No"/>
    <n v="0"/>
    <x v="0"/>
    <x v="1"/>
    <n v="2"/>
    <s v="Medical"/>
    <s v="958"/>
    <x v="1"/>
    <x v="1"/>
    <n v="3"/>
    <n v="1"/>
    <x v="2"/>
    <x v="2"/>
    <x v="0"/>
    <n v="2519"/>
    <x v="1"/>
    <x v="1"/>
    <n v="4"/>
    <n v="16"/>
    <n v="3"/>
    <x v="19"/>
    <n v="8"/>
    <n v="3"/>
    <n v="9"/>
    <x v="0"/>
    <x v="2"/>
    <x v="2"/>
  </r>
  <r>
    <n v="19"/>
    <s v="Yes"/>
    <n v="1"/>
    <x v="0"/>
    <x v="0"/>
    <n v="21"/>
    <s v="Other"/>
    <s v="959"/>
    <x v="2"/>
    <x v="1"/>
    <n v="2"/>
    <n v="1"/>
    <x v="6"/>
    <x v="1"/>
    <x v="0"/>
    <n v="2121"/>
    <x v="1"/>
    <x v="0"/>
    <n v="3"/>
    <n v="1"/>
    <n v="4"/>
    <x v="6"/>
    <n v="0"/>
    <n v="0"/>
    <n v="0"/>
    <x v="3"/>
    <x v="1"/>
    <x v="1"/>
  </r>
  <r>
    <n v="20"/>
    <s v="Yes"/>
    <n v="1"/>
    <x v="0"/>
    <x v="1"/>
    <n v="4"/>
    <s v="Technical Degree"/>
    <s v="960"/>
    <x v="3"/>
    <x v="1"/>
    <n v="3"/>
    <n v="1"/>
    <x v="2"/>
    <x v="3"/>
    <x v="0"/>
    <n v="2973"/>
    <x v="1"/>
    <x v="1"/>
    <n v="3"/>
    <n v="1"/>
    <n v="3"/>
    <x v="6"/>
    <n v="0"/>
    <n v="0"/>
    <n v="0"/>
    <x v="3"/>
    <x v="1"/>
    <x v="1"/>
  </r>
  <r>
    <n v="31"/>
    <s v="No"/>
    <n v="0"/>
    <x v="0"/>
    <x v="1"/>
    <n v="12"/>
    <s v="Medical"/>
    <s v="961"/>
    <x v="2"/>
    <x v="0"/>
    <n v="3"/>
    <n v="2"/>
    <x v="4"/>
    <x v="0"/>
    <x v="1"/>
    <n v="5855"/>
    <x v="0"/>
    <x v="0"/>
    <n v="3"/>
    <n v="10"/>
    <n v="1"/>
    <x v="7"/>
    <n v="7"/>
    <n v="8"/>
    <n v="5"/>
    <x v="2"/>
    <x v="0"/>
    <x v="0"/>
  </r>
  <r>
    <n v="40"/>
    <s v="No"/>
    <n v="0"/>
    <x v="1"/>
    <x v="1"/>
    <n v="9"/>
    <s v="Medical"/>
    <s v="964"/>
    <x v="2"/>
    <x v="1"/>
    <n v="3"/>
    <n v="1"/>
    <x v="1"/>
    <x v="1"/>
    <x v="2"/>
    <n v="3617"/>
    <x v="1"/>
    <x v="0"/>
    <n v="3"/>
    <n v="3"/>
    <n v="3"/>
    <x v="6"/>
    <n v="1"/>
    <n v="0"/>
    <n v="0"/>
    <x v="0"/>
    <x v="1"/>
    <x v="1"/>
  </r>
  <r>
    <n v="32"/>
    <s v="No"/>
    <n v="0"/>
    <x v="0"/>
    <x v="1"/>
    <n v="3"/>
    <s v="Medical"/>
    <s v="966"/>
    <x v="1"/>
    <x v="0"/>
    <n v="3"/>
    <n v="2"/>
    <x v="3"/>
    <x v="3"/>
    <x v="1"/>
    <n v="6725"/>
    <x v="0"/>
    <x v="1"/>
    <n v="3"/>
    <n v="8"/>
    <n v="4"/>
    <x v="3"/>
    <n v="7"/>
    <n v="6"/>
    <n v="3"/>
    <x v="2"/>
    <x v="0"/>
    <x v="0"/>
  </r>
  <r>
    <n v="36"/>
    <s v="Yes"/>
    <n v="1"/>
    <x v="0"/>
    <x v="0"/>
    <n v="3"/>
    <s v="Life Sciences"/>
    <s v="967"/>
    <x v="1"/>
    <x v="1"/>
    <n v="2"/>
    <n v="3"/>
    <x v="0"/>
    <x v="0"/>
    <x v="1"/>
    <n v="10325"/>
    <x v="0"/>
    <x v="0"/>
    <n v="3"/>
    <n v="16"/>
    <n v="3"/>
    <x v="22"/>
    <n v="7"/>
    <n v="3"/>
    <n v="7"/>
    <x v="0"/>
    <x v="2"/>
    <x v="2"/>
  </r>
  <r>
    <n v="33"/>
    <s v="No"/>
    <n v="0"/>
    <x v="0"/>
    <x v="1"/>
    <n v="1"/>
    <s v="Life Sciences"/>
    <s v="969"/>
    <x v="0"/>
    <x v="0"/>
    <n v="2"/>
    <n v="2"/>
    <x v="4"/>
    <x v="0"/>
    <x v="0"/>
    <n v="6949"/>
    <x v="0"/>
    <x v="1"/>
    <n v="3"/>
    <n v="6"/>
    <n v="3"/>
    <x v="8"/>
    <n v="0"/>
    <n v="1"/>
    <n v="4"/>
    <x v="2"/>
    <x v="0"/>
    <x v="1"/>
  </r>
  <r>
    <n v="37"/>
    <s v="Yes"/>
    <n v="1"/>
    <x v="0"/>
    <x v="0"/>
    <n v="1"/>
    <s v="Life Sciences"/>
    <s v="970"/>
    <x v="3"/>
    <x v="1"/>
    <n v="2"/>
    <n v="3"/>
    <x v="0"/>
    <x v="2"/>
    <x v="1"/>
    <n v="10609"/>
    <x v="0"/>
    <x v="1"/>
    <n v="3"/>
    <n v="17"/>
    <n v="1"/>
    <x v="13"/>
    <n v="1"/>
    <n v="11"/>
    <n v="7"/>
    <x v="0"/>
    <x v="2"/>
    <x v="2"/>
  </r>
  <r>
    <n v="45"/>
    <s v="No"/>
    <n v="0"/>
    <x v="2"/>
    <x v="1"/>
    <n v="4"/>
    <s v="Life Sciences"/>
    <s v="972"/>
    <x v="1"/>
    <x v="1"/>
    <n v="3"/>
    <n v="2"/>
    <x v="2"/>
    <x v="1"/>
    <x v="1"/>
    <n v="4447"/>
    <x v="1"/>
    <x v="1"/>
    <n v="3"/>
    <n v="9"/>
    <n v="2"/>
    <x v="7"/>
    <n v="7"/>
    <n v="0"/>
    <n v="8"/>
    <x v="0"/>
    <x v="0"/>
    <x v="0"/>
  </r>
  <r>
    <n v="29"/>
    <s v="No"/>
    <n v="0"/>
    <x v="1"/>
    <x v="0"/>
    <n v="20"/>
    <s v="Technical Degree"/>
    <s v="974"/>
    <x v="1"/>
    <x v="0"/>
    <n v="3"/>
    <n v="1"/>
    <x v="6"/>
    <x v="0"/>
    <x v="1"/>
    <n v="2157"/>
    <x v="1"/>
    <x v="1"/>
    <n v="3"/>
    <n v="3"/>
    <n v="3"/>
    <x v="11"/>
    <n v="1"/>
    <n v="0"/>
    <n v="2"/>
    <x v="2"/>
    <x v="1"/>
    <x v="1"/>
  </r>
  <r>
    <n v="35"/>
    <s v="No"/>
    <n v="0"/>
    <x v="0"/>
    <x v="0"/>
    <n v="18"/>
    <s v="Medical"/>
    <s v="975"/>
    <x v="1"/>
    <x v="0"/>
    <n v="3"/>
    <n v="2"/>
    <x v="0"/>
    <x v="2"/>
    <x v="1"/>
    <n v="4601"/>
    <x v="1"/>
    <x v="1"/>
    <n v="3"/>
    <n v="5"/>
    <n v="3"/>
    <x v="8"/>
    <n v="2"/>
    <n v="1"/>
    <n v="0"/>
    <x v="2"/>
    <x v="1"/>
    <x v="1"/>
  </r>
  <r>
    <n v="52"/>
    <s v="No"/>
    <n v="0"/>
    <x v="0"/>
    <x v="1"/>
    <n v="1"/>
    <s v="Life Sciences"/>
    <s v="976"/>
    <x v="2"/>
    <x v="1"/>
    <n v="3"/>
    <n v="4"/>
    <x v="5"/>
    <x v="0"/>
    <x v="1"/>
    <n v="17099"/>
    <x v="2"/>
    <x v="1"/>
    <n v="3"/>
    <n v="26"/>
    <n v="2"/>
    <x v="7"/>
    <n v="8"/>
    <n v="7"/>
    <n v="8"/>
    <x v="1"/>
    <x v="2"/>
    <x v="0"/>
  </r>
  <r>
    <n v="58"/>
    <s v="Yes"/>
    <n v="1"/>
    <x v="0"/>
    <x v="1"/>
    <n v="2"/>
    <s v="Technical Degree"/>
    <s v="977"/>
    <x v="2"/>
    <x v="1"/>
    <n v="3"/>
    <n v="1"/>
    <x v="1"/>
    <x v="2"/>
    <x v="0"/>
    <n v="2479"/>
    <x v="1"/>
    <x v="1"/>
    <n v="4"/>
    <n v="7"/>
    <n v="3"/>
    <x v="6"/>
    <n v="0"/>
    <n v="0"/>
    <n v="0"/>
    <x v="1"/>
    <x v="0"/>
    <x v="1"/>
  </r>
  <r>
    <n v="53"/>
    <s v="No"/>
    <n v="0"/>
    <x v="0"/>
    <x v="0"/>
    <n v="2"/>
    <s v="Medical"/>
    <s v="981"/>
    <x v="1"/>
    <x v="1"/>
    <n v="3"/>
    <n v="4"/>
    <x v="5"/>
    <x v="2"/>
    <x v="2"/>
    <n v="14852"/>
    <x v="2"/>
    <x v="1"/>
    <n v="3"/>
    <n v="22"/>
    <n v="4"/>
    <x v="18"/>
    <n v="13"/>
    <n v="15"/>
    <n v="2"/>
    <x v="1"/>
    <x v="2"/>
    <x v="2"/>
  </r>
  <r>
    <n v="30"/>
    <s v="No"/>
    <n v="0"/>
    <x v="0"/>
    <x v="0"/>
    <n v="8"/>
    <s v="Other"/>
    <s v="982"/>
    <x v="1"/>
    <x v="1"/>
    <n v="3"/>
    <n v="3"/>
    <x v="0"/>
    <x v="2"/>
    <x v="2"/>
    <n v="7264"/>
    <x v="0"/>
    <x v="1"/>
    <n v="3"/>
    <n v="10"/>
    <n v="4"/>
    <x v="3"/>
    <n v="4"/>
    <n v="7"/>
    <n v="7"/>
    <x v="2"/>
    <x v="0"/>
    <x v="0"/>
  </r>
  <r>
    <n v="38"/>
    <s v="No"/>
    <n v="0"/>
    <x v="2"/>
    <x v="0"/>
    <n v="10"/>
    <s v="Technical Degree"/>
    <s v="983"/>
    <x v="1"/>
    <x v="0"/>
    <n v="3"/>
    <n v="2"/>
    <x v="0"/>
    <x v="0"/>
    <x v="0"/>
    <n v="5666"/>
    <x v="0"/>
    <x v="0"/>
    <n v="3"/>
    <n v="6"/>
    <n v="3"/>
    <x v="8"/>
    <n v="3"/>
    <n v="1"/>
    <n v="3"/>
    <x v="0"/>
    <x v="0"/>
    <x v="1"/>
  </r>
  <r>
    <n v="35"/>
    <s v="No"/>
    <n v="0"/>
    <x v="0"/>
    <x v="0"/>
    <n v="3"/>
    <s v="Life Sciences"/>
    <s v="984"/>
    <x v="2"/>
    <x v="1"/>
    <n v="3"/>
    <n v="3"/>
    <x v="0"/>
    <x v="0"/>
    <x v="2"/>
    <n v="7823"/>
    <x v="0"/>
    <x v="1"/>
    <n v="3"/>
    <n v="12"/>
    <n v="3"/>
    <x v="1"/>
    <n v="9"/>
    <n v="0"/>
    <n v="8"/>
    <x v="2"/>
    <x v="0"/>
    <x v="0"/>
  </r>
  <r>
    <n v="39"/>
    <s v="No"/>
    <n v="0"/>
    <x v="0"/>
    <x v="0"/>
    <n v="2"/>
    <s v="Life Sciences"/>
    <s v="985"/>
    <x v="3"/>
    <x v="1"/>
    <n v="4"/>
    <n v="3"/>
    <x v="0"/>
    <x v="2"/>
    <x v="0"/>
    <n v="7880"/>
    <x v="0"/>
    <x v="1"/>
    <n v="3"/>
    <n v="9"/>
    <n v="3"/>
    <x v="3"/>
    <n v="7"/>
    <n v="0"/>
    <n v="7"/>
    <x v="0"/>
    <x v="0"/>
    <x v="0"/>
  </r>
  <r>
    <n v="40"/>
    <s v="Yes"/>
    <n v="1"/>
    <x v="2"/>
    <x v="0"/>
    <n v="24"/>
    <s v="Life Sciences"/>
    <s v="986"/>
    <x v="0"/>
    <x v="0"/>
    <n v="4"/>
    <n v="4"/>
    <x v="0"/>
    <x v="1"/>
    <x v="0"/>
    <n v="13194"/>
    <x v="2"/>
    <x v="0"/>
    <n v="3"/>
    <n v="22"/>
    <n v="2"/>
    <x v="6"/>
    <n v="0"/>
    <n v="0"/>
    <n v="0"/>
    <x v="0"/>
    <x v="2"/>
    <x v="1"/>
  </r>
  <r>
    <n v="47"/>
    <s v="No"/>
    <n v="0"/>
    <x v="1"/>
    <x v="1"/>
    <n v="16"/>
    <s v="Medical"/>
    <s v="987"/>
    <x v="1"/>
    <x v="1"/>
    <n v="4"/>
    <n v="2"/>
    <x v="3"/>
    <x v="2"/>
    <x v="2"/>
    <n v="5067"/>
    <x v="0"/>
    <x v="0"/>
    <n v="3"/>
    <n v="20"/>
    <n v="4"/>
    <x v="27"/>
    <n v="10"/>
    <n v="2"/>
    <n v="7"/>
    <x v="1"/>
    <x v="2"/>
    <x v="2"/>
  </r>
  <r>
    <n v="36"/>
    <s v="No"/>
    <n v="0"/>
    <x v="2"/>
    <x v="0"/>
    <n v="8"/>
    <s v="Technical Degree"/>
    <s v="990"/>
    <x v="3"/>
    <x v="1"/>
    <n v="3"/>
    <n v="2"/>
    <x v="0"/>
    <x v="0"/>
    <x v="2"/>
    <n v="5079"/>
    <x v="0"/>
    <x v="1"/>
    <n v="3"/>
    <n v="12"/>
    <n v="3"/>
    <x v="5"/>
    <n v="7"/>
    <n v="0"/>
    <n v="7"/>
    <x v="0"/>
    <x v="0"/>
    <x v="0"/>
  </r>
  <r>
    <n v="31"/>
    <s v="Yes"/>
    <n v="1"/>
    <x v="2"/>
    <x v="1"/>
    <n v="9"/>
    <s v="Medical"/>
    <s v="991"/>
    <x v="1"/>
    <x v="1"/>
    <n v="2"/>
    <n v="1"/>
    <x v="1"/>
    <x v="3"/>
    <x v="0"/>
    <n v="2321"/>
    <x v="1"/>
    <x v="0"/>
    <n v="4"/>
    <n v="4"/>
    <n v="3"/>
    <x v="11"/>
    <n v="2"/>
    <n v="1"/>
    <n v="2"/>
    <x v="2"/>
    <x v="1"/>
    <x v="1"/>
  </r>
  <r>
    <n v="33"/>
    <s v="No"/>
    <n v="0"/>
    <x v="2"/>
    <x v="0"/>
    <n v="17"/>
    <s v="Life Sciences"/>
    <s v="992"/>
    <x v="2"/>
    <x v="1"/>
    <n v="3"/>
    <n v="4"/>
    <x v="5"/>
    <x v="2"/>
    <x v="0"/>
    <n v="17444"/>
    <x v="2"/>
    <x v="1"/>
    <n v="3"/>
    <n v="10"/>
    <n v="3"/>
    <x v="1"/>
    <n v="8"/>
    <n v="6"/>
    <n v="0"/>
    <x v="2"/>
    <x v="0"/>
    <x v="0"/>
  </r>
  <r>
    <n v="29"/>
    <s v="Yes"/>
    <n v="1"/>
    <x v="0"/>
    <x v="1"/>
    <n v="10"/>
    <s v="Life Sciences"/>
    <s v="994"/>
    <x v="2"/>
    <x v="0"/>
    <n v="2"/>
    <n v="1"/>
    <x v="1"/>
    <x v="3"/>
    <x v="0"/>
    <n v="2404"/>
    <x v="1"/>
    <x v="0"/>
    <n v="4"/>
    <n v="3"/>
    <n v="3"/>
    <x v="2"/>
    <n v="0"/>
    <n v="0"/>
    <n v="0"/>
    <x v="2"/>
    <x v="1"/>
    <x v="1"/>
  </r>
  <r>
    <n v="33"/>
    <s v="No"/>
    <n v="0"/>
    <x v="0"/>
    <x v="1"/>
    <n v="13"/>
    <s v="Life Sciences"/>
    <s v="995"/>
    <x v="0"/>
    <x v="0"/>
    <n v="3"/>
    <n v="1"/>
    <x v="1"/>
    <x v="0"/>
    <x v="0"/>
    <n v="3452"/>
    <x v="1"/>
    <x v="1"/>
    <n v="3"/>
    <n v="5"/>
    <n v="3"/>
    <x v="11"/>
    <n v="2"/>
    <n v="0"/>
    <n v="2"/>
    <x v="2"/>
    <x v="1"/>
    <x v="1"/>
  </r>
  <r>
    <n v="45"/>
    <s v="No"/>
    <n v="0"/>
    <x v="0"/>
    <x v="1"/>
    <n v="1"/>
    <s v="Medical"/>
    <s v="996"/>
    <x v="2"/>
    <x v="0"/>
    <n v="3"/>
    <n v="1"/>
    <x v="2"/>
    <x v="0"/>
    <x v="2"/>
    <n v="2270"/>
    <x v="1"/>
    <x v="1"/>
    <n v="3"/>
    <n v="8"/>
    <n v="3"/>
    <x v="8"/>
    <n v="3"/>
    <n v="0"/>
    <n v="2"/>
    <x v="0"/>
    <x v="0"/>
    <x v="1"/>
  </r>
  <r>
    <n v="50"/>
    <s v="No"/>
    <n v="0"/>
    <x v="0"/>
    <x v="1"/>
    <n v="1"/>
    <s v="Medical"/>
    <s v="997"/>
    <x v="2"/>
    <x v="1"/>
    <n v="3"/>
    <n v="4"/>
    <x v="7"/>
    <x v="0"/>
    <x v="2"/>
    <n v="17399"/>
    <x v="2"/>
    <x v="1"/>
    <n v="4"/>
    <n v="32"/>
    <n v="2"/>
    <x v="8"/>
    <n v="4"/>
    <n v="1"/>
    <n v="3"/>
    <x v="1"/>
    <x v="2"/>
    <x v="1"/>
  </r>
  <r>
    <n v="33"/>
    <s v="No"/>
    <n v="0"/>
    <x v="1"/>
    <x v="1"/>
    <n v="1"/>
    <s v="Other"/>
    <s v="998"/>
    <x v="1"/>
    <x v="0"/>
    <n v="4"/>
    <n v="2"/>
    <x v="4"/>
    <x v="1"/>
    <x v="1"/>
    <n v="5488"/>
    <x v="0"/>
    <x v="0"/>
    <n v="3"/>
    <n v="6"/>
    <n v="3"/>
    <x v="0"/>
    <n v="5"/>
    <n v="1"/>
    <n v="2"/>
    <x v="2"/>
    <x v="0"/>
    <x v="0"/>
  </r>
  <r>
    <n v="41"/>
    <s v="No"/>
    <n v="0"/>
    <x v="1"/>
    <x v="1"/>
    <n v="9"/>
    <s v="Medical"/>
    <s v="999"/>
    <x v="3"/>
    <x v="1"/>
    <n v="3"/>
    <n v="5"/>
    <x v="7"/>
    <x v="2"/>
    <x v="2"/>
    <n v="19419"/>
    <x v="2"/>
    <x v="1"/>
    <n v="3"/>
    <n v="21"/>
    <n v="4"/>
    <x v="29"/>
    <n v="16"/>
    <n v="0"/>
    <n v="11"/>
    <x v="0"/>
    <x v="2"/>
    <x v="2"/>
  </r>
  <r>
    <n v="27"/>
    <s v="No"/>
    <n v="0"/>
    <x v="0"/>
    <x v="1"/>
    <n v="16"/>
    <s v="Technical Degree"/>
    <s v="1001"/>
    <x v="1"/>
    <x v="0"/>
    <n v="3"/>
    <n v="1"/>
    <x v="2"/>
    <x v="1"/>
    <x v="1"/>
    <n v="2811"/>
    <x v="1"/>
    <x v="1"/>
    <n v="3"/>
    <n v="4"/>
    <n v="3"/>
    <x v="4"/>
    <n v="2"/>
    <n v="2"/>
    <n v="2"/>
    <x v="2"/>
    <x v="1"/>
    <x v="1"/>
  </r>
  <r>
    <n v="45"/>
    <s v="No"/>
    <n v="0"/>
    <x v="2"/>
    <x v="1"/>
    <n v="23"/>
    <s v="Life Sciences"/>
    <s v="1002"/>
    <x v="2"/>
    <x v="1"/>
    <n v="3"/>
    <n v="2"/>
    <x v="2"/>
    <x v="3"/>
    <x v="1"/>
    <n v="3633"/>
    <x v="1"/>
    <x v="0"/>
    <n v="3"/>
    <n v="9"/>
    <n v="3"/>
    <x v="7"/>
    <n v="8"/>
    <n v="0"/>
    <n v="8"/>
    <x v="0"/>
    <x v="0"/>
    <x v="0"/>
  </r>
  <r>
    <n v="47"/>
    <s v="No"/>
    <n v="0"/>
    <x v="0"/>
    <x v="0"/>
    <n v="4"/>
    <s v="Life Sciences"/>
    <s v="1003"/>
    <x v="2"/>
    <x v="0"/>
    <n v="3"/>
    <n v="2"/>
    <x v="0"/>
    <x v="0"/>
    <x v="0"/>
    <n v="4163"/>
    <x v="1"/>
    <x v="0"/>
    <n v="3"/>
    <n v="9"/>
    <n v="3"/>
    <x v="7"/>
    <n v="0"/>
    <n v="0"/>
    <n v="7"/>
    <x v="1"/>
    <x v="0"/>
    <x v="0"/>
  </r>
  <r>
    <n v="30"/>
    <s v="Yes"/>
    <n v="1"/>
    <x v="0"/>
    <x v="1"/>
    <n v="22"/>
    <s v="Life Sciences"/>
    <s v="1004"/>
    <x v="3"/>
    <x v="0"/>
    <n v="3"/>
    <n v="1"/>
    <x v="1"/>
    <x v="2"/>
    <x v="1"/>
    <n v="2132"/>
    <x v="1"/>
    <x v="0"/>
    <n v="3"/>
    <n v="7"/>
    <n v="3"/>
    <x v="8"/>
    <n v="2"/>
    <n v="0"/>
    <n v="1"/>
    <x v="2"/>
    <x v="0"/>
    <x v="1"/>
  </r>
  <r>
    <n v="50"/>
    <s v="No"/>
    <n v="0"/>
    <x v="0"/>
    <x v="1"/>
    <n v="24"/>
    <s v="Life Sciences"/>
    <s v="1005"/>
    <x v="2"/>
    <x v="1"/>
    <n v="3"/>
    <n v="4"/>
    <x v="3"/>
    <x v="2"/>
    <x v="1"/>
    <n v="13973"/>
    <x v="2"/>
    <x v="0"/>
    <n v="3"/>
    <n v="22"/>
    <n v="3"/>
    <x v="12"/>
    <n v="11"/>
    <n v="1"/>
    <n v="5"/>
    <x v="1"/>
    <x v="2"/>
    <x v="2"/>
  </r>
  <r>
    <n v="38"/>
    <s v="No"/>
    <n v="0"/>
    <x v="1"/>
    <x v="1"/>
    <n v="10"/>
    <s v="Medical"/>
    <s v="1006"/>
    <x v="1"/>
    <x v="1"/>
    <n v="3"/>
    <n v="1"/>
    <x v="1"/>
    <x v="2"/>
    <x v="1"/>
    <n v="2684"/>
    <x v="1"/>
    <x v="1"/>
    <n v="3"/>
    <n v="3"/>
    <n v="2"/>
    <x v="4"/>
    <n v="1"/>
    <n v="0"/>
    <n v="2"/>
    <x v="0"/>
    <x v="1"/>
    <x v="1"/>
  </r>
  <r>
    <n v="46"/>
    <s v="No"/>
    <n v="0"/>
    <x v="0"/>
    <x v="1"/>
    <n v="7"/>
    <s v="Medical"/>
    <s v="1007"/>
    <x v="2"/>
    <x v="1"/>
    <n v="3"/>
    <n v="3"/>
    <x v="3"/>
    <x v="2"/>
    <x v="2"/>
    <n v="10845"/>
    <x v="0"/>
    <x v="1"/>
    <n v="3"/>
    <n v="13"/>
    <n v="3"/>
    <x v="3"/>
    <n v="7"/>
    <n v="0"/>
    <n v="7"/>
    <x v="1"/>
    <x v="0"/>
    <x v="0"/>
  </r>
  <r>
    <n v="24"/>
    <s v="No"/>
    <n v="0"/>
    <x v="0"/>
    <x v="1"/>
    <n v="17"/>
    <s v="Medical"/>
    <s v="1009"/>
    <x v="2"/>
    <x v="0"/>
    <n v="2"/>
    <n v="2"/>
    <x v="3"/>
    <x v="2"/>
    <x v="2"/>
    <n v="4377"/>
    <x v="1"/>
    <x v="1"/>
    <n v="3"/>
    <n v="5"/>
    <n v="3"/>
    <x v="9"/>
    <n v="2"/>
    <n v="3"/>
    <n v="2"/>
    <x v="3"/>
    <x v="1"/>
    <x v="1"/>
  </r>
  <r>
    <n v="35"/>
    <s v="Yes"/>
    <n v="1"/>
    <x v="0"/>
    <x v="1"/>
    <n v="14"/>
    <s v="Other"/>
    <s v="1010"/>
    <x v="1"/>
    <x v="1"/>
    <n v="2"/>
    <n v="1"/>
    <x v="2"/>
    <x v="1"/>
    <x v="2"/>
    <n v="3743"/>
    <x v="1"/>
    <x v="0"/>
    <n v="4"/>
    <n v="5"/>
    <n v="1"/>
    <x v="9"/>
    <n v="2"/>
    <n v="0"/>
    <n v="2"/>
    <x v="2"/>
    <x v="1"/>
    <x v="1"/>
  </r>
  <r>
    <n v="31"/>
    <s v="No"/>
    <n v="0"/>
    <x v="1"/>
    <x v="1"/>
    <n v="1"/>
    <s v="Life Sciences"/>
    <s v="1011"/>
    <x v="1"/>
    <x v="0"/>
    <n v="3"/>
    <n v="2"/>
    <x v="3"/>
    <x v="3"/>
    <x v="1"/>
    <n v="4148"/>
    <x v="1"/>
    <x v="1"/>
    <n v="3"/>
    <n v="4"/>
    <n v="3"/>
    <x v="9"/>
    <n v="3"/>
    <n v="0"/>
    <n v="3"/>
    <x v="2"/>
    <x v="1"/>
    <x v="1"/>
  </r>
  <r>
    <n v="18"/>
    <s v="No"/>
    <n v="0"/>
    <x v="2"/>
    <x v="1"/>
    <n v="5"/>
    <s v="Life Sciences"/>
    <s v="1012"/>
    <x v="0"/>
    <x v="1"/>
    <n v="3"/>
    <n v="1"/>
    <x v="1"/>
    <x v="0"/>
    <x v="0"/>
    <n v="1051"/>
    <x v="1"/>
    <x v="1"/>
    <n v="3"/>
    <n v="0"/>
    <n v="3"/>
    <x v="2"/>
    <n v="0"/>
    <n v="0"/>
    <n v="0"/>
    <x v="3"/>
    <x v="1"/>
    <x v="1"/>
  </r>
  <r>
    <n v="54"/>
    <s v="No"/>
    <n v="0"/>
    <x v="0"/>
    <x v="1"/>
    <n v="17"/>
    <s v="Technical Degree"/>
    <s v="1013"/>
    <x v="1"/>
    <x v="0"/>
    <n v="3"/>
    <n v="3"/>
    <x v="3"/>
    <x v="2"/>
    <x v="1"/>
    <n v="10739"/>
    <x v="0"/>
    <x v="1"/>
    <n v="3"/>
    <n v="22"/>
    <n v="3"/>
    <x v="1"/>
    <n v="7"/>
    <n v="0"/>
    <n v="8"/>
    <x v="1"/>
    <x v="2"/>
    <x v="0"/>
  </r>
  <r>
    <n v="35"/>
    <s v="No"/>
    <n v="0"/>
    <x v="0"/>
    <x v="1"/>
    <n v="25"/>
    <s v="Medical"/>
    <s v="1014"/>
    <x v="1"/>
    <x v="0"/>
    <n v="3"/>
    <n v="3"/>
    <x v="4"/>
    <x v="2"/>
    <x v="2"/>
    <n v="10388"/>
    <x v="0"/>
    <x v="0"/>
    <n v="3"/>
    <n v="16"/>
    <n v="2"/>
    <x v="22"/>
    <n v="10"/>
    <n v="10"/>
    <n v="1"/>
    <x v="2"/>
    <x v="2"/>
    <x v="2"/>
  </r>
  <r>
    <n v="30"/>
    <s v="No"/>
    <n v="0"/>
    <x v="0"/>
    <x v="1"/>
    <n v="8"/>
    <s v="Life Sciences"/>
    <s v="1015"/>
    <x v="0"/>
    <x v="0"/>
    <n v="4"/>
    <n v="3"/>
    <x v="7"/>
    <x v="3"/>
    <x v="1"/>
    <n v="11416"/>
    <x v="0"/>
    <x v="0"/>
    <n v="3"/>
    <n v="9"/>
    <n v="2"/>
    <x v="3"/>
    <n v="7"/>
    <n v="1"/>
    <n v="7"/>
    <x v="2"/>
    <x v="0"/>
    <x v="0"/>
  </r>
  <r>
    <n v="20"/>
    <s v="Yes"/>
    <n v="1"/>
    <x v="0"/>
    <x v="1"/>
    <n v="11"/>
    <s v="Medical"/>
    <s v="1016"/>
    <x v="2"/>
    <x v="0"/>
    <n v="2"/>
    <n v="1"/>
    <x v="1"/>
    <x v="3"/>
    <x v="0"/>
    <n v="2600"/>
    <x v="1"/>
    <x v="0"/>
    <n v="3"/>
    <n v="1"/>
    <n v="3"/>
    <x v="6"/>
    <n v="0"/>
    <n v="0"/>
    <n v="0"/>
    <x v="3"/>
    <x v="1"/>
    <x v="1"/>
  </r>
  <r>
    <n v="30"/>
    <s v="Yes"/>
    <n v="1"/>
    <x v="1"/>
    <x v="1"/>
    <n v="5"/>
    <s v="Medical"/>
    <s v="1017"/>
    <x v="0"/>
    <x v="0"/>
    <n v="3"/>
    <n v="1"/>
    <x v="2"/>
    <x v="1"/>
    <x v="0"/>
    <n v="2422"/>
    <x v="1"/>
    <x v="1"/>
    <n v="3"/>
    <n v="4"/>
    <n v="3"/>
    <x v="11"/>
    <n v="2"/>
    <n v="1"/>
    <n v="2"/>
    <x v="2"/>
    <x v="1"/>
    <x v="1"/>
  </r>
  <r>
    <n v="26"/>
    <s v="No"/>
    <n v="0"/>
    <x v="0"/>
    <x v="1"/>
    <n v="2"/>
    <s v="Medical"/>
    <s v="1018"/>
    <x v="2"/>
    <x v="1"/>
    <n v="4"/>
    <n v="2"/>
    <x v="3"/>
    <x v="0"/>
    <x v="1"/>
    <n v="5472"/>
    <x v="0"/>
    <x v="1"/>
    <n v="3"/>
    <n v="8"/>
    <n v="3"/>
    <x v="3"/>
    <n v="7"/>
    <n v="1"/>
    <n v="3"/>
    <x v="2"/>
    <x v="0"/>
    <x v="0"/>
  </r>
  <r>
    <n v="22"/>
    <s v="No"/>
    <n v="0"/>
    <x v="0"/>
    <x v="1"/>
    <n v="8"/>
    <s v="Life Sciences"/>
    <s v="1019"/>
    <x v="0"/>
    <x v="1"/>
    <n v="1"/>
    <n v="1"/>
    <x v="2"/>
    <x v="3"/>
    <x v="1"/>
    <n v="2451"/>
    <x v="1"/>
    <x v="1"/>
    <n v="3"/>
    <n v="4"/>
    <n v="2"/>
    <x v="9"/>
    <n v="3"/>
    <n v="1"/>
    <n v="1"/>
    <x v="3"/>
    <x v="1"/>
    <x v="1"/>
  </r>
  <r>
    <n v="48"/>
    <s v="No"/>
    <n v="0"/>
    <x v="0"/>
    <x v="1"/>
    <n v="6"/>
    <s v="Life Sciences"/>
    <s v="1022"/>
    <x v="3"/>
    <x v="1"/>
    <n v="2"/>
    <n v="2"/>
    <x v="4"/>
    <x v="2"/>
    <x v="0"/>
    <n v="4240"/>
    <x v="1"/>
    <x v="1"/>
    <n v="3"/>
    <n v="19"/>
    <n v="3"/>
    <x v="4"/>
    <n v="2"/>
    <n v="2"/>
    <n v="2"/>
    <x v="1"/>
    <x v="2"/>
    <x v="1"/>
  </r>
  <r>
    <n v="48"/>
    <s v="No"/>
    <n v="0"/>
    <x v="0"/>
    <x v="1"/>
    <n v="4"/>
    <s v="Life Sciences"/>
    <s v="1024"/>
    <x v="1"/>
    <x v="1"/>
    <n v="2"/>
    <n v="3"/>
    <x v="4"/>
    <x v="2"/>
    <x v="0"/>
    <n v="10999"/>
    <x v="0"/>
    <x v="1"/>
    <n v="3"/>
    <n v="27"/>
    <n v="3"/>
    <x v="15"/>
    <n v="11"/>
    <n v="4"/>
    <n v="8"/>
    <x v="1"/>
    <x v="2"/>
    <x v="2"/>
  </r>
  <r>
    <n v="41"/>
    <s v="No"/>
    <n v="0"/>
    <x v="0"/>
    <x v="1"/>
    <n v="7"/>
    <s v="Medical"/>
    <s v="1025"/>
    <x v="2"/>
    <x v="0"/>
    <n v="3"/>
    <n v="2"/>
    <x v="3"/>
    <x v="2"/>
    <x v="0"/>
    <n v="5003"/>
    <x v="0"/>
    <x v="1"/>
    <n v="3"/>
    <n v="8"/>
    <n v="3"/>
    <x v="4"/>
    <n v="2"/>
    <n v="2"/>
    <n v="1"/>
    <x v="0"/>
    <x v="0"/>
    <x v="1"/>
  </r>
  <r>
    <n v="39"/>
    <s v="No"/>
    <n v="0"/>
    <x v="0"/>
    <x v="1"/>
    <n v="1"/>
    <s v="Life Sciences"/>
    <s v="1026"/>
    <x v="2"/>
    <x v="0"/>
    <n v="2"/>
    <n v="4"/>
    <x v="3"/>
    <x v="0"/>
    <x v="1"/>
    <n v="12742"/>
    <x v="2"/>
    <x v="1"/>
    <n v="3"/>
    <n v="21"/>
    <n v="3"/>
    <x v="17"/>
    <n v="6"/>
    <n v="11"/>
    <n v="8"/>
    <x v="0"/>
    <x v="2"/>
    <x v="2"/>
  </r>
  <r>
    <n v="27"/>
    <s v="No"/>
    <n v="0"/>
    <x v="0"/>
    <x v="1"/>
    <n v="2"/>
    <s v="Life Sciences"/>
    <s v="1027"/>
    <x v="3"/>
    <x v="0"/>
    <n v="3"/>
    <n v="2"/>
    <x v="3"/>
    <x v="0"/>
    <x v="1"/>
    <n v="4227"/>
    <x v="1"/>
    <x v="1"/>
    <n v="3"/>
    <n v="4"/>
    <n v="3"/>
    <x v="11"/>
    <n v="2"/>
    <n v="2"/>
    <n v="2"/>
    <x v="2"/>
    <x v="1"/>
    <x v="1"/>
  </r>
  <r>
    <n v="35"/>
    <s v="No"/>
    <n v="0"/>
    <x v="0"/>
    <x v="1"/>
    <n v="10"/>
    <s v="Other"/>
    <s v="1028"/>
    <x v="0"/>
    <x v="1"/>
    <n v="3"/>
    <n v="1"/>
    <x v="2"/>
    <x v="0"/>
    <x v="2"/>
    <n v="3917"/>
    <x v="1"/>
    <x v="1"/>
    <n v="4"/>
    <n v="3"/>
    <n v="2"/>
    <x v="11"/>
    <n v="2"/>
    <n v="1"/>
    <n v="2"/>
    <x v="2"/>
    <x v="1"/>
    <x v="1"/>
  </r>
  <r>
    <n v="42"/>
    <s v="No"/>
    <n v="0"/>
    <x v="0"/>
    <x v="0"/>
    <n v="5"/>
    <s v="Marketing"/>
    <s v="1029"/>
    <x v="2"/>
    <x v="1"/>
    <n v="3"/>
    <n v="5"/>
    <x v="5"/>
    <x v="2"/>
    <x v="1"/>
    <n v="18303"/>
    <x v="2"/>
    <x v="1"/>
    <n v="3"/>
    <n v="21"/>
    <n v="4"/>
    <x v="6"/>
    <n v="0"/>
    <n v="0"/>
    <n v="0"/>
    <x v="0"/>
    <x v="2"/>
    <x v="1"/>
  </r>
  <r>
    <n v="50"/>
    <s v="No"/>
    <n v="0"/>
    <x v="0"/>
    <x v="1"/>
    <n v="9"/>
    <s v="Life Sciences"/>
    <s v="1030"/>
    <x v="3"/>
    <x v="1"/>
    <n v="3"/>
    <n v="1"/>
    <x v="2"/>
    <x v="0"/>
    <x v="1"/>
    <n v="2380"/>
    <x v="1"/>
    <x v="1"/>
    <n v="3"/>
    <n v="8"/>
    <n v="3"/>
    <x v="6"/>
    <n v="0"/>
    <n v="0"/>
    <n v="0"/>
    <x v="1"/>
    <x v="0"/>
    <x v="1"/>
  </r>
  <r>
    <n v="59"/>
    <s v="No"/>
    <n v="0"/>
    <x v="0"/>
    <x v="1"/>
    <n v="2"/>
    <s v="Life Sciences"/>
    <s v="1032"/>
    <x v="1"/>
    <x v="0"/>
    <n v="2"/>
    <n v="4"/>
    <x v="3"/>
    <x v="0"/>
    <x v="0"/>
    <n v="13726"/>
    <x v="2"/>
    <x v="0"/>
    <n v="3"/>
    <n v="30"/>
    <n v="3"/>
    <x v="8"/>
    <n v="3"/>
    <n v="4"/>
    <n v="3"/>
    <x v="1"/>
    <x v="2"/>
    <x v="1"/>
  </r>
  <r>
    <n v="37"/>
    <s v="Yes"/>
    <n v="1"/>
    <x v="0"/>
    <x v="1"/>
    <n v="11"/>
    <s v="Medical"/>
    <s v="1033"/>
    <x v="3"/>
    <x v="0"/>
    <n v="1"/>
    <n v="2"/>
    <x v="4"/>
    <x v="1"/>
    <x v="1"/>
    <n v="4777"/>
    <x v="1"/>
    <x v="1"/>
    <n v="3"/>
    <n v="15"/>
    <n v="1"/>
    <x v="6"/>
    <n v="0"/>
    <n v="0"/>
    <n v="0"/>
    <x v="0"/>
    <x v="0"/>
    <x v="1"/>
  </r>
  <r>
    <n v="55"/>
    <s v="No"/>
    <n v="0"/>
    <x v="1"/>
    <x v="1"/>
    <n v="18"/>
    <s v="Medical"/>
    <s v="1034"/>
    <x v="1"/>
    <x v="1"/>
    <n v="3"/>
    <n v="2"/>
    <x v="4"/>
    <x v="1"/>
    <x v="1"/>
    <n v="6385"/>
    <x v="0"/>
    <x v="0"/>
    <n v="3"/>
    <n v="17"/>
    <n v="3"/>
    <x v="3"/>
    <n v="7"/>
    <n v="6"/>
    <n v="7"/>
    <x v="1"/>
    <x v="2"/>
    <x v="0"/>
  </r>
  <r>
    <n v="41"/>
    <s v="No"/>
    <n v="0"/>
    <x v="2"/>
    <x v="1"/>
    <n v="7"/>
    <s v="Life Sciences"/>
    <s v="1035"/>
    <x v="0"/>
    <x v="0"/>
    <n v="1"/>
    <n v="5"/>
    <x v="7"/>
    <x v="2"/>
    <x v="2"/>
    <n v="19973"/>
    <x v="2"/>
    <x v="1"/>
    <n v="4"/>
    <n v="21"/>
    <n v="3"/>
    <x v="17"/>
    <n v="16"/>
    <n v="5"/>
    <n v="10"/>
    <x v="0"/>
    <x v="2"/>
    <x v="2"/>
  </r>
  <r>
    <n v="38"/>
    <s v="No"/>
    <n v="0"/>
    <x v="0"/>
    <x v="0"/>
    <n v="3"/>
    <s v="Life Sciences"/>
    <s v="1036"/>
    <x v="0"/>
    <x v="1"/>
    <n v="3"/>
    <n v="2"/>
    <x v="0"/>
    <x v="0"/>
    <x v="0"/>
    <n v="6861"/>
    <x v="0"/>
    <x v="0"/>
    <n v="3"/>
    <n v="19"/>
    <n v="3"/>
    <x v="6"/>
    <n v="0"/>
    <n v="0"/>
    <n v="0"/>
    <x v="0"/>
    <x v="2"/>
    <x v="1"/>
  </r>
  <r>
    <n v="26"/>
    <s v="Yes"/>
    <n v="1"/>
    <x v="2"/>
    <x v="0"/>
    <n v="29"/>
    <s v="Medical"/>
    <s v="1037"/>
    <x v="0"/>
    <x v="1"/>
    <n v="1"/>
    <n v="2"/>
    <x v="0"/>
    <x v="3"/>
    <x v="0"/>
    <n v="4969"/>
    <x v="1"/>
    <x v="1"/>
    <n v="3"/>
    <n v="7"/>
    <n v="3"/>
    <x v="4"/>
    <n v="2"/>
    <n v="2"/>
    <n v="2"/>
    <x v="2"/>
    <x v="0"/>
    <x v="1"/>
  </r>
  <r>
    <n v="52"/>
    <s v="Yes"/>
    <n v="1"/>
    <x v="0"/>
    <x v="0"/>
    <n v="2"/>
    <s v="Marketing"/>
    <s v="1038"/>
    <x v="3"/>
    <x v="0"/>
    <n v="1"/>
    <n v="5"/>
    <x v="5"/>
    <x v="0"/>
    <x v="1"/>
    <n v="19845"/>
    <x v="2"/>
    <x v="1"/>
    <n v="3"/>
    <n v="33"/>
    <n v="3"/>
    <x v="32"/>
    <n v="14"/>
    <n v="6"/>
    <n v="9"/>
    <x v="1"/>
    <x v="2"/>
    <x v="2"/>
  </r>
  <r>
    <n v="44"/>
    <s v="No"/>
    <n v="0"/>
    <x v="0"/>
    <x v="0"/>
    <n v="28"/>
    <s v="Medical"/>
    <s v="1039"/>
    <x v="2"/>
    <x v="0"/>
    <n v="4"/>
    <n v="4"/>
    <x v="0"/>
    <x v="0"/>
    <x v="1"/>
    <n v="13320"/>
    <x v="2"/>
    <x v="0"/>
    <n v="3"/>
    <n v="23"/>
    <n v="3"/>
    <x v="12"/>
    <n v="11"/>
    <n v="11"/>
    <n v="11"/>
    <x v="0"/>
    <x v="2"/>
    <x v="2"/>
  </r>
  <r>
    <n v="50"/>
    <s v="No"/>
    <n v="0"/>
    <x v="2"/>
    <x v="0"/>
    <n v="1"/>
    <s v="Life Sciences"/>
    <s v="1040"/>
    <x v="2"/>
    <x v="0"/>
    <n v="3"/>
    <n v="2"/>
    <x v="0"/>
    <x v="2"/>
    <x v="1"/>
    <n v="6347"/>
    <x v="0"/>
    <x v="1"/>
    <n v="3"/>
    <n v="19"/>
    <n v="3"/>
    <x v="29"/>
    <n v="7"/>
    <n v="0"/>
    <n v="13"/>
    <x v="1"/>
    <x v="2"/>
    <x v="2"/>
  </r>
  <r>
    <n v="36"/>
    <s v="Yes"/>
    <n v="1"/>
    <x v="0"/>
    <x v="1"/>
    <n v="16"/>
    <s v="Life Sciences"/>
    <s v="1042"/>
    <x v="1"/>
    <x v="0"/>
    <n v="4"/>
    <n v="1"/>
    <x v="2"/>
    <x v="3"/>
    <x v="0"/>
    <n v="2743"/>
    <x v="1"/>
    <x v="1"/>
    <n v="3"/>
    <n v="18"/>
    <n v="3"/>
    <x v="18"/>
    <n v="13"/>
    <n v="15"/>
    <n v="14"/>
    <x v="0"/>
    <x v="2"/>
    <x v="2"/>
  </r>
  <r>
    <n v="39"/>
    <s v="No"/>
    <n v="0"/>
    <x v="1"/>
    <x v="1"/>
    <n v="22"/>
    <s v="Medical"/>
    <s v="1043"/>
    <x v="2"/>
    <x v="0"/>
    <n v="3"/>
    <n v="3"/>
    <x v="3"/>
    <x v="3"/>
    <x v="0"/>
    <n v="10880"/>
    <x v="0"/>
    <x v="0"/>
    <n v="3"/>
    <n v="21"/>
    <n v="3"/>
    <x v="17"/>
    <n v="6"/>
    <n v="2"/>
    <n v="8"/>
    <x v="0"/>
    <x v="2"/>
    <x v="2"/>
  </r>
  <r>
    <n v="33"/>
    <s v="No"/>
    <n v="0"/>
    <x v="2"/>
    <x v="0"/>
    <n v="8"/>
    <s v="Life Sciences"/>
    <s v="1044"/>
    <x v="0"/>
    <x v="0"/>
    <n v="2"/>
    <n v="1"/>
    <x v="6"/>
    <x v="0"/>
    <x v="0"/>
    <n v="2342"/>
    <x v="1"/>
    <x v="1"/>
    <n v="3"/>
    <n v="3"/>
    <n v="2"/>
    <x v="4"/>
    <n v="2"/>
    <n v="2"/>
    <n v="2"/>
    <x v="2"/>
    <x v="1"/>
    <x v="1"/>
  </r>
  <r>
    <n v="45"/>
    <s v="No"/>
    <n v="0"/>
    <x v="0"/>
    <x v="0"/>
    <n v="11"/>
    <s v="Life Sciences"/>
    <s v="1045"/>
    <x v="2"/>
    <x v="0"/>
    <n v="3"/>
    <n v="4"/>
    <x v="5"/>
    <x v="0"/>
    <x v="1"/>
    <n v="17650"/>
    <x v="2"/>
    <x v="1"/>
    <n v="3"/>
    <n v="26"/>
    <n v="4"/>
    <x v="7"/>
    <n v="3"/>
    <n v="1"/>
    <n v="1"/>
    <x v="0"/>
    <x v="2"/>
    <x v="0"/>
  </r>
  <r>
    <n v="32"/>
    <s v="No"/>
    <n v="0"/>
    <x v="2"/>
    <x v="1"/>
    <n v="29"/>
    <s v="Medical"/>
    <s v="1046"/>
    <x v="2"/>
    <x v="0"/>
    <n v="3"/>
    <n v="1"/>
    <x v="2"/>
    <x v="2"/>
    <x v="0"/>
    <n v="4025"/>
    <x v="1"/>
    <x v="1"/>
    <n v="3"/>
    <n v="10"/>
    <n v="3"/>
    <x v="3"/>
    <n v="7"/>
    <n v="7"/>
    <n v="7"/>
    <x v="2"/>
    <x v="0"/>
    <x v="0"/>
  </r>
  <r>
    <n v="34"/>
    <s v="No"/>
    <n v="0"/>
    <x v="0"/>
    <x v="0"/>
    <n v="1"/>
    <s v="Marketing"/>
    <s v="1047"/>
    <x v="0"/>
    <x v="1"/>
    <n v="4"/>
    <n v="2"/>
    <x v="0"/>
    <x v="0"/>
    <x v="2"/>
    <n v="9725"/>
    <x v="0"/>
    <x v="1"/>
    <n v="3"/>
    <n v="16"/>
    <n v="2"/>
    <x v="15"/>
    <n v="1"/>
    <n v="0"/>
    <n v="9"/>
    <x v="2"/>
    <x v="2"/>
    <x v="2"/>
  </r>
  <r>
    <n v="59"/>
    <s v="No"/>
    <n v="0"/>
    <x v="0"/>
    <x v="0"/>
    <n v="1"/>
    <s v="Technical Degree"/>
    <s v="1048"/>
    <x v="0"/>
    <x v="1"/>
    <n v="3"/>
    <n v="3"/>
    <x v="5"/>
    <x v="0"/>
    <x v="1"/>
    <n v="11904"/>
    <x v="0"/>
    <x v="0"/>
    <n v="3"/>
    <n v="14"/>
    <n v="1"/>
    <x v="0"/>
    <n v="4"/>
    <n v="0"/>
    <n v="4"/>
    <x v="1"/>
    <x v="0"/>
    <x v="0"/>
  </r>
  <r>
    <n v="45"/>
    <s v="No"/>
    <n v="0"/>
    <x v="0"/>
    <x v="2"/>
    <n v="24"/>
    <s v="Medical"/>
    <s v="1049"/>
    <x v="0"/>
    <x v="1"/>
    <n v="3"/>
    <n v="1"/>
    <x v="8"/>
    <x v="1"/>
    <x v="0"/>
    <n v="2177"/>
    <x v="1"/>
    <x v="1"/>
    <n v="3"/>
    <n v="6"/>
    <n v="3"/>
    <x v="0"/>
    <n v="3"/>
    <n v="0"/>
    <n v="4"/>
    <x v="0"/>
    <x v="0"/>
    <x v="0"/>
  </r>
  <r>
    <n v="53"/>
    <s v="No"/>
    <n v="0"/>
    <x v="1"/>
    <x v="0"/>
    <n v="2"/>
    <s v="Marketing"/>
    <s v="1050"/>
    <x v="1"/>
    <x v="0"/>
    <n v="2"/>
    <n v="3"/>
    <x v="0"/>
    <x v="1"/>
    <x v="1"/>
    <n v="7525"/>
    <x v="0"/>
    <x v="1"/>
    <n v="3"/>
    <n v="30"/>
    <n v="3"/>
    <x v="15"/>
    <n v="7"/>
    <n v="6"/>
    <n v="12"/>
    <x v="1"/>
    <x v="2"/>
    <x v="2"/>
  </r>
  <r>
    <n v="36"/>
    <s v="Yes"/>
    <n v="1"/>
    <x v="0"/>
    <x v="1"/>
    <n v="15"/>
    <s v="Other"/>
    <s v="1052"/>
    <x v="3"/>
    <x v="1"/>
    <n v="3"/>
    <n v="2"/>
    <x v="2"/>
    <x v="2"/>
    <x v="2"/>
    <n v="4834"/>
    <x v="1"/>
    <x v="1"/>
    <n v="3"/>
    <n v="9"/>
    <n v="2"/>
    <x v="6"/>
    <n v="0"/>
    <n v="0"/>
    <n v="0"/>
    <x v="0"/>
    <x v="0"/>
    <x v="1"/>
  </r>
  <r>
    <n v="26"/>
    <s v="Yes"/>
    <n v="1"/>
    <x v="1"/>
    <x v="1"/>
    <n v="2"/>
    <s v="Life Sciences"/>
    <s v="1053"/>
    <x v="3"/>
    <x v="1"/>
    <n v="3"/>
    <n v="1"/>
    <x v="1"/>
    <x v="3"/>
    <x v="1"/>
    <n v="2042"/>
    <x v="1"/>
    <x v="0"/>
    <n v="3"/>
    <n v="6"/>
    <n v="3"/>
    <x v="11"/>
    <n v="2"/>
    <n v="1"/>
    <n v="2"/>
    <x v="2"/>
    <x v="0"/>
    <x v="1"/>
  </r>
  <r>
    <n v="34"/>
    <s v="No"/>
    <n v="0"/>
    <x v="0"/>
    <x v="0"/>
    <n v="10"/>
    <s v="Life Sciences"/>
    <s v="1055"/>
    <x v="1"/>
    <x v="0"/>
    <n v="3"/>
    <n v="1"/>
    <x v="6"/>
    <x v="2"/>
    <x v="1"/>
    <n v="2220"/>
    <x v="1"/>
    <x v="0"/>
    <n v="3"/>
    <n v="1"/>
    <n v="3"/>
    <x v="6"/>
    <n v="1"/>
    <n v="0"/>
    <n v="0"/>
    <x v="2"/>
    <x v="1"/>
    <x v="1"/>
  </r>
  <r>
    <n v="28"/>
    <s v="No"/>
    <n v="0"/>
    <x v="0"/>
    <x v="0"/>
    <n v="10"/>
    <s v="Medical"/>
    <s v="1056"/>
    <x v="2"/>
    <x v="1"/>
    <n v="3"/>
    <n v="1"/>
    <x v="6"/>
    <x v="1"/>
    <x v="1"/>
    <n v="1052"/>
    <x v="1"/>
    <x v="1"/>
    <n v="4"/>
    <n v="1"/>
    <n v="3"/>
    <x v="6"/>
    <n v="0"/>
    <n v="0"/>
    <n v="0"/>
    <x v="2"/>
    <x v="1"/>
    <x v="1"/>
  </r>
  <r>
    <n v="38"/>
    <s v="No"/>
    <n v="0"/>
    <x v="1"/>
    <x v="1"/>
    <n v="3"/>
    <s v="Other"/>
    <s v="1060"/>
    <x v="1"/>
    <x v="1"/>
    <n v="3"/>
    <n v="1"/>
    <x v="1"/>
    <x v="2"/>
    <x v="1"/>
    <n v="2821"/>
    <x v="1"/>
    <x v="1"/>
    <n v="3"/>
    <n v="8"/>
    <n v="3"/>
    <x v="4"/>
    <n v="2"/>
    <n v="2"/>
    <n v="2"/>
    <x v="0"/>
    <x v="0"/>
    <x v="1"/>
  </r>
  <r>
    <n v="50"/>
    <s v="No"/>
    <n v="0"/>
    <x v="0"/>
    <x v="1"/>
    <n v="2"/>
    <s v="Medical"/>
    <s v="1061"/>
    <x v="0"/>
    <x v="1"/>
    <n v="3"/>
    <n v="5"/>
    <x v="7"/>
    <x v="2"/>
    <x v="1"/>
    <n v="19237"/>
    <x v="2"/>
    <x v="0"/>
    <n v="3"/>
    <n v="29"/>
    <n v="2"/>
    <x v="3"/>
    <n v="1"/>
    <n v="7"/>
    <n v="7"/>
    <x v="1"/>
    <x v="2"/>
    <x v="0"/>
  </r>
  <r>
    <n v="37"/>
    <s v="No"/>
    <n v="0"/>
    <x v="0"/>
    <x v="1"/>
    <n v="3"/>
    <s v="Other"/>
    <s v="1062"/>
    <x v="2"/>
    <x v="0"/>
    <n v="3"/>
    <n v="2"/>
    <x v="4"/>
    <x v="1"/>
    <x v="0"/>
    <n v="4107"/>
    <x v="1"/>
    <x v="1"/>
    <n v="3"/>
    <n v="8"/>
    <n v="2"/>
    <x v="9"/>
    <n v="3"/>
    <n v="0"/>
    <n v="1"/>
    <x v="0"/>
    <x v="0"/>
    <x v="1"/>
  </r>
  <r>
    <n v="40"/>
    <s v="No"/>
    <n v="0"/>
    <x v="0"/>
    <x v="0"/>
    <n v="26"/>
    <s v="Marketing"/>
    <s v="1066"/>
    <x v="1"/>
    <x v="1"/>
    <n v="3"/>
    <n v="2"/>
    <x v="0"/>
    <x v="3"/>
    <x v="1"/>
    <n v="8396"/>
    <x v="0"/>
    <x v="1"/>
    <n v="3"/>
    <n v="8"/>
    <n v="2"/>
    <x v="5"/>
    <n v="7"/>
    <n v="7"/>
    <n v="5"/>
    <x v="0"/>
    <x v="0"/>
    <x v="0"/>
  </r>
  <r>
    <n v="26"/>
    <s v="No"/>
    <n v="0"/>
    <x v="1"/>
    <x v="1"/>
    <n v="1"/>
    <s v="Medical"/>
    <s v="1068"/>
    <x v="3"/>
    <x v="0"/>
    <n v="2"/>
    <n v="1"/>
    <x v="1"/>
    <x v="2"/>
    <x v="2"/>
    <n v="2007"/>
    <x v="1"/>
    <x v="1"/>
    <n v="3"/>
    <n v="5"/>
    <n v="3"/>
    <x v="8"/>
    <n v="3"/>
    <n v="1"/>
    <n v="3"/>
    <x v="2"/>
    <x v="1"/>
    <x v="1"/>
  </r>
  <r>
    <n v="46"/>
    <s v="No"/>
    <n v="0"/>
    <x v="0"/>
    <x v="1"/>
    <n v="1"/>
    <s v="Medical"/>
    <s v="1069"/>
    <x v="2"/>
    <x v="1"/>
    <n v="3"/>
    <n v="5"/>
    <x v="7"/>
    <x v="0"/>
    <x v="2"/>
    <n v="19627"/>
    <x v="2"/>
    <x v="1"/>
    <n v="3"/>
    <n v="23"/>
    <n v="3"/>
    <x v="4"/>
    <n v="2"/>
    <n v="2"/>
    <n v="2"/>
    <x v="1"/>
    <x v="2"/>
    <x v="1"/>
  </r>
  <r>
    <n v="54"/>
    <s v="No"/>
    <n v="0"/>
    <x v="0"/>
    <x v="0"/>
    <n v="2"/>
    <s v="Life Sciences"/>
    <s v="1070"/>
    <x v="1"/>
    <x v="0"/>
    <n v="2"/>
    <n v="3"/>
    <x v="0"/>
    <x v="2"/>
    <x v="1"/>
    <n v="10686"/>
    <x v="0"/>
    <x v="1"/>
    <n v="3"/>
    <n v="13"/>
    <n v="3"/>
    <x v="7"/>
    <n v="4"/>
    <n v="7"/>
    <n v="0"/>
    <x v="1"/>
    <x v="0"/>
    <x v="0"/>
  </r>
  <r>
    <n v="56"/>
    <s v="No"/>
    <n v="0"/>
    <x v="1"/>
    <x v="1"/>
    <n v="9"/>
    <s v="Medical"/>
    <s v="1071"/>
    <x v="3"/>
    <x v="0"/>
    <n v="3"/>
    <n v="1"/>
    <x v="1"/>
    <x v="2"/>
    <x v="1"/>
    <n v="2942"/>
    <x v="1"/>
    <x v="1"/>
    <n v="3"/>
    <n v="18"/>
    <n v="3"/>
    <x v="8"/>
    <n v="4"/>
    <n v="0"/>
    <n v="3"/>
    <x v="1"/>
    <x v="2"/>
    <x v="1"/>
  </r>
  <r>
    <n v="36"/>
    <s v="No"/>
    <n v="0"/>
    <x v="0"/>
    <x v="1"/>
    <n v="12"/>
    <s v="Medical"/>
    <s v="1073"/>
    <x v="2"/>
    <x v="0"/>
    <n v="2"/>
    <n v="3"/>
    <x v="3"/>
    <x v="0"/>
    <x v="0"/>
    <n v="8858"/>
    <x v="0"/>
    <x v="1"/>
    <n v="3"/>
    <n v="15"/>
    <n v="2"/>
    <x v="13"/>
    <n v="8"/>
    <n v="7"/>
    <n v="8"/>
    <x v="0"/>
    <x v="0"/>
    <x v="2"/>
  </r>
  <r>
    <n v="55"/>
    <s v="No"/>
    <n v="0"/>
    <x v="2"/>
    <x v="1"/>
    <n v="2"/>
    <s v="Medical"/>
    <s v="1074"/>
    <x v="1"/>
    <x v="1"/>
    <n v="2"/>
    <n v="4"/>
    <x v="5"/>
    <x v="3"/>
    <x v="0"/>
    <n v="16756"/>
    <x v="2"/>
    <x v="1"/>
    <n v="3"/>
    <n v="31"/>
    <n v="4"/>
    <x v="7"/>
    <n v="7"/>
    <n v="6"/>
    <n v="2"/>
    <x v="1"/>
    <x v="2"/>
    <x v="0"/>
  </r>
  <r>
    <n v="43"/>
    <s v="No"/>
    <n v="0"/>
    <x v="0"/>
    <x v="0"/>
    <n v="25"/>
    <s v="Medical"/>
    <s v="1076"/>
    <x v="1"/>
    <x v="1"/>
    <n v="2"/>
    <n v="3"/>
    <x v="0"/>
    <x v="0"/>
    <x v="2"/>
    <n v="10798"/>
    <x v="0"/>
    <x v="1"/>
    <n v="3"/>
    <n v="18"/>
    <n v="3"/>
    <x v="6"/>
    <n v="0"/>
    <n v="0"/>
    <n v="0"/>
    <x v="0"/>
    <x v="2"/>
    <x v="1"/>
  </r>
  <r>
    <n v="20"/>
    <s v="Yes"/>
    <n v="1"/>
    <x v="1"/>
    <x v="0"/>
    <n v="9"/>
    <s v="Marketing"/>
    <s v="1077"/>
    <x v="2"/>
    <x v="0"/>
    <n v="3"/>
    <n v="1"/>
    <x v="6"/>
    <x v="0"/>
    <x v="0"/>
    <n v="2323"/>
    <x v="1"/>
    <x v="0"/>
    <n v="3"/>
    <n v="2"/>
    <n v="3"/>
    <x v="4"/>
    <n v="2"/>
    <n v="0"/>
    <n v="2"/>
    <x v="3"/>
    <x v="1"/>
    <x v="1"/>
  </r>
  <r>
    <n v="21"/>
    <s v="Yes"/>
    <n v="1"/>
    <x v="0"/>
    <x v="1"/>
    <n v="10"/>
    <s v="Life Sciences"/>
    <s v="1079"/>
    <x v="1"/>
    <x v="0"/>
    <n v="2"/>
    <n v="1"/>
    <x v="2"/>
    <x v="3"/>
    <x v="0"/>
    <n v="1416"/>
    <x v="1"/>
    <x v="1"/>
    <n v="3"/>
    <n v="1"/>
    <n v="2"/>
    <x v="6"/>
    <n v="0"/>
    <n v="1"/>
    <n v="0"/>
    <x v="3"/>
    <x v="1"/>
    <x v="1"/>
  </r>
  <r>
    <n v="46"/>
    <s v="No"/>
    <n v="0"/>
    <x v="0"/>
    <x v="1"/>
    <n v="8"/>
    <s v="Life Sciences"/>
    <s v="1080"/>
    <x v="2"/>
    <x v="0"/>
    <n v="2"/>
    <n v="2"/>
    <x v="1"/>
    <x v="3"/>
    <x v="2"/>
    <n v="4615"/>
    <x v="1"/>
    <x v="0"/>
    <n v="4"/>
    <n v="19"/>
    <n v="3"/>
    <x v="22"/>
    <n v="13"/>
    <n v="1"/>
    <n v="7"/>
    <x v="1"/>
    <x v="2"/>
    <x v="2"/>
  </r>
  <r>
    <n v="51"/>
    <s v="Yes"/>
    <n v="1"/>
    <x v="0"/>
    <x v="1"/>
    <n v="4"/>
    <s v="Life Sciences"/>
    <s v="1081"/>
    <x v="3"/>
    <x v="1"/>
    <n v="3"/>
    <n v="1"/>
    <x v="1"/>
    <x v="2"/>
    <x v="1"/>
    <n v="2461"/>
    <x v="1"/>
    <x v="0"/>
    <n v="3"/>
    <n v="18"/>
    <n v="4"/>
    <x v="1"/>
    <n v="0"/>
    <n v="2"/>
    <n v="7"/>
    <x v="1"/>
    <x v="2"/>
    <x v="0"/>
  </r>
  <r>
    <n v="28"/>
    <s v="Yes"/>
    <n v="1"/>
    <x v="2"/>
    <x v="1"/>
    <n v="24"/>
    <s v="Technical Degree"/>
    <s v="1082"/>
    <x v="0"/>
    <x v="1"/>
    <n v="2"/>
    <n v="3"/>
    <x v="4"/>
    <x v="3"/>
    <x v="0"/>
    <n v="8722"/>
    <x v="0"/>
    <x v="1"/>
    <n v="3"/>
    <n v="10"/>
    <n v="2"/>
    <x v="1"/>
    <n v="7"/>
    <n v="1"/>
    <n v="9"/>
    <x v="2"/>
    <x v="0"/>
    <x v="0"/>
  </r>
  <r>
    <n v="26"/>
    <s v="No"/>
    <n v="0"/>
    <x v="0"/>
    <x v="1"/>
    <n v="1"/>
    <s v="Medical"/>
    <s v="1083"/>
    <x v="3"/>
    <x v="1"/>
    <n v="2"/>
    <n v="1"/>
    <x v="2"/>
    <x v="3"/>
    <x v="1"/>
    <n v="3955"/>
    <x v="1"/>
    <x v="1"/>
    <n v="3"/>
    <n v="6"/>
    <n v="3"/>
    <x v="8"/>
    <n v="3"/>
    <n v="1"/>
    <n v="3"/>
    <x v="2"/>
    <x v="0"/>
    <x v="1"/>
  </r>
  <r>
    <n v="30"/>
    <s v="No"/>
    <n v="0"/>
    <x v="0"/>
    <x v="1"/>
    <n v="20"/>
    <s v="Other"/>
    <s v="1084"/>
    <x v="1"/>
    <x v="1"/>
    <n v="3"/>
    <n v="2"/>
    <x v="3"/>
    <x v="3"/>
    <x v="1"/>
    <n v="9957"/>
    <x v="0"/>
    <x v="1"/>
    <n v="3"/>
    <n v="7"/>
    <n v="2"/>
    <x v="0"/>
    <n v="2"/>
    <n v="0"/>
    <n v="2"/>
    <x v="2"/>
    <x v="0"/>
    <x v="0"/>
  </r>
  <r>
    <n v="41"/>
    <s v="No"/>
    <n v="0"/>
    <x v="0"/>
    <x v="1"/>
    <n v="7"/>
    <s v="Technical Degree"/>
    <s v="1085"/>
    <x v="0"/>
    <x v="0"/>
    <n v="4"/>
    <n v="1"/>
    <x v="1"/>
    <x v="2"/>
    <x v="1"/>
    <n v="3376"/>
    <x v="1"/>
    <x v="1"/>
    <n v="3"/>
    <n v="10"/>
    <n v="3"/>
    <x v="1"/>
    <n v="6"/>
    <n v="0"/>
    <n v="8"/>
    <x v="0"/>
    <x v="0"/>
    <x v="0"/>
  </r>
  <r>
    <n v="38"/>
    <s v="No"/>
    <n v="0"/>
    <x v="0"/>
    <x v="1"/>
    <n v="17"/>
    <s v="Life Sciences"/>
    <s v="1088"/>
    <x v="1"/>
    <x v="0"/>
    <n v="2"/>
    <n v="3"/>
    <x v="4"/>
    <x v="2"/>
    <x v="1"/>
    <n v="8823"/>
    <x v="0"/>
    <x v="1"/>
    <n v="3"/>
    <n v="20"/>
    <n v="2"/>
    <x v="27"/>
    <n v="9"/>
    <n v="1"/>
    <n v="9"/>
    <x v="0"/>
    <x v="2"/>
    <x v="2"/>
  </r>
  <r>
    <n v="40"/>
    <s v="No"/>
    <n v="0"/>
    <x v="0"/>
    <x v="1"/>
    <n v="20"/>
    <s v="Technical Degree"/>
    <s v="1092"/>
    <x v="3"/>
    <x v="1"/>
    <n v="3"/>
    <n v="3"/>
    <x v="4"/>
    <x v="0"/>
    <x v="1"/>
    <n v="10322"/>
    <x v="0"/>
    <x v="1"/>
    <n v="4"/>
    <n v="14"/>
    <n v="3"/>
    <x v="19"/>
    <n v="10"/>
    <n v="11"/>
    <n v="1"/>
    <x v="0"/>
    <x v="0"/>
    <x v="2"/>
  </r>
  <r>
    <n v="27"/>
    <s v="No"/>
    <n v="0"/>
    <x v="2"/>
    <x v="1"/>
    <n v="8"/>
    <s v="Life Sciences"/>
    <s v="1094"/>
    <x v="3"/>
    <x v="1"/>
    <n v="1"/>
    <n v="1"/>
    <x v="2"/>
    <x v="2"/>
    <x v="1"/>
    <n v="4621"/>
    <x v="1"/>
    <x v="1"/>
    <n v="3"/>
    <n v="3"/>
    <n v="3"/>
    <x v="11"/>
    <n v="2"/>
    <n v="1"/>
    <n v="2"/>
    <x v="2"/>
    <x v="1"/>
    <x v="1"/>
  </r>
  <r>
    <n v="55"/>
    <s v="No"/>
    <n v="0"/>
    <x v="1"/>
    <x v="1"/>
    <n v="2"/>
    <s v="Life Sciences"/>
    <s v="1096"/>
    <x v="2"/>
    <x v="1"/>
    <n v="3"/>
    <n v="3"/>
    <x v="3"/>
    <x v="1"/>
    <x v="1"/>
    <n v="10976"/>
    <x v="0"/>
    <x v="1"/>
    <n v="3"/>
    <n v="23"/>
    <n v="3"/>
    <x v="11"/>
    <n v="2"/>
    <n v="1"/>
    <n v="2"/>
    <x v="1"/>
    <x v="2"/>
    <x v="1"/>
  </r>
  <r>
    <n v="28"/>
    <s v="No"/>
    <n v="0"/>
    <x v="0"/>
    <x v="1"/>
    <n v="10"/>
    <s v="Other"/>
    <s v="1097"/>
    <x v="1"/>
    <x v="0"/>
    <n v="3"/>
    <n v="2"/>
    <x v="1"/>
    <x v="2"/>
    <x v="0"/>
    <n v="3660"/>
    <x v="1"/>
    <x v="1"/>
    <n v="3"/>
    <n v="10"/>
    <n v="4"/>
    <x v="3"/>
    <n v="7"/>
    <n v="1"/>
    <n v="7"/>
    <x v="2"/>
    <x v="0"/>
    <x v="0"/>
  </r>
  <r>
    <n v="44"/>
    <s v="Yes"/>
    <n v="1"/>
    <x v="0"/>
    <x v="2"/>
    <n v="1"/>
    <s v="Medical"/>
    <s v="1098"/>
    <x v="0"/>
    <x v="1"/>
    <n v="2"/>
    <n v="3"/>
    <x v="8"/>
    <x v="3"/>
    <x v="1"/>
    <n v="10482"/>
    <x v="0"/>
    <x v="1"/>
    <n v="3"/>
    <n v="24"/>
    <n v="3"/>
    <x v="23"/>
    <n v="6"/>
    <n v="3"/>
    <n v="6"/>
    <x v="0"/>
    <x v="2"/>
    <x v="2"/>
  </r>
  <r>
    <n v="33"/>
    <s v="No"/>
    <n v="0"/>
    <x v="0"/>
    <x v="1"/>
    <n v="5"/>
    <s v="Life Sciences"/>
    <s v="1099"/>
    <x v="2"/>
    <x v="1"/>
    <n v="2"/>
    <n v="3"/>
    <x v="4"/>
    <x v="0"/>
    <x v="2"/>
    <n v="7119"/>
    <x v="0"/>
    <x v="1"/>
    <n v="3"/>
    <n v="9"/>
    <n v="3"/>
    <x v="11"/>
    <n v="2"/>
    <n v="1"/>
    <n v="2"/>
    <x v="2"/>
    <x v="0"/>
    <x v="1"/>
  </r>
  <r>
    <n v="35"/>
    <s v="Yes"/>
    <n v="1"/>
    <x v="0"/>
    <x v="0"/>
    <n v="4"/>
    <s v="Technical Degree"/>
    <s v="1100"/>
    <x v="2"/>
    <x v="1"/>
    <n v="3"/>
    <n v="3"/>
    <x v="0"/>
    <x v="3"/>
    <x v="0"/>
    <n v="9582"/>
    <x v="0"/>
    <x v="0"/>
    <n v="4"/>
    <n v="9"/>
    <n v="3"/>
    <x v="3"/>
    <n v="7"/>
    <n v="4"/>
    <n v="7"/>
    <x v="2"/>
    <x v="0"/>
    <x v="0"/>
  </r>
  <r>
    <n v="33"/>
    <s v="Yes"/>
    <n v="1"/>
    <x v="1"/>
    <x v="1"/>
    <n v="29"/>
    <s v="Medical"/>
    <s v="1101"/>
    <x v="3"/>
    <x v="0"/>
    <n v="2"/>
    <n v="2"/>
    <x v="1"/>
    <x v="2"/>
    <x v="0"/>
    <n v="4508"/>
    <x v="1"/>
    <x v="1"/>
    <n v="4"/>
    <n v="14"/>
    <n v="3"/>
    <x v="20"/>
    <n v="7"/>
    <n v="3"/>
    <n v="8"/>
    <x v="2"/>
    <x v="0"/>
    <x v="2"/>
  </r>
  <r>
    <n v="28"/>
    <s v="No"/>
    <n v="0"/>
    <x v="0"/>
    <x v="1"/>
    <n v="15"/>
    <s v="Life Sciences"/>
    <s v="1102"/>
    <x v="3"/>
    <x v="1"/>
    <n v="3"/>
    <n v="1"/>
    <x v="2"/>
    <x v="2"/>
    <x v="2"/>
    <n v="2207"/>
    <x v="1"/>
    <x v="1"/>
    <n v="3"/>
    <n v="4"/>
    <n v="2"/>
    <x v="9"/>
    <n v="2"/>
    <n v="2"/>
    <n v="2"/>
    <x v="2"/>
    <x v="1"/>
    <x v="1"/>
  </r>
  <r>
    <n v="34"/>
    <s v="No"/>
    <n v="0"/>
    <x v="1"/>
    <x v="1"/>
    <n v="3"/>
    <s v="Life Sciences"/>
    <s v="1103"/>
    <x v="3"/>
    <x v="1"/>
    <n v="3"/>
    <n v="2"/>
    <x v="4"/>
    <x v="0"/>
    <x v="0"/>
    <n v="7756"/>
    <x v="0"/>
    <x v="1"/>
    <n v="3"/>
    <n v="7"/>
    <n v="2"/>
    <x v="0"/>
    <n v="2"/>
    <n v="0"/>
    <n v="4"/>
    <x v="2"/>
    <x v="0"/>
    <x v="0"/>
  </r>
  <r>
    <n v="37"/>
    <s v="No"/>
    <n v="0"/>
    <x v="0"/>
    <x v="0"/>
    <n v="10"/>
    <s v="Life Sciences"/>
    <s v="1105"/>
    <x v="2"/>
    <x v="0"/>
    <n v="2"/>
    <n v="2"/>
    <x v="0"/>
    <x v="0"/>
    <x v="2"/>
    <n v="6694"/>
    <x v="0"/>
    <x v="0"/>
    <n v="3"/>
    <n v="8"/>
    <n v="3"/>
    <x v="6"/>
    <n v="0"/>
    <n v="0"/>
    <n v="0"/>
    <x v="0"/>
    <x v="0"/>
    <x v="1"/>
  </r>
  <r>
    <n v="25"/>
    <s v="Yes"/>
    <n v="1"/>
    <x v="0"/>
    <x v="1"/>
    <n v="4"/>
    <s v="Technical Degree"/>
    <s v="1106"/>
    <x v="2"/>
    <x v="1"/>
    <n v="3"/>
    <n v="1"/>
    <x v="2"/>
    <x v="0"/>
    <x v="1"/>
    <n v="3691"/>
    <x v="1"/>
    <x v="0"/>
    <n v="3"/>
    <n v="7"/>
    <n v="4"/>
    <x v="5"/>
    <n v="7"/>
    <n v="5"/>
    <n v="6"/>
    <x v="3"/>
    <x v="0"/>
    <x v="0"/>
  </r>
  <r>
    <n v="26"/>
    <s v="Yes"/>
    <n v="1"/>
    <x v="0"/>
    <x v="1"/>
    <n v="21"/>
    <s v="Medical"/>
    <s v="1107"/>
    <x v="3"/>
    <x v="1"/>
    <n v="3"/>
    <n v="1"/>
    <x v="2"/>
    <x v="2"/>
    <x v="2"/>
    <n v="2377"/>
    <x v="1"/>
    <x v="1"/>
    <n v="4"/>
    <n v="1"/>
    <n v="2"/>
    <x v="6"/>
    <n v="1"/>
    <n v="0"/>
    <n v="0"/>
    <x v="2"/>
    <x v="1"/>
    <x v="1"/>
  </r>
  <r>
    <n v="33"/>
    <s v="Yes"/>
    <n v="1"/>
    <x v="0"/>
    <x v="1"/>
    <n v="25"/>
    <s v="Medical"/>
    <s v="1108"/>
    <x v="3"/>
    <x v="1"/>
    <n v="2"/>
    <n v="1"/>
    <x v="1"/>
    <x v="1"/>
    <x v="0"/>
    <n v="2313"/>
    <x v="1"/>
    <x v="0"/>
    <n v="4"/>
    <n v="5"/>
    <n v="3"/>
    <x v="4"/>
    <n v="2"/>
    <n v="2"/>
    <n v="2"/>
    <x v="2"/>
    <x v="1"/>
    <x v="1"/>
  </r>
  <r>
    <n v="42"/>
    <s v="No"/>
    <n v="0"/>
    <x v="0"/>
    <x v="1"/>
    <n v="2"/>
    <s v="Medical"/>
    <s v="1109"/>
    <x v="2"/>
    <x v="1"/>
    <n v="3"/>
    <n v="4"/>
    <x v="5"/>
    <x v="3"/>
    <x v="1"/>
    <n v="17665"/>
    <x v="2"/>
    <x v="1"/>
    <n v="3"/>
    <n v="23"/>
    <n v="3"/>
    <x v="14"/>
    <n v="6"/>
    <n v="13"/>
    <n v="7"/>
    <x v="0"/>
    <x v="2"/>
    <x v="2"/>
  </r>
  <r>
    <n v="28"/>
    <s v="Yes"/>
    <n v="1"/>
    <x v="1"/>
    <x v="1"/>
    <n v="1"/>
    <s v="Medical"/>
    <s v="1111"/>
    <x v="3"/>
    <x v="1"/>
    <n v="2"/>
    <n v="1"/>
    <x v="2"/>
    <x v="1"/>
    <x v="2"/>
    <n v="2596"/>
    <x v="1"/>
    <x v="1"/>
    <n v="3"/>
    <n v="1"/>
    <n v="3"/>
    <x v="6"/>
    <n v="0"/>
    <n v="0"/>
    <n v="0"/>
    <x v="2"/>
    <x v="1"/>
    <x v="1"/>
  </r>
  <r>
    <n v="50"/>
    <s v="Yes"/>
    <n v="1"/>
    <x v="1"/>
    <x v="0"/>
    <n v="1"/>
    <s v="Other"/>
    <s v="1113"/>
    <x v="2"/>
    <x v="1"/>
    <n v="3"/>
    <n v="2"/>
    <x v="0"/>
    <x v="2"/>
    <x v="0"/>
    <n v="4728"/>
    <x v="1"/>
    <x v="0"/>
    <n v="3"/>
    <n v="5"/>
    <n v="3"/>
    <x v="2"/>
    <n v="0"/>
    <n v="0"/>
    <n v="0"/>
    <x v="1"/>
    <x v="1"/>
    <x v="1"/>
  </r>
  <r>
    <n v="33"/>
    <s v="No"/>
    <n v="0"/>
    <x v="1"/>
    <x v="0"/>
    <n v="7"/>
    <s v="Life Sciences"/>
    <s v="1114"/>
    <x v="2"/>
    <x v="0"/>
    <n v="3"/>
    <n v="2"/>
    <x v="0"/>
    <x v="1"/>
    <x v="1"/>
    <n v="4302"/>
    <x v="1"/>
    <x v="1"/>
    <n v="3"/>
    <n v="4"/>
    <n v="3"/>
    <x v="11"/>
    <n v="2"/>
    <n v="0"/>
    <n v="2"/>
    <x v="2"/>
    <x v="1"/>
    <x v="1"/>
  </r>
  <r>
    <n v="34"/>
    <s v="No"/>
    <n v="0"/>
    <x v="2"/>
    <x v="1"/>
    <n v="3"/>
    <s v="Life Sciences"/>
    <s v="1115"/>
    <x v="1"/>
    <x v="1"/>
    <n v="2"/>
    <n v="1"/>
    <x v="1"/>
    <x v="0"/>
    <x v="1"/>
    <n v="2979"/>
    <x v="1"/>
    <x v="1"/>
    <n v="3"/>
    <n v="6"/>
    <n v="3"/>
    <x v="2"/>
    <n v="0"/>
    <n v="0"/>
    <n v="0"/>
    <x v="2"/>
    <x v="0"/>
    <x v="1"/>
  </r>
  <r>
    <n v="48"/>
    <s v="No"/>
    <n v="0"/>
    <x v="2"/>
    <x v="1"/>
    <n v="1"/>
    <s v="Medical"/>
    <s v="1116"/>
    <x v="3"/>
    <x v="1"/>
    <n v="4"/>
    <n v="4"/>
    <x v="5"/>
    <x v="0"/>
    <x v="0"/>
    <n v="16885"/>
    <x v="2"/>
    <x v="1"/>
    <n v="4"/>
    <n v="27"/>
    <n v="2"/>
    <x v="8"/>
    <n v="4"/>
    <n v="2"/>
    <n v="1"/>
    <x v="1"/>
    <x v="2"/>
    <x v="1"/>
  </r>
  <r>
    <n v="45"/>
    <s v="No"/>
    <n v="0"/>
    <x v="2"/>
    <x v="0"/>
    <n v="9"/>
    <s v="Life Sciences"/>
    <s v="1117"/>
    <x v="0"/>
    <x v="0"/>
    <n v="2"/>
    <n v="2"/>
    <x v="0"/>
    <x v="2"/>
    <x v="1"/>
    <n v="5593"/>
    <x v="0"/>
    <x v="1"/>
    <n v="3"/>
    <n v="15"/>
    <n v="3"/>
    <x v="15"/>
    <n v="10"/>
    <n v="4"/>
    <n v="12"/>
    <x v="0"/>
    <x v="0"/>
    <x v="2"/>
  </r>
  <r>
    <n v="52"/>
    <s v="No"/>
    <n v="0"/>
    <x v="0"/>
    <x v="1"/>
    <n v="7"/>
    <s v="Life Sciences"/>
    <s v="1118"/>
    <x v="0"/>
    <x v="1"/>
    <n v="3"/>
    <n v="3"/>
    <x v="4"/>
    <x v="1"/>
    <x v="0"/>
    <n v="10445"/>
    <x v="0"/>
    <x v="1"/>
    <n v="3"/>
    <n v="18"/>
    <n v="3"/>
    <x v="3"/>
    <n v="6"/>
    <n v="4"/>
    <n v="0"/>
    <x v="1"/>
    <x v="2"/>
    <x v="0"/>
  </r>
  <r>
    <n v="38"/>
    <s v="No"/>
    <n v="0"/>
    <x v="0"/>
    <x v="0"/>
    <n v="10"/>
    <s v="Marketing"/>
    <s v="1119"/>
    <x v="1"/>
    <x v="1"/>
    <n v="2"/>
    <n v="3"/>
    <x v="0"/>
    <x v="2"/>
    <x v="2"/>
    <n v="8740"/>
    <x v="0"/>
    <x v="0"/>
    <n v="3"/>
    <n v="9"/>
    <n v="3"/>
    <x v="3"/>
    <n v="7"/>
    <n v="2"/>
    <n v="7"/>
    <x v="0"/>
    <x v="0"/>
    <x v="0"/>
  </r>
  <r>
    <n v="29"/>
    <s v="No"/>
    <n v="0"/>
    <x v="0"/>
    <x v="1"/>
    <n v="28"/>
    <s v="Life Sciences"/>
    <s v="1120"/>
    <x v="1"/>
    <x v="0"/>
    <n v="3"/>
    <n v="1"/>
    <x v="1"/>
    <x v="0"/>
    <x v="2"/>
    <n v="2514"/>
    <x v="1"/>
    <x v="1"/>
    <n v="4"/>
    <n v="11"/>
    <n v="3"/>
    <x v="5"/>
    <n v="5"/>
    <n v="1"/>
    <n v="7"/>
    <x v="2"/>
    <x v="0"/>
    <x v="0"/>
  </r>
  <r>
    <n v="28"/>
    <s v="No"/>
    <n v="0"/>
    <x v="0"/>
    <x v="1"/>
    <n v="3"/>
    <s v="Medical"/>
    <s v="1121"/>
    <x v="2"/>
    <x v="0"/>
    <n v="3"/>
    <n v="3"/>
    <x v="3"/>
    <x v="1"/>
    <x v="2"/>
    <n v="7655"/>
    <x v="0"/>
    <x v="1"/>
    <n v="3"/>
    <n v="10"/>
    <n v="2"/>
    <x v="7"/>
    <n v="7"/>
    <n v="1"/>
    <n v="7"/>
    <x v="2"/>
    <x v="0"/>
    <x v="0"/>
  </r>
  <r>
    <n v="46"/>
    <s v="No"/>
    <n v="0"/>
    <x v="0"/>
    <x v="0"/>
    <n v="3"/>
    <s v="Marketing"/>
    <s v="1124"/>
    <x v="3"/>
    <x v="1"/>
    <n v="3"/>
    <n v="4"/>
    <x v="5"/>
    <x v="2"/>
    <x v="1"/>
    <n v="17465"/>
    <x v="2"/>
    <x v="1"/>
    <n v="3"/>
    <n v="23"/>
    <n v="3"/>
    <x v="12"/>
    <n v="9"/>
    <n v="4"/>
    <n v="9"/>
    <x v="1"/>
    <x v="2"/>
    <x v="2"/>
  </r>
  <r>
    <n v="38"/>
    <s v="No"/>
    <n v="0"/>
    <x v="0"/>
    <x v="0"/>
    <n v="2"/>
    <s v="Marketing"/>
    <s v="1125"/>
    <x v="2"/>
    <x v="1"/>
    <n v="3"/>
    <n v="3"/>
    <x v="0"/>
    <x v="1"/>
    <x v="0"/>
    <n v="7351"/>
    <x v="0"/>
    <x v="1"/>
    <n v="3"/>
    <n v="10"/>
    <n v="3"/>
    <x v="6"/>
    <n v="0"/>
    <n v="0"/>
    <n v="0"/>
    <x v="0"/>
    <x v="0"/>
    <x v="1"/>
  </r>
  <r>
    <n v="43"/>
    <s v="No"/>
    <n v="0"/>
    <x v="1"/>
    <x v="1"/>
    <n v="27"/>
    <s v="Life Sciences"/>
    <s v="1126"/>
    <x v="1"/>
    <x v="0"/>
    <n v="3"/>
    <n v="3"/>
    <x v="3"/>
    <x v="3"/>
    <x v="1"/>
    <n v="10820"/>
    <x v="0"/>
    <x v="1"/>
    <n v="3"/>
    <n v="18"/>
    <n v="3"/>
    <x v="3"/>
    <n v="7"/>
    <n v="0"/>
    <n v="1"/>
    <x v="0"/>
    <x v="2"/>
    <x v="0"/>
  </r>
  <r>
    <n v="39"/>
    <s v="Yes"/>
    <n v="1"/>
    <x v="1"/>
    <x v="1"/>
    <n v="2"/>
    <s v="Life Sciences"/>
    <s v="1127"/>
    <x v="3"/>
    <x v="1"/>
    <n v="3"/>
    <n v="4"/>
    <x v="4"/>
    <x v="0"/>
    <x v="2"/>
    <n v="12169"/>
    <x v="2"/>
    <x v="1"/>
    <n v="3"/>
    <n v="21"/>
    <n v="3"/>
    <x v="29"/>
    <n v="7"/>
    <n v="11"/>
    <n v="5"/>
    <x v="0"/>
    <x v="2"/>
    <x v="2"/>
  </r>
  <r>
    <n v="40"/>
    <s v="No"/>
    <n v="0"/>
    <x v="0"/>
    <x v="1"/>
    <n v="14"/>
    <s v="Medical"/>
    <s v="1128"/>
    <x v="1"/>
    <x v="1"/>
    <n v="2"/>
    <n v="5"/>
    <x v="7"/>
    <x v="2"/>
    <x v="0"/>
    <n v="19626"/>
    <x v="2"/>
    <x v="1"/>
    <n v="3"/>
    <n v="21"/>
    <n v="4"/>
    <x v="23"/>
    <n v="7"/>
    <n v="4"/>
    <n v="9"/>
    <x v="0"/>
    <x v="2"/>
    <x v="2"/>
  </r>
  <r>
    <n v="21"/>
    <s v="No"/>
    <n v="0"/>
    <x v="0"/>
    <x v="1"/>
    <n v="1"/>
    <s v="Technical Degree"/>
    <s v="1131"/>
    <x v="2"/>
    <x v="0"/>
    <n v="2"/>
    <n v="1"/>
    <x v="1"/>
    <x v="1"/>
    <x v="0"/>
    <n v="2070"/>
    <x v="1"/>
    <x v="0"/>
    <n v="3"/>
    <n v="2"/>
    <n v="4"/>
    <x v="4"/>
    <n v="2"/>
    <n v="2"/>
    <n v="2"/>
    <x v="3"/>
    <x v="1"/>
    <x v="1"/>
  </r>
  <r>
    <n v="39"/>
    <s v="No"/>
    <n v="0"/>
    <x v="2"/>
    <x v="1"/>
    <n v="9"/>
    <s v="Life Sciences"/>
    <s v="1132"/>
    <x v="1"/>
    <x v="1"/>
    <n v="3"/>
    <n v="2"/>
    <x v="2"/>
    <x v="1"/>
    <x v="0"/>
    <n v="6782"/>
    <x v="0"/>
    <x v="1"/>
    <n v="3"/>
    <n v="9"/>
    <n v="2"/>
    <x v="8"/>
    <n v="4"/>
    <n v="0"/>
    <n v="3"/>
    <x v="0"/>
    <x v="0"/>
    <x v="1"/>
  </r>
  <r>
    <n v="36"/>
    <s v="No"/>
    <n v="0"/>
    <x v="2"/>
    <x v="1"/>
    <n v="18"/>
    <s v="Life Sciences"/>
    <s v="1133"/>
    <x v="3"/>
    <x v="1"/>
    <n v="3"/>
    <n v="2"/>
    <x v="3"/>
    <x v="0"/>
    <x v="0"/>
    <n v="7779"/>
    <x v="0"/>
    <x v="1"/>
    <n v="4"/>
    <n v="18"/>
    <n v="3"/>
    <x v="19"/>
    <n v="9"/>
    <n v="0"/>
    <n v="9"/>
    <x v="0"/>
    <x v="2"/>
    <x v="2"/>
  </r>
  <r>
    <n v="31"/>
    <s v="No"/>
    <n v="0"/>
    <x v="1"/>
    <x v="0"/>
    <n v="20"/>
    <s v="Life Sciences"/>
    <s v="1135"/>
    <x v="1"/>
    <x v="1"/>
    <n v="4"/>
    <n v="1"/>
    <x v="6"/>
    <x v="0"/>
    <x v="1"/>
    <n v="2791"/>
    <x v="1"/>
    <x v="1"/>
    <n v="3"/>
    <n v="3"/>
    <n v="3"/>
    <x v="4"/>
    <n v="2"/>
    <n v="2"/>
    <n v="2"/>
    <x v="2"/>
    <x v="1"/>
    <x v="1"/>
  </r>
  <r>
    <n v="28"/>
    <s v="No"/>
    <n v="0"/>
    <x v="0"/>
    <x v="1"/>
    <n v="2"/>
    <s v="Life Sciences"/>
    <s v="1136"/>
    <x v="3"/>
    <x v="1"/>
    <n v="2"/>
    <n v="1"/>
    <x v="1"/>
    <x v="1"/>
    <x v="1"/>
    <n v="3201"/>
    <x v="1"/>
    <x v="1"/>
    <n v="3"/>
    <n v="6"/>
    <n v="1"/>
    <x v="8"/>
    <n v="3"/>
    <n v="0"/>
    <n v="4"/>
    <x v="2"/>
    <x v="0"/>
    <x v="1"/>
  </r>
  <r>
    <n v="35"/>
    <s v="No"/>
    <n v="0"/>
    <x v="1"/>
    <x v="0"/>
    <n v="11"/>
    <s v="Marketing"/>
    <s v="1137"/>
    <x v="2"/>
    <x v="1"/>
    <n v="3"/>
    <n v="2"/>
    <x v="0"/>
    <x v="0"/>
    <x v="2"/>
    <n v="4968"/>
    <x v="1"/>
    <x v="1"/>
    <n v="3"/>
    <n v="5"/>
    <n v="3"/>
    <x v="8"/>
    <n v="2"/>
    <n v="0"/>
    <n v="2"/>
    <x v="2"/>
    <x v="1"/>
    <x v="1"/>
  </r>
  <r>
    <n v="49"/>
    <s v="No"/>
    <n v="0"/>
    <x v="0"/>
    <x v="0"/>
    <n v="8"/>
    <s v="Technical Degree"/>
    <s v="1138"/>
    <x v="2"/>
    <x v="1"/>
    <n v="2"/>
    <n v="4"/>
    <x v="0"/>
    <x v="1"/>
    <x v="1"/>
    <n v="13120"/>
    <x v="2"/>
    <x v="1"/>
    <n v="3"/>
    <n v="22"/>
    <n v="3"/>
    <x v="7"/>
    <n v="8"/>
    <n v="2"/>
    <n v="3"/>
    <x v="1"/>
    <x v="2"/>
    <x v="0"/>
  </r>
  <r>
    <n v="34"/>
    <s v="No"/>
    <n v="0"/>
    <x v="1"/>
    <x v="1"/>
    <n v="2"/>
    <s v="Life Sciences"/>
    <s v="1140"/>
    <x v="2"/>
    <x v="1"/>
    <n v="3"/>
    <n v="2"/>
    <x v="3"/>
    <x v="2"/>
    <x v="0"/>
    <n v="4033"/>
    <x v="1"/>
    <x v="1"/>
    <n v="3"/>
    <n v="5"/>
    <n v="2"/>
    <x v="11"/>
    <n v="2"/>
    <n v="0"/>
    <n v="2"/>
    <x v="2"/>
    <x v="1"/>
    <x v="1"/>
  </r>
  <r>
    <n v="29"/>
    <s v="No"/>
    <n v="0"/>
    <x v="1"/>
    <x v="1"/>
    <n v="10"/>
    <s v="Life Sciences"/>
    <s v="1143"/>
    <x v="2"/>
    <x v="0"/>
    <n v="3"/>
    <n v="1"/>
    <x v="1"/>
    <x v="1"/>
    <x v="2"/>
    <n v="3291"/>
    <x v="1"/>
    <x v="1"/>
    <n v="3"/>
    <n v="8"/>
    <n v="2"/>
    <x v="5"/>
    <n v="5"/>
    <n v="1"/>
    <n v="1"/>
    <x v="2"/>
    <x v="0"/>
    <x v="0"/>
  </r>
  <r>
    <n v="42"/>
    <s v="No"/>
    <n v="0"/>
    <x v="0"/>
    <x v="1"/>
    <n v="29"/>
    <s v="Medical"/>
    <s v="1148"/>
    <x v="0"/>
    <x v="1"/>
    <n v="1"/>
    <n v="2"/>
    <x v="2"/>
    <x v="0"/>
    <x v="0"/>
    <n v="4272"/>
    <x v="1"/>
    <x v="1"/>
    <n v="3"/>
    <n v="16"/>
    <n v="3"/>
    <x v="6"/>
    <n v="0"/>
    <n v="0"/>
    <n v="0"/>
    <x v="0"/>
    <x v="2"/>
    <x v="1"/>
  </r>
  <r>
    <n v="29"/>
    <s v="No"/>
    <n v="0"/>
    <x v="0"/>
    <x v="1"/>
    <n v="8"/>
    <s v="Medical"/>
    <s v="1150"/>
    <x v="0"/>
    <x v="1"/>
    <n v="2"/>
    <n v="2"/>
    <x v="3"/>
    <x v="0"/>
    <x v="1"/>
    <n v="5056"/>
    <x v="0"/>
    <x v="0"/>
    <n v="3"/>
    <n v="10"/>
    <n v="2"/>
    <x v="1"/>
    <n v="7"/>
    <n v="1"/>
    <n v="2"/>
    <x v="2"/>
    <x v="0"/>
    <x v="0"/>
  </r>
  <r>
    <n v="38"/>
    <s v="No"/>
    <n v="0"/>
    <x v="0"/>
    <x v="2"/>
    <n v="1"/>
    <s v="Human Resources"/>
    <s v="1152"/>
    <x v="1"/>
    <x v="1"/>
    <n v="4"/>
    <n v="1"/>
    <x v="8"/>
    <x v="2"/>
    <x v="1"/>
    <n v="2844"/>
    <x v="1"/>
    <x v="1"/>
    <n v="3"/>
    <n v="7"/>
    <n v="4"/>
    <x v="5"/>
    <n v="6"/>
    <n v="5"/>
    <n v="0"/>
    <x v="0"/>
    <x v="0"/>
    <x v="0"/>
  </r>
  <r>
    <n v="28"/>
    <s v="No"/>
    <n v="0"/>
    <x v="1"/>
    <x v="1"/>
    <n v="6"/>
    <s v="Life Sciences"/>
    <s v="1154"/>
    <x v="1"/>
    <x v="1"/>
    <n v="2"/>
    <n v="1"/>
    <x v="1"/>
    <x v="2"/>
    <x v="2"/>
    <n v="2703"/>
    <x v="1"/>
    <x v="0"/>
    <n v="3"/>
    <n v="3"/>
    <n v="3"/>
    <x v="11"/>
    <n v="1"/>
    <n v="0"/>
    <n v="2"/>
    <x v="2"/>
    <x v="1"/>
    <x v="1"/>
  </r>
  <r>
    <n v="18"/>
    <s v="Yes"/>
    <n v="1"/>
    <x v="2"/>
    <x v="1"/>
    <n v="8"/>
    <s v="Medical"/>
    <s v="1156"/>
    <x v="1"/>
    <x v="1"/>
    <n v="3"/>
    <n v="1"/>
    <x v="2"/>
    <x v="2"/>
    <x v="0"/>
    <n v="1904"/>
    <x v="1"/>
    <x v="1"/>
    <n v="3"/>
    <n v="0"/>
    <n v="3"/>
    <x v="2"/>
    <n v="0"/>
    <n v="0"/>
    <n v="0"/>
    <x v="3"/>
    <x v="1"/>
    <x v="1"/>
  </r>
  <r>
    <n v="33"/>
    <s v="Yes"/>
    <n v="1"/>
    <x v="0"/>
    <x v="0"/>
    <n v="9"/>
    <s v="Marketing"/>
    <s v="1157"/>
    <x v="3"/>
    <x v="0"/>
    <n v="3"/>
    <n v="2"/>
    <x v="0"/>
    <x v="3"/>
    <x v="0"/>
    <n v="8224"/>
    <x v="0"/>
    <x v="0"/>
    <n v="3"/>
    <n v="6"/>
    <n v="3"/>
    <x v="8"/>
    <n v="2"/>
    <n v="0"/>
    <n v="3"/>
    <x v="2"/>
    <x v="0"/>
    <x v="1"/>
  </r>
  <r>
    <n v="41"/>
    <s v="No"/>
    <n v="0"/>
    <x v="0"/>
    <x v="1"/>
    <n v="12"/>
    <s v="Life Sciences"/>
    <s v="1158"/>
    <x v="0"/>
    <x v="1"/>
    <n v="3"/>
    <n v="1"/>
    <x v="2"/>
    <x v="0"/>
    <x v="1"/>
    <n v="4766"/>
    <x v="1"/>
    <x v="0"/>
    <n v="3"/>
    <n v="6"/>
    <n v="3"/>
    <x v="6"/>
    <n v="0"/>
    <n v="0"/>
    <n v="0"/>
    <x v="0"/>
    <x v="0"/>
    <x v="1"/>
  </r>
  <r>
    <n v="31"/>
    <s v="Yes"/>
    <n v="1"/>
    <x v="1"/>
    <x v="1"/>
    <n v="15"/>
    <s v="Medical"/>
    <s v="1160"/>
    <x v="1"/>
    <x v="1"/>
    <n v="3"/>
    <n v="1"/>
    <x v="2"/>
    <x v="2"/>
    <x v="1"/>
    <n v="2610"/>
    <x v="1"/>
    <x v="1"/>
    <n v="3"/>
    <n v="2"/>
    <n v="2"/>
    <x v="4"/>
    <n v="2"/>
    <n v="2"/>
    <n v="2"/>
    <x v="2"/>
    <x v="1"/>
    <x v="1"/>
  </r>
  <r>
    <n v="37"/>
    <s v="No"/>
    <n v="0"/>
    <x v="0"/>
    <x v="1"/>
    <n v="25"/>
    <s v="Medical"/>
    <s v="1161"/>
    <x v="1"/>
    <x v="0"/>
    <n v="2"/>
    <n v="2"/>
    <x v="4"/>
    <x v="0"/>
    <x v="2"/>
    <n v="5731"/>
    <x v="0"/>
    <x v="1"/>
    <n v="3"/>
    <n v="9"/>
    <n v="3"/>
    <x v="0"/>
    <n v="2"/>
    <n v="1"/>
    <n v="3"/>
    <x v="0"/>
    <x v="0"/>
    <x v="0"/>
  </r>
  <r>
    <n v="27"/>
    <s v="No"/>
    <n v="0"/>
    <x v="0"/>
    <x v="1"/>
    <n v="6"/>
    <s v="Life Sciences"/>
    <s v="1162"/>
    <x v="2"/>
    <x v="1"/>
    <n v="2"/>
    <n v="1"/>
    <x v="1"/>
    <x v="2"/>
    <x v="1"/>
    <n v="2539"/>
    <x v="1"/>
    <x v="1"/>
    <n v="3"/>
    <n v="4"/>
    <n v="3"/>
    <x v="9"/>
    <n v="2"/>
    <n v="2"/>
    <n v="2"/>
    <x v="2"/>
    <x v="1"/>
    <x v="1"/>
  </r>
  <r>
    <n v="34"/>
    <s v="No"/>
    <n v="0"/>
    <x v="0"/>
    <x v="0"/>
    <n v="9"/>
    <s v="Life Sciences"/>
    <s v="1163"/>
    <x v="0"/>
    <x v="0"/>
    <n v="3"/>
    <n v="2"/>
    <x v="0"/>
    <x v="2"/>
    <x v="1"/>
    <n v="5714"/>
    <x v="0"/>
    <x v="1"/>
    <n v="4"/>
    <n v="6"/>
    <n v="2"/>
    <x v="0"/>
    <n v="5"/>
    <n v="1"/>
    <n v="3"/>
    <x v="2"/>
    <x v="0"/>
    <x v="0"/>
  </r>
  <r>
    <n v="35"/>
    <s v="No"/>
    <n v="0"/>
    <x v="0"/>
    <x v="2"/>
    <n v="8"/>
    <s v="Technical Degree"/>
    <s v="1164"/>
    <x v="1"/>
    <x v="1"/>
    <n v="3"/>
    <n v="1"/>
    <x v="8"/>
    <x v="2"/>
    <x v="0"/>
    <n v="4323"/>
    <x v="1"/>
    <x v="1"/>
    <n v="3"/>
    <n v="6"/>
    <n v="1"/>
    <x v="8"/>
    <n v="4"/>
    <n v="1"/>
    <n v="4"/>
    <x v="2"/>
    <x v="0"/>
    <x v="1"/>
  </r>
  <r>
    <n v="29"/>
    <s v="Yes"/>
    <n v="1"/>
    <x v="0"/>
    <x v="0"/>
    <n v="23"/>
    <s v="Life Sciences"/>
    <s v="1165"/>
    <x v="2"/>
    <x v="0"/>
    <n v="2"/>
    <n v="3"/>
    <x v="0"/>
    <x v="3"/>
    <x v="1"/>
    <n v="7336"/>
    <x v="0"/>
    <x v="1"/>
    <n v="3"/>
    <n v="11"/>
    <n v="1"/>
    <x v="19"/>
    <n v="8"/>
    <n v="3"/>
    <n v="10"/>
    <x v="2"/>
    <x v="0"/>
    <x v="2"/>
  </r>
  <r>
    <n v="40"/>
    <s v="No"/>
    <n v="0"/>
    <x v="1"/>
    <x v="1"/>
    <n v="9"/>
    <s v="Medical"/>
    <s v="1166"/>
    <x v="0"/>
    <x v="0"/>
    <n v="3"/>
    <n v="3"/>
    <x v="7"/>
    <x v="2"/>
    <x v="0"/>
    <n v="13499"/>
    <x v="2"/>
    <x v="1"/>
    <n v="3"/>
    <n v="20"/>
    <n v="2"/>
    <x v="29"/>
    <n v="7"/>
    <n v="2"/>
    <n v="13"/>
    <x v="0"/>
    <x v="2"/>
    <x v="2"/>
  </r>
  <r>
    <n v="42"/>
    <s v="Yes"/>
    <n v="1"/>
    <x v="1"/>
    <x v="0"/>
    <n v="12"/>
    <s v="Life Sciences"/>
    <s v="1167"/>
    <x v="1"/>
    <x v="1"/>
    <n v="3"/>
    <n v="4"/>
    <x v="0"/>
    <x v="3"/>
    <x v="0"/>
    <n v="13758"/>
    <x v="2"/>
    <x v="0"/>
    <n v="3"/>
    <n v="22"/>
    <n v="2"/>
    <x v="17"/>
    <n v="9"/>
    <n v="13"/>
    <n v="14"/>
    <x v="0"/>
    <x v="2"/>
    <x v="2"/>
  </r>
  <r>
    <n v="42"/>
    <s v="No"/>
    <n v="0"/>
    <x v="0"/>
    <x v="0"/>
    <n v="4"/>
    <s v="Marketing"/>
    <s v="1171"/>
    <x v="0"/>
    <x v="1"/>
    <n v="3"/>
    <n v="2"/>
    <x v="0"/>
    <x v="3"/>
    <x v="0"/>
    <n v="5155"/>
    <x v="0"/>
    <x v="1"/>
    <n v="3"/>
    <n v="9"/>
    <n v="4"/>
    <x v="0"/>
    <n v="4"/>
    <n v="1"/>
    <n v="5"/>
    <x v="0"/>
    <x v="0"/>
    <x v="0"/>
  </r>
  <r>
    <n v="35"/>
    <s v="No"/>
    <n v="0"/>
    <x v="0"/>
    <x v="1"/>
    <n v="1"/>
    <s v="Medical"/>
    <s v="1172"/>
    <x v="2"/>
    <x v="1"/>
    <n v="2"/>
    <n v="1"/>
    <x v="2"/>
    <x v="2"/>
    <x v="1"/>
    <n v="2258"/>
    <x v="1"/>
    <x v="1"/>
    <n v="3"/>
    <n v="10"/>
    <n v="3"/>
    <x v="3"/>
    <n v="0"/>
    <n v="1"/>
    <n v="7"/>
    <x v="2"/>
    <x v="0"/>
    <x v="0"/>
  </r>
  <r>
    <n v="24"/>
    <s v="No"/>
    <n v="0"/>
    <x v="0"/>
    <x v="1"/>
    <n v="24"/>
    <s v="Medical"/>
    <s v="1173"/>
    <x v="2"/>
    <x v="1"/>
    <n v="3"/>
    <n v="1"/>
    <x v="2"/>
    <x v="1"/>
    <x v="0"/>
    <n v="3597"/>
    <x v="1"/>
    <x v="1"/>
    <n v="4"/>
    <n v="6"/>
    <n v="3"/>
    <x v="9"/>
    <n v="3"/>
    <n v="1"/>
    <n v="2"/>
    <x v="3"/>
    <x v="0"/>
    <x v="1"/>
  </r>
  <r>
    <n v="28"/>
    <s v="Yes"/>
    <n v="1"/>
    <x v="0"/>
    <x v="1"/>
    <n v="12"/>
    <s v="Life Sciences"/>
    <s v="1175"/>
    <x v="1"/>
    <x v="0"/>
    <n v="3"/>
    <n v="1"/>
    <x v="2"/>
    <x v="0"/>
    <x v="1"/>
    <n v="2515"/>
    <x v="1"/>
    <x v="0"/>
    <n v="3"/>
    <n v="1"/>
    <n v="2"/>
    <x v="6"/>
    <n v="1"/>
    <n v="0"/>
    <n v="0"/>
    <x v="2"/>
    <x v="1"/>
    <x v="1"/>
  </r>
  <r>
    <n v="26"/>
    <s v="No"/>
    <n v="0"/>
    <x v="0"/>
    <x v="1"/>
    <n v="3"/>
    <s v="Medical"/>
    <s v="1177"/>
    <x v="3"/>
    <x v="1"/>
    <n v="4"/>
    <n v="1"/>
    <x v="2"/>
    <x v="0"/>
    <x v="1"/>
    <n v="4420"/>
    <x v="1"/>
    <x v="1"/>
    <n v="4"/>
    <n v="8"/>
    <n v="3"/>
    <x v="3"/>
    <n v="7"/>
    <n v="0"/>
    <n v="7"/>
    <x v="2"/>
    <x v="0"/>
    <x v="0"/>
  </r>
  <r>
    <n v="30"/>
    <s v="No"/>
    <n v="0"/>
    <x v="0"/>
    <x v="0"/>
    <n v="10"/>
    <s v="Marketing"/>
    <s v="1179"/>
    <x v="1"/>
    <x v="1"/>
    <n v="2"/>
    <n v="2"/>
    <x v="0"/>
    <x v="2"/>
    <x v="1"/>
    <n v="6578"/>
    <x v="0"/>
    <x v="1"/>
    <n v="3"/>
    <n v="10"/>
    <n v="3"/>
    <x v="1"/>
    <n v="3"/>
    <n v="1"/>
    <n v="4"/>
    <x v="2"/>
    <x v="0"/>
    <x v="0"/>
  </r>
  <r>
    <n v="40"/>
    <s v="No"/>
    <n v="0"/>
    <x v="1"/>
    <x v="1"/>
    <n v="26"/>
    <s v="Medical"/>
    <s v="1180"/>
    <x v="1"/>
    <x v="0"/>
    <n v="2"/>
    <n v="2"/>
    <x v="1"/>
    <x v="0"/>
    <x v="1"/>
    <n v="4422"/>
    <x v="1"/>
    <x v="0"/>
    <n v="3"/>
    <n v="16"/>
    <n v="1"/>
    <x v="6"/>
    <n v="1"/>
    <n v="0"/>
    <n v="0"/>
    <x v="0"/>
    <x v="2"/>
    <x v="1"/>
  </r>
  <r>
    <n v="35"/>
    <s v="No"/>
    <n v="0"/>
    <x v="0"/>
    <x v="1"/>
    <n v="2"/>
    <s v="Life Sciences"/>
    <s v="1182"/>
    <x v="1"/>
    <x v="1"/>
    <n v="2"/>
    <n v="3"/>
    <x v="3"/>
    <x v="1"/>
    <x v="2"/>
    <n v="10274"/>
    <x v="0"/>
    <x v="1"/>
    <n v="3"/>
    <n v="15"/>
    <n v="4"/>
    <x v="5"/>
    <n v="7"/>
    <n v="6"/>
    <n v="4"/>
    <x v="2"/>
    <x v="0"/>
    <x v="0"/>
  </r>
  <r>
    <n v="34"/>
    <s v="No"/>
    <n v="0"/>
    <x v="1"/>
    <x v="1"/>
    <n v="1"/>
    <s v="Medical"/>
    <s v="1184"/>
    <x v="2"/>
    <x v="1"/>
    <n v="2"/>
    <n v="2"/>
    <x v="4"/>
    <x v="3"/>
    <x v="0"/>
    <n v="5343"/>
    <x v="0"/>
    <x v="1"/>
    <n v="4"/>
    <n v="14"/>
    <n v="3"/>
    <x v="20"/>
    <n v="9"/>
    <n v="4"/>
    <n v="9"/>
    <x v="2"/>
    <x v="0"/>
    <x v="2"/>
  </r>
  <r>
    <n v="35"/>
    <s v="No"/>
    <n v="0"/>
    <x v="1"/>
    <x v="1"/>
    <n v="4"/>
    <s v="Other"/>
    <s v="1185"/>
    <x v="2"/>
    <x v="1"/>
    <n v="2"/>
    <n v="1"/>
    <x v="2"/>
    <x v="0"/>
    <x v="1"/>
    <n v="2376"/>
    <x v="1"/>
    <x v="1"/>
    <n v="3"/>
    <n v="2"/>
    <n v="4"/>
    <x v="4"/>
    <n v="2"/>
    <n v="2"/>
    <n v="2"/>
    <x v="2"/>
    <x v="1"/>
    <x v="1"/>
  </r>
  <r>
    <n v="43"/>
    <s v="Yes"/>
    <n v="1"/>
    <x v="0"/>
    <x v="0"/>
    <n v="9"/>
    <s v="Marketing"/>
    <s v="1188"/>
    <x v="3"/>
    <x v="0"/>
    <n v="1"/>
    <n v="2"/>
    <x v="0"/>
    <x v="2"/>
    <x v="0"/>
    <n v="5346"/>
    <x v="0"/>
    <x v="1"/>
    <n v="3"/>
    <n v="7"/>
    <n v="2"/>
    <x v="9"/>
    <n v="3"/>
    <n v="1"/>
    <n v="3"/>
    <x v="0"/>
    <x v="0"/>
    <x v="1"/>
  </r>
  <r>
    <n v="32"/>
    <s v="No"/>
    <n v="0"/>
    <x v="2"/>
    <x v="0"/>
    <n v="2"/>
    <s v="Life Sciences"/>
    <s v="1190"/>
    <x v="1"/>
    <x v="0"/>
    <n v="3"/>
    <n v="1"/>
    <x v="6"/>
    <x v="3"/>
    <x v="2"/>
    <n v="2827"/>
    <x v="1"/>
    <x v="1"/>
    <n v="3"/>
    <n v="1"/>
    <n v="3"/>
    <x v="6"/>
    <n v="0"/>
    <n v="0"/>
    <n v="0"/>
    <x v="2"/>
    <x v="1"/>
    <x v="1"/>
  </r>
  <r>
    <n v="56"/>
    <s v="No"/>
    <n v="0"/>
    <x v="0"/>
    <x v="1"/>
    <n v="4"/>
    <s v="Technical Degree"/>
    <s v="1191"/>
    <x v="2"/>
    <x v="0"/>
    <n v="3"/>
    <n v="5"/>
    <x v="5"/>
    <x v="3"/>
    <x v="2"/>
    <n v="19943"/>
    <x v="2"/>
    <x v="1"/>
    <n v="3"/>
    <n v="28"/>
    <n v="3"/>
    <x v="8"/>
    <n v="2"/>
    <n v="4"/>
    <n v="2"/>
    <x v="1"/>
    <x v="2"/>
    <x v="1"/>
  </r>
  <r>
    <n v="29"/>
    <s v="No"/>
    <n v="0"/>
    <x v="0"/>
    <x v="1"/>
    <n v="6"/>
    <s v="Medical"/>
    <s v="1192"/>
    <x v="0"/>
    <x v="0"/>
    <n v="3"/>
    <n v="1"/>
    <x v="2"/>
    <x v="0"/>
    <x v="1"/>
    <n v="3131"/>
    <x v="1"/>
    <x v="1"/>
    <n v="3"/>
    <n v="10"/>
    <n v="3"/>
    <x v="1"/>
    <n v="8"/>
    <n v="0"/>
    <n v="8"/>
    <x v="2"/>
    <x v="0"/>
    <x v="0"/>
  </r>
  <r>
    <n v="19"/>
    <s v="No"/>
    <n v="0"/>
    <x v="0"/>
    <x v="1"/>
    <n v="9"/>
    <s v="Life Sciences"/>
    <s v="1193"/>
    <x v="1"/>
    <x v="1"/>
    <n v="3"/>
    <n v="1"/>
    <x v="1"/>
    <x v="3"/>
    <x v="0"/>
    <n v="2552"/>
    <x v="1"/>
    <x v="1"/>
    <n v="4"/>
    <n v="1"/>
    <n v="3"/>
    <x v="6"/>
    <n v="1"/>
    <n v="0"/>
    <n v="0"/>
    <x v="3"/>
    <x v="1"/>
    <x v="1"/>
  </r>
  <r>
    <n v="45"/>
    <s v="No"/>
    <n v="0"/>
    <x v="0"/>
    <x v="1"/>
    <n v="7"/>
    <s v="Medical"/>
    <s v="1195"/>
    <x v="3"/>
    <x v="0"/>
    <n v="3"/>
    <n v="1"/>
    <x v="1"/>
    <x v="2"/>
    <x v="1"/>
    <n v="4477"/>
    <x v="1"/>
    <x v="0"/>
    <n v="3"/>
    <n v="7"/>
    <n v="2"/>
    <x v="11"/>
    <n v="2"/>
    <n v="0"/>
    <n v="2"/>
    <x v="0"/>
    <x v="0"/>
    <x v="1"/>
  </r>
  <r>
    <n v="37"/>
    <s v="No"/>
    <n v="0"/>
    <x v="0"/>
    <x v="1"/>
    <n v="1"/>
    <s v="Life Sciences"/>
    <s v="1196"/>
    <x v="2"/>
    <x v="0"/>
    <n v="2"/>
    <n v="2"/>
    <x v="3"/>
    <x v="0"/>
    <x v="1"/>
    <n v="6474"/>
    <x v="0"/>
    <x v="1"/>
    <n v="3"/>
    <n v="14"/>
    <n v="2"/>
    <x v="13"/>
    <n v="8"/>
    <n v="3"/>
    <n v="11"/>
    <x v="0"/>
    <x v="0"/>
    <x v="2"/>
  </r>
  <r>
    <n v="20"/>
    <s v="No"/>
    <n v="0"/>
    <x v="0"/>
    <x v="1"/>
    <n v="3"/>
    <s v="Life Sciences"/>
    <s v="1198"/>
    <x v="3"/>
    <x v="1"/>
    <n v="2"/>
    <n v="1"/>
    <x v="2"/>
    <x v="2"/>
    <x v="0"/>
    <n v="3033"/>
    <x v="1"/>
    <x v="1"/>
    <n v="3"/>
    <n v="2"/>
    <n v="2"/>
    <x v="4"/>
    <n v="2"/>
    <n v="1"/>
    <n v="2"/>
    <x v="3"/>
    <x v="1"/>
    <x v="1"/>
  </r>
  <r>
    <n v="44"/>
    <s v="Yes"/>
    <n v="1"/>
    <x v="0"/>
    <x v="1"/>
    <n v="10"/>
    <s v="Life Sciences"/>
    <s v="1200"/>
    <x v="1"/>
    <x v="1"/>
    <n v="3"/>
    <n v="1"/>
    <x v="1"/>
    <x v="2"/>
    <x v="0"/>
    <n v="2936"/>
    <x v="1"/>
    <x v="0"/>
    <n v="3"/>
    <n v="6"/>
    <n v="3"/>
    <x v="0"/>
    <n v="4"/>
    <n v="0"/>
    <n v="2"/>
    <x v="0"/>
    <x v="0"/>
    <x v="0"/>
  </r>
  <r>
    <n v="53"/>
    <s v="No"/>
    <n v="0"/>
    <x v="0"/>
    <x v="1"/>
    <n v="7"/>
    <s v="Medical"/>
    <s v="1201"/>
    <x v="2"/>
    <x v="0"/>
    <n v="3"/>
    <n v="5"/>
    <x v="5"/>
    <x v="2"/>
    <x v="2"/>
    <n v="18606"/>
    <x v="2"/>
    <x v="1"/>
    <n v="3"/>
    <n v="26"/>
    <n v="3"/>
    <x v="5"/>
    <n v="7"/>
    <n v="4"/>
    <n v="7"/>
    <x v="1"/>
    <x v="2"/>
    <x v="0"/>
  </r>
  <r>
    <n v="29"/>
    <s v="No"/>
    <n v="0"/>
    <x v="0"/>
    <x v="1"/>
    <n v="15"/>
    <s v="Life Sciences"/>
    <s v="1202"/>
    <x v="0"/>
    <x v="0"/>
    <n v="1"/>
    <n v="1"/>
    <x v="1"/>
    <x v="0"/>
    <x v="1"/>
    <n v="2168"/>
    <x v="1"/>
    <x v="0"/>
    <n v="3"/>
    <n v="6"/>
    <n v="2"/>
    <x v="8"/>
    <n v="4"/>
    <n v="1"/>
    <n v="3"/>
    <x v="2"/>
    <x v="0"/>
    <x v="1"/>
  </r>
  <r>
    <n v="22"/>
    <s v="Yes"/>
    <n v="1"/>
    <x v="1"/>
    <x v="1"/>
    <n v="3"/>
    <s v="Life Sciences"/>
    <s v="1203"/>
    <x v="1"/>
    <x v="1"/>
    <n v="2"/>
    <n v="1"/>
    <x v="1"/>
    <x v="0"/>
    <x v="1"/>
    <n v="2853"/>
    <x v="1"/>
    <x v="0"/>
    <n v="3"/>
    <n v="1"/>
    <n v="3"/>
    <x v="2"/>
    <n v="0"/>
    <n v="0"/>
    <n v="0"/>
    <x v="3"/>
    <x v="1"/>
    <x v="1"/>
  </r>
  <r>
    <n v="46"/>
    <s v="No"/>
    <n v="0"/>
    <x v="0"/>
    <x v="0"/>
    <n v="2"/>
    <s v="Marketing"/>
    <s v="1204"/>
    <x v="1"/>
    <x v="0"/>
    <n v="3"/>
    <n v="4"/>
    <x v="5"/>
    <x v="3"/>
    <x v="1"/>
    <n v="17048"/>
    <x v="2"/>
    <x v="1"/>
    <n v="4"/>
    <n v="28"/>
    <n v="3"/>
    <x v="34"/>
    <n v="15"/>
    <n v="15"/>
    <n v="9"/>
    <x v="1"/>
    <x v="2"/>
    <x v="2"/>
  </r>
  <r>
    <n v="44"/>
    <s v="No"/>
    <n v="0"/>
    <x v="2"/>
    <x v="1"/>
    <n v="17"/>
    <s v="Life Sciences"/>
    <s v="1206"/>
    <x v="2"/>
    <x v="1"/>
    <n v="1"/>
    <n v="1"/>
    <x v="1"/>
    <x v="2"/>
    <x v="0"/>
    <n v="2290"/>
    <x v="1"/>
    <x v="1"/>
    <n v="3"/>
    <n v="6"/>
    <n v="3"/>
    <x v="2"/>
    <n v="0"/>
    <n v="0"/>
    <n v="0"/>
    <x v="0"/>
    <x v="0"/>
    <x v="1"/>
  </r>
  <r>
    <n v="33"/>
    <s v="No"/>
    <n v="0"/>
    <x v="0"/>
    <x v="2"/>
    <n v="2"/>
    <s v="Human Resources"/>
    <s v="1207"/>
    <x v="0"/>
    <x v="1"/>
    <n v="3"/>
    <n v="1"/>
    <x v="8"/>
    <x v="2"/>
    <x v="1"/>
    <n v="3600"/>
    <x v="1"/>
    <x v="1"/>
    <n v="3"/>
    <n v="5"/>
    <n v="3"/>
    <x v="8"/>
    <n v="4"/>
    <n v="1"/>
    <n v="4"/>
    <x v="2"/>
    <x v="1"/>
    <x v="1"/>
  </r>
  <r>
    <n v="41"/>
    <s v="Yes"/>
    <n v="1"/>
    <x v="2"/>
    <x v="1"/>
    <n v="5"/>
    <s v="Life Sciences"/>
    <s v="1210"/>
    <x v="3"/>
    <x v="1"/>
    <n v="2"/>
    <n v="1"/>
    <x v="1"/>
    <x v="3"/>
    <x v="2"/>
    <n v="2107"/>
    <x v="1"/>
    <x v="1"/>
    <n v="3"/>
    <n v="5"/>
    <n v="1"/>
    <x v="6"/>
    <n v="0"/>
    <n v="0"/>
    <n v="0"/>
    <x v="0"/>
    <x v="1"/>
    <x v="1"/>
  </r>
  <r>
    <n v="30"/>
    <s v="No"/>
    <n v="0"/>
    <x v="0"/>
    <x v="0"/>
    <n v="29"/>
    <s v="Life Sciences"/>
    <s v="1211"/>
    <x v="1"/>
    <x v="1"/>
    <n v="3"/>
    <n v="2"/>
    <x v="0"/>
    <x v="3"/>
    <x v="2"/>
    <n v="4115"/>
    <x v="1"/>
    <x v="1"/>
    <n v="3"/>
    <n v="8"/>
    <n v="3"/>
    <x v="9"/>
    <n v="3"/>
    <n v="0"/>
    <n v="3"/>
    <x v="2"/>
    <x v="0"/>
    <x v="1"/>
  </r>
  <r>
    <n v="40"/>
    <s v="No"/>
    <n v="0"/>
    <x v="1"/>
    <x v="0"/>
    <n v="2"/>
    <s v="Medical"/>
    <s v="1212"/>
    <x v="0"/>
    <x v="1"/>
    <n v="3"/>
    <n v="2"/>
    <x v="0"/>
    <x v="1"/>
    <x v="1"/>
    <n v="4327"/>
    <x v="1"/>
    <x v="1"/>
    <n v="3"/>
    <n v="5"/>
    <n v="3"/>
    <x v="2"/>
    <n v="0"/>
    <n v="0"/>
    <n v="0"/>
    <x v="0"/>
    <x v="1"/>
    <x v="1"/>
  </r>
  <r>
    <n v="50"/>
    <s v="No"/>
    <n v="0"/>
    <x v="1"/>
    <x v="1"/>
    <n v="2"/>
    <s v="Medical"/>
    <s v="1215"/>
    <x v="2"/>
    <x v="0"/>
    <n v="3"/>
    <n v="4"/>
    <x v="5"/>
    <x v="3"/>
    <x v="1"/>
    <n v="17856"/>
    <x v="2"/>
    <x v="1"/>
    <n v="4"/>
    <n v="32"/>
    <n v="3"/>
    <x v="4"/>
    <n v="2"/>
    <n v="2"/>
    <n v="2"/>
    <x v="1"/>
    <x v="2"/>
    <x v="1"/>
  </r>
  <r>
    <n v="28"/>
    <s v="No"/>
    <n v="0"/>
    <x v="0"/>
    <x v="1"/>
    <n v="19"/>
    <s v="Medical"/>
    <s v="1216"/>
    <x v="2"/>
    <x v="1"/>
    <n v="2"/>
    <n v="1"/>
    <x v="2"/>
    <x v="3"/>
    <x v="1"/>
    <n v="3196"/>
    <x v="1"/>
    <x v="1"/>
    <n v="3"/>
    <n v="6"/>
    <n v="3"/>
    <x v="0"/>
    <n v="5"/>
    <n v="3"/>
    <n v="3"/>
    <x v="2"/>
    <x v="0"/>
    <x v="0"/>
  </r>
  <r>
    <n v="46"/>
    <s v="No"/>
    <n v="0"/>
    <x v="0"/>
    <x v="1"/>
    <n v="15"/>
    <s v="Life Sciences"/>
    <s v="1217"/>
    <x v="2"/>
    <x v="1"/>
    <n v="3"/>
    <n v="5"/>
    <x v="7"/>
    <x v="1"/>
    <x v="1"/>
    <n v="19081"/>
    <x v="2"/>
    <x v="1"/>
    <n v="3"/>
    <n v="25"/>
    <n v="3"/>
    <x v="9"/>
    <n v="2"/>
    <n v="0"/>
    <n v="3"/>
    <x v="1"/>
    <x v="2"/>
    <x v="1"/>
  </r>
  <r>
    <n v="35"/>
    <s v="No"/>
    <n v="0"/>
    <x v="0"/>
    <x v="0"/>
    <n v="17"/>
    <s v="Life Sciences"/>
    <s v="1218"/>
    <x v="1"/>
    <x v="1"/>
    <n v="3"/>
    <n v="2"/>
    <x v="0"/>
    <x v="3"/>
    <x v="1"/>
    <n v="8966"/>
    <x v="0"/>
    <x v="0"/>
    <n v="3"/>
    <n v="15"/>
    <n v="3"/>
    <x v="5"/>
    <n v="7"/>
    <n v="1"/>
    <n v="7"/>
    <x v="2"/>
    <x v="0"/>
    <x v="0"/>
  </r>
  <r>
    <n v="24"/>
    <s v="Yes"/>
    <n v="1"/>
    <x v="0"/>
    <x v="1"/>
    <n v="17"/>
    <s v="Life Sciences"/>
    <s v="1219"/>
    <x v="2"/>
    <x v="0"/>
    <n v="3"/>
    <n v="1"/>
    <x v="2"/>
    <x v="1"/>
    <x v="1"/>
    <n v="2210"/>
    <x v="1"/>
    <x v="1"/>
    <n v="3"/>
    <n v="1"/>
    <n v="1"/>
    <x v="6"/>
    <n v="0"/>
    <n v="0"/>
    <n v="0"/>
    <x v="3"/>
    <x v="1"/>
    <x v="1"/>
  </r>
  <r>
    <n v="33"/>
    <s v="No"/>
    <n v="0"/>
    <x v="1"/>
    <x v="0"/>
    <n v="25"/>
    <s v="Medical"/>
    <s v="1220"/>
    <x v="0"/>
    <x v="0"/>
    <n v="3"/>
    <n v="2"/>
    <x v="0"/>
    <x v="2"/>
    <x v="1"/>
    <n v="4539"/>
    <x v="1"/>
    <x v="1"/>
    <n v="3"/>
    <n v="10"/>
    <n v="2"/>
    <x v="1"/>
    <n v="7"/>
    <n v="0"/>
    <n v="1"/>
    <x v="2"/>
    <x v="0"/>
    <x v="0"/>
  </r>
  <r>
    <n v="36"/>
    <s v="No"/>
    <n v="0"/>
    <x v="0"/>
    <x v="1"/>
    <n v="6"/>
    <s v="Life Sciences"/>
    <s v="1221"/>
    <x v="1"/>
    <x v="1"/>
    <n v="1"/>
    <n v="1"/>
    <x v="2"/>
    <x v="2"/>
    <x v="2"/>
    <n v="2741"/>
    <x v="1"/>
    <x v="1"/>
    <n v="3"/>
    <n v="7"/>
    <n v="3"/>
    <x v="5"/>
    <n v="7"/>
    <n v="1"/>
    <n v="7"/>
    <x v="0"/>
    <x v="0"/>
    <x v="0"/>
  </r>
  <r>
    <n v="30"/>
    <s v="No"/>
    <n v="0"/>
    <x v="0"/>
    <x v="1"/>
    <n v="7"/>
    <s v="Life Sciences"/>
    <s v="1224"/>
    <x v="1"/>
    <x v="1"/>
    <n v="3"/>
    <n v="2"/>
    <x v="2"/>
    <x v="2"/>
    <x v="2"/>
    <n v="3491"/>
    <x v="1"/>
    <x v="1"/>
    <n v="3"/>
    <n v="10"/>
    <n v="2"/>
    <x v="1"/>
    <n v="7"/>
    <n v="8"/>
    <n v="9"/>
    <x v="2"/>
    <x v="0"/>
    <x v="0"/>
  </r>
  <r>
    <n v="44"/>
    <s v="No"/>
    <n v="0"/>
    <x v="0"/>
    <x v="1"/>
    <n v="29"/>
    <s v="Other"/>
    <s v="1225"/>
    <x v="2"/>
    <x v="1"/>
    <n v="3"/>
    <n v="2"/>
    <x v="1"/>
    <x v="0"/>
    <x v="0"/>
    <n v="4541"/>
    <x v="1"/>
    <x v="1"/>
    <n v="4"/>
    <n v="20"/>
    <n v="3"/>
    <x v="23"/>
    <n v="11"/>
    <n v="13"/>
    <n v="17"/>
    <x v="0"/>
    <x v="2"/>
    <x v="2"/>
  </r>
  <r>
    <n v="20"/>
    <s v="No"/>
    <n v="0"/>
    <x v="0"/>
    <x v="0"/>
    <n v="21"/>
    <s v="Marketing"/>
    <s v="1226"/>
    <x v="1"/>
    <x v="1"/>
    <n v="4"/>
    <n v="1"/>
    <x v="6"/>
    <x v="0"/>
    <x v="0"/>
    <n v="2678"/>
    <x v="1"/>
    <x v="1"/>
    <n v="3"/>
    <n v="2"/>
    <n v="3"/>
    <x v="4"/>
    <n v="1"/>
    <n v="2"/>
    <n v="2"/>
    <x v="3"/>
    <x v="1"/>
    <x v="1"/>
  </r>
  <r>
    <n v="46"/>
    <s v="No"/>
    <n v="0"/>
    <x v="0"/>
    <x v="1"/>
    <n v="2"/>
    <s v="Technical Degree"/>
    <s v="1228"/>
    <x v="2"/>
    <x v="1"/>
    <n v="3"/>
    <n v="2"/>
    <x v="3"/>
    <x v="0"/>
    <x v="2"/>
    <n v="7379"/>
    <x v="0"/>
    <x v="1"/>
    <n v="3"/>
    <n v="12"/>
    <n v="2"/>
    <x v="0"/>
    <n v="3"/>
    <n v="1"/>
    <n v="4"/>
    <x v="1"/>
    <x v="0"/>
    <x v="0"/>
  </r>
  <r>
    <n v="42"/>
    <s v="No"/>
    <n v="0"/>
    <x v="2"/>
    <x v="2"/>
    <n v="2"/>
    <s v="Medical"/>
    <s v="1231"/>
    <x v="2"/>
    <x v="1"/>
    <n v="4"/>
    <n v="2"/>
    <x v="8"/>
    <x v="3"/>
    <x v="1"/>
    <n v="6272"/>
    <x v="0"/>
    <x v="1"/>
    <n v="3"/>
    <n v="10"/>
    <n v="4"/>
    <x v="9"/>
    <n v="3"/>
    <n v="0"/>
    <n v="3"/>
    <x v="0"/>
    <x v="0"/>
    <x v="1"/>
  </r>
  <r>
    <n v="60"/>
    <s v="No"/>
    <n v="0"/>
    <x v="0"/>
    <x v="0"/>
    <n v="7"/>
    <s v="Marketing"/>
    <s v="1233"/>
    <x v="0"/>
    <x v="1"/>
    <n v="4"/>
    <n v="2"/>
    <x v="0"/>
    <x v="0"/>
    <x v="2"/>
    <n v="5220"/>
    <x v="0"/>
    <x v="0"/>
    <n v="3"/>
    <n v="12"/>
    <n v="3"/>
    <x v="19"/>
    <n v="7"/>
    <n v="1"/>
    <n v="9"/>
    <x v="1"/>
    <x v="0"/>
    <x v="2"/>
  </r>
  <r>
    <n v="32"/>
    <s v="No"/>
    <n v="0"/>
    <x v="1"/>
    <x v="1"/>
    <n v="13"/>
    <s v="Other"/>
    <s v="1234"/>
    <x v="1"/>
    <x v="0"/>
    <n v="2"/>
    <n v="1"/>
    <x v="2"/>
    <x v="1"/>
    <x v="1"/>
    <n v="2743"/>
    <x v="1"/>
    <x v="1"/>
    <n v="4"/>
    <n v="2"/>
    <n v="3"/>
    <x v="4"/>
    <n v="2"/>
    <n v="2"/>
    <n v="2"/>
    <x v="2"/>
    <x v="1"/>
    <x v="1"/>
  </r>
  <r>
    <n v="32"/>
    <s v="No"/>
    <n v="0"/>
    <x v="1"/>
    <x v="1"/>
    <n v="2"/>
    <s v="Life Sciences"/>
    <s v="1235"/>
    <x v="2"/>
    <x v="0"/>
    <n v="3"/>
    <n v="2"/>
    <x v="1"/>
    <x v="2"/>
    <x v="0"/>
    <n v="4998"/>
    <x v="1"/>
    <x v="0"/>
    <n v="3"/>
    <n v="10"/>
    <n v="3"/>
    <x v="3"/>
    <n v="7"/>
    <n v="0"/>
    <n v="7"/>
    <x v="2"/>
    <x v="0"/>
    <x v="0"/>
  </r>
  <r>
    <n v="36"/>
    <s v="No"/>
    <n v="0"/>
    <x v="0"/>
    <x v="1"/>
    <n v="1"/>
    <s v="Technical Degree"/>
    <s v="1237"/>
    <x v="1"/>
    <x v="0"/>
    <n v="1"/>
    <n v="3"/>
    <x v="3"/>
    <x v="3"/>
    <x v="2"/>
    <n v="10252"/>
    <x v="0"/>
    <x v="0"/>
    <n v="4"/>
    <n v="17"/>
    <n v="3"/>
    <x v="5"/>
    <n v="7"/>
    <n v="7"/>
    <n v="7"/>
    <x v="0"/>
    <x v="2"/>
    <x v="0"/>
  </r>
  <r>
    <n v="33"/>
    <s v="No"/>
    <n v="0"/>
    <x v="0"/>
    <x v="1"/>
    <n v="9"/>
    <s v="Medical"/>
    <s v="1238"/>
    <x v="3"/>
    <x v="1"/>
    <n v="3"/>
    <n v="1"/>
    <x v="1"/>
    <x v="0"/>
    <x v="1"/>
    <n v="2781"/>
    <x v="1"/>
    <x v="1"/>
    <n v="3"/>
    <n v="15"/>
    <n v="3"/>
    <x v="13"/>
    <n v="10"/>
    <n v="4"/>
    <n v="10"/>
    <x v="2"/>
    <x v="0"/>
    <x v="2"/>
  </r>
  <r>
    <n v="40"/>
    <s v="No"/>
    <n v="0"/>
    <x v="0"/>
    <x v="0"/>
    <n v="10"/>
    <s v="Technical Degree"/>
    <s v="1239"/>
    <x v="0"/>
    <x v="0"/>
    <n v="2"/>
    <n v="2"/>
    <x v="0"/>
    <x v="1"/>
    <x v="2"/>
    <n v="6852"/>
    <x v="0"/>
    <x v="1"/>
    <n v="3"/>
    <n v="7"/>
    <n v="4"/>
    <x v="8"/>
    <n v="1"/>
    <n v="1"/>
    <n v="3"/>
    <x v="0"/>
    <x v="0"/>
    <x v="1"/>
  </r>
  <r>
    <n v="25"/>
    <s v="No"/>
    <n v="0"/>
    <x v="0"/>
    <x v="0"/>
    <n v="10"/>
    <s v="Life Sciences"/>
    <s v="1240"/>
    <x v="1"/>
    <x v="1"/>
    <n v="3"/>
    <n v="2"/>
    <x v="0"/>
    <x v="0"/>
    <x v="0"/>
    <n v="4950"/>
    <x v="1"/>
    <x v="1"/>
    <n v="3"/>
    <n v="5"/>
    <n v="3"/>
    <x v="9"/>
    <n v="3"/>
    <n v="1"/>
    <n v="1"/>
    <x v="3"/>
    <x v="1"/>
    <x v="1"/>
  </r>
  <r>
    <n v="30"/>
    <s v="No"/>
    <n v="0"/>
    <x v="0"/>
    <x v="1"/>
    <n v="1"/>
    <s v="Medical"/>
    <s v="1241"/>
    <x v="2"/>
    <x v="1"/>
    <n v="3"/>
    <n v="1"/>
    <x v="1"/>
    <x v="1"/>
    <x v="1"/>
    <n v="3579"/>
    <x v="1"/>
    <x v="0"/>
    <n v="4"/>
    <n v="12"/>
    <n v="3"/>
    <x v="19"/>
    <n v="9"/>
    <n v="5"/>
    <n v="7"/>
    <x v="2"/>
    <x v="0"/>
    <x v="2"/>
  </r>
  <r>
    <n v="42"/>
    <s v="No"/>
    <n v="0"/>
    <x v="1"/>
    <x v="1"/>
    <n v="26"/>
    <s v="Medical"/>
    <s v="1242"/>
    <x v="3"/>
    <x v="0"/>
    <n v="3"/>
    <n v="3"/>
    <x v="7"/>
    <x v="3"/>
    <x v="1"/>
    <n v="13191"/>
    <x v="2"/>
    <x v="0"/>
    <n v="3"/>
    <n v="20"/>
    <n v="3"/>
    <x v="6"/>
    <n v="0"/>
    <n v="0"/>
    <n v="0"/>
    <x v="0"/>
    <x v="2"/>
    <x v="1"/>
  </r>
  <r>
    <n v="35"/>
    <s v="No"/>
    <n v="0"/>
    <x v="2"/>
    <x v="0"/>
    <n v="8"/>
    <s v="Marketing"/>
    <s v="1243"/>
    <x v="1"/>
    <x v="0"/>
    <n v="2"/>
    <n v="3"/>
    <x v="0"/>
    <x v="0"/>
    <x v="1"/>
    <n v="10377"/>
    <x v="0"/>
    <x v="0"/>
    <n v="3"/>
    <n v="16"/>
    <n v="2"/>
    <x v="20"/>
    <n v="2"/>
    <n v="4"/>
    <n v="12"/>
    <x v="2"/>
    <x v="2"/>
    <x v="2"/>
  </r>
  <r>
    <n v="27"/>
    <s v="No"/>
    <n v="0"/>
    <x v="0"/>
    <x v="1"/>
    <n v="14"/>
    <s v="Life Sciences"/>
    <s v="1244"/>
    <x v="3"/>
    <x v="1"/>
    <n v="3"/>
    <n v="1"/>
    <x v="1"/>
    <x v="3"/>
    <x v="1"/>
    <n v="2235"/>
    <x v="1"/>
    <x v="0"/>
    <n v="3"/>
    <n v="9"/>
    <n v="2"/>
    <x v="7"/>
    <n v="7"/>
    <n v="6"/>
    <n v="8"/>
    <x v="2"/>
    <x v="0"/>
    <x v="0"/>
  </r>
  <r>
    <n v="54"/>
    <s v="No"/>
    <n v="0"/>
    <x v="1"/>
    <x v="1"/>
    <n v="1"/>
    <s v="Life Sciences"/>
    <s v="1245"/>
    <x v="2"/>
    <x v="0"/>
    <n v="3"/>
    <n v="3"/>
    <x v="3"/>
    <x v="2"/>
    <x v="2"/>
    <n v="10502"/>
    <x v="0"/>
    <x v="1"/>
    <n v="3"/>
    <n v="33"/>
    <n v="1"/>
    <x v="8"/>
    <n v="4"/>
    <n v="1"/>
    <n v="4"/>
    <x v="1"/>
    <x v="2"/>
    <x v="1"/>
  </r>
  <r>
    <n v="44"/>
    <s v="No"/>
    <n v="0"/>
    <x v="0"/>
    <x v="1"/>
    <n v="2"/>
    <s v="Life Sciences"/>
    <s v="1246"/>
    <x v="3"/>
    <x v="0"/>
    <n v="4"/>
    <n v="1"/>
    <x v="1"/>
    <x v="0"/>
    <x v="1"/>
    <n v="2011"/>
    <x v="1"/>
    <x v="1"/>
    <n v="3"/>
    <n v="10"/>
    <n v="3"/>
    <x v="1"/>
    <n v="5"/>
    <n v="7"/>
    <n v="7"/>
    <x v="0"/>
    <x v="0"/>
    <x v="0"/>
  </r>
  <r>
    <n v="19"/>
    <s v="Yes"/>
    <n v="1"/>
    <x v="2"/>
    <x v="1"/>
    <n v="10"/>
    <s v="Medical"/>
    <s v="1248"/>
    <x v="3"/>
    <x v="0"/>
    <n v="2"/>
    <n v="1"/>
    <x v="1"/>
    <x v="1"/>
    <x v="0"/>
    <n v="1859"/>
    <x v="1"/>
    <x v="0"/>
    <n v="4"/>
    <n v="1"/>
    <n v="4"/>
    <x v="6"/>
    <n v="1"/>
    <n v="0"/>
    <n v="0"/>
    <x v="3"/>
    <x v="1"/>
    <x v="1"/>
  </r>
  <r>
    <n v="29"/>
    <s v="No"/>
    <n v="0"/>
    <x v="0"/>
    <x v="1"/>
    <n v="1"/>
    <s v="Life Sciences"/>
    <s v="1249"/>
    <x v="3"/>
    <x v="0"/>
    <n v="3"/>
    <n v="1"/>
    <x v="1"/>
    <x v="0"/>
    <x v="2"/>
    <n v="3760"/>
    <x v="1"/>
    <x v="1"/>
    <n v="3"/>
    <n v="3"/>
    <n v="3"/>
    <x v="11"/>
    <n v="2"/>
    <n v="1"/>
    <n v="2"/>
    <x v="2"/>
    <x v="1"/>
    <x v="1"/>
  </r>
  <r>
    <n v="54"/>
    <s v="No"/>
    <n v="0"/>
    <x v="0"/>
    <x v="1"/>
    <n v="3"/>
    <s v="Life Sciences"/>
    <s v="1250"/>
    <x v="2"/>
    <x v="1"/>
    <n v="3"/>
    <n v="4"/>
    <x v="7"/>
    <x v="0"/>
    <x v="1"/>
    <n v="17779"/>
    <x v="2"/>
    <x v="1"/>
    <n v="3"/>
    <n v="36"/>
    <n v="3"/>
    <x v="1"/>
    <n v="9"/>
    <n v="0"/>
    <n v="9"/>
    <x v="1"/>
    <x v="2"/>
    <x v="0"/>
  </r>
  <r>
    <n v="31"/>
    <s v="No"/>
    <n v="0"/>
    <x v="0"/>
    <x v="1"/>
    <n v="11"/>
    <s v="Medical"/>
    <s v="1251"/>
    <x v="1"/>
    <x v="1"/>
    <n v="3"/>
    <n v="2"/>
    <x v="4"/>
    <x v="3"/>
    <x v="1"/>
    <n v="6833"/>
    <x v="0"/>
    <x v="0"/>
    <n v="3"/>
    <n v="6"/>
    <n v="2"/>
    <x v="0"/>
    <n v="5"/>
    <n v="0"/>
    <n v="1"/>
    <x v="2"/>
    <x v="0"/>
    <x v="0"/>
  </r>
  <r>
    <n v="31"/>
    <s v="No"/>
    <n v="0"/>
    <x v="0"/>
    <x v="1"/>
    <n v="24"/>
    <s v="Medical"/>
    <s v="1252"/>
    <x v="1"/>
    <x v="0"/>
    <n v="2"/>
    <n v="2"/>
    <x v="4"/>
    <x v="3"/>
    <x v="0"/>
    <n v="6812"/>
    <x v="0"/>
    <x v="1"/>
    <n v="3"/>
    <n v="10"/>
    <n v="3"/>
    <x v="1"/>
    <n v="9"/>
    <n v="1"/>
    <n v="8"/>
    <x v="2"/>
    <x v="0"/>
    <x v="0"/>
  </r>
  <r>
    <n v="59"/>
    <s v="No"/>
    <n v="0"/>
    <x v="0"/>
    <x v="0"/>
    <n v="3"/>
    <s v="Life Sciences"/>
    <s v="1254"/>
    <x v="1"/>
    <x v="0"/>
    <n v="2"/>
    <n v="2"/>
    <x v="0"/>
    <x v="0"/>
    <x v="0"/>
    <n v="5171"/>
    <x v="0"/>
    <x v="1"/>
    <n v="3"/>
    <n v="13"/>
    <n v="3"/>
    <x v="0"/>
    <n v="1"/>
    <n v="0"/>
    <n v="5"/>
    <x v="1"/>
    <x v="0"/>
    <x v="0"/>
  </r>
  <r>
    <n v="43"/>
    <s v="No"/>
    <n v="0"/>
    <x v="0"/>
    <x v="1"/>
    <n v="3"/>
    <s v="Life Sciences"/>
    <s v="1255"/>
    <x v="1"/>
    <x v="1"/>
    <n v="1"/>
    <n v="5"/>
    <x v="7"/>
    <x v="0"/>
    <x v="1"/>
    <n v="19740"/>
    <x v="2"/>
    <x v="1"/>
    <n v="3"/>
    <n v="25"/>
    <n v="3"/>
    <x v="3"/>
    <n v="7"/>
    <n v="0"/>
    <n v="7"/>
    <x v="0"/>
    <x v="2"/>
    <x v="0"/>
  </r>
  <r>
    <n v="49"/>
    <s v="No"/>
    <n v="0"/>
    <x v="0"/>
    <x v="1"/>
    <n v="4"/>
    <s v="Medical"/>
    <s v="1256"/>
    <x v="3"/>
    <x v="1"/>
    <n v="2"/>
    <n v="5"/>
    <x v="5"/>
    <x v="2"/>
    <x v="1"/>
    <n v="18711"/>
    <x v="2"/>
    <x v="1"/>
    <n v="3"/>
    <n v="23"/>
    <n v="4"/>
    <x v="6"/>
    <n v="0"/>
    <n v="0"/>
    <n v="0"/>
    <x v="1"/>
    <x v="2"/>
    <x v="1"/>
  </r>
  <r>
    <n v="36"/>
    <s v="No"/>
    <n v="0"/>
    <x v="1"/>
    <x v="1"/>
    <n v="3"/>
    <s v="Technical Degree"/>
    <s v="1257"/>
    <x v="1"/>
    <x v="1"/>
    <n v="3"/>
    <n v="1"/>
    <x v="1"/>
    <x v="1"/>
    <x v="1"/>
    <n v="3692"/>
    <x v="1"/>
    <x v="1"/>
    <n v="3"/>
    <n v="12"/>
    <n v="2"/>
    <x v="19"/>
    <n v="10"/>
    <n v="0"/>
    <n v="7"/>
    <x v="0"/>
    <x v="0"/>
    <x v="2"/>
  </r>
  <r>
    <n v="48"/>
    <s v="No"/>
    <n v="0"/>
    <x v="0"/>
    <x v="1"/>
    <n v="2"/>
    <s v="Technical Degree"/>
    <s v="1258"/>
    <x v="2"/>
    <x v="1"/>
    <n v="4"/>
    <n v="1"/>
    <x v="2"/>
    <x v="1"/>
    <x v="0"/>
    <n v="2559"/>
    <x v="1"/>
    <x v="1"/>
    <n v="3"/>
    <n v="7"/>
    <n v="2"/>
    <x v="6"/>
    <n v="0"/>
    <n v="0"/>
    <n v="0"/>
    <x v="1"/>
    <x v="0"/>
    <x v="1"/>
  </r>
  <r>
    <n v="27"/>
    <s v="No"/>
    <n v="0"/>
    <x v="0"/>
    <x v="1"/>
    <n v="4"/>
    <s v="Life Sciences"/>
    <s v="1259"/>
    <x v="3"/>
    <x v="1"/>
    <n v="3"/>
    <n v="1"/>
    <x v="1"/>
    <x v="2"/>
    <x v="2"/>
    <n v="2517"/>
    <x v="1"/>
    <x v="1"/>
    <n v="3"/>
    <n v="5"/>
    <n v="3"/>
    <x v="8"/>
    <n v="3"/>
    <n v="0"/>
    <n v="3"/>
    <x v="2"/>
    <x v="1"/>
    <x v="1"/>
  </r>
  <r>
    <n v="29"/>
    <s v="No"/>
    <n v="0"/>
    <x v="0"/>
    <x v="1"/>
    <n v="7"/>
    <s v="Life Sciences"/>
    <s v="1260"/>
    <x v="1"/>
    <x v="1"/>
    <n v="3"/>
    <n v="2"/>
    <x v="4"/>
    <x v="0"/>
    <x v="2"/>
    <n v="6623"/>
    <x v="0"/>
    <x v="0"/>
    <n v="3"/>
    <n v="6"/>
    <n v="3"/>
    <x v="0"/>
    <n v="0"/>
    <n v="1"/>
    <n v="0"/>
    <x v="2"/>
    <x v="0"/>
    <x v="0"/>
  </r>
  <r>
    <n v="48"/>
    <s v="No"/>
    <n v="0"/>
    <x v="0"/>
    <x v="1"/>
    <n v="1"/>
    <s v="Life Sciences"/>
    <s v="1263"/>
    <x v="2"/>
    <x v="1"/>
    <n v="2"/>
    <n v="5"/>
    <x v="7"/>
    <x v="0"/>
    <x v="0"/>
    <n v="18265"/>
    <x v="2"/>
    <x v="1"/>
    <n v="3"/>
    <n v="25"/>
    <n v="4"/>
    <x v="6"/>
    <n v="0"/>
    <n v="0"/>
    <n v="0"/>
    <x v="1"/>
    <x v="2"/>
    <x v="1"/>
  </r>
  <r>
    <n v="29"/>
    <s v="No"/>
    <n v="0"/>
    <x v="0"/>
    <x v="1"/>
    <n v="1"/>
    <s v="Life Sciences"/>
    <s v="1264"/>
    <x v="2"/>
    <x v="0"/>
    <n v="2"/>
    <n v="4"/>
    <x v="7"/>
    <x v="0"/>
    <x v="2"/>
    <n v="16124"/>
    <x v="2"/>
    <x v="1"/>
    <n v="3"/>
    <n v="9"/>
    <n v="2"/>
    <x v="5"/>
    <n v="7"/>
    <n v="1"/>
    <n v="7"/>
    <x v="2"/>
    <x v="0"/>
    <x v="0"/>
  </r>
  <r>
    <n v="34"/>
    <s v="No"/>
    <n v="0"/>
    <x v="0"/>
    <x v="1"/>
    <n v="20"/>
    <s v="Technical Degree"/>
    <s v="1265"/>
    <x v="1"/>
    <x v="0"/>
    <n v="4"/>
    <n v="1"/>
    <x v="1"/>
    <x v="2"/>
    <x v="1"/>
    <n v="2585"/>
    <x v="1"/>
    <x v="1"/>
    <n v="3"/>
    <n v="2"/>
    <n v="2"/>
    <x v="6"/>
    <n v="0"/>
    <n v="0"/>
    <n v="0"/>
    <x v="2"/>
    <x v="1"/>
    <x v="1"/>
  </r>
  <r>
    <n v="44"/>
    <s v="No"/>
    <n v="0"/>
    <x v="0"/>
    <x v="0"/>
    <n v="5"/>
    <s v="Marketing"/>
    <s v="1267"/>
    <x v="0"/>
    <x v="1"/>
    <n v="3"/>
    <n v="5"/>
    <x v="5"/>
    <x v="1"/>
    <x v="1"/>
    <n v="18213"/>
    <x v="2"/>
    <x v="1"/>
    <n v="3"/>
    <n v="26"/>
    <n v="3"/>
    <x v="14"/>
    <n v="9"/>
    <n v="3"/>
    <n v="10"/>
    <x v="0"/>
    <x v="2"/>
    <x v="2"/>
  </r>
  <r>
    <n v="33"/>
    <s v="No"/>
    <n v="0"/>
    <x v="0"/>
    <x v="0"/>
    <n v="10"/>
    <s v="Marketing"/>
    <s v="1268"/>
    <x v="2"/>
    <x v="1"/>
    <n v="4"/>
    <n v="3"/>
    <x v="0"/>
    <x v="2"/>
    <x v="2"/>
    <n v="8380"/>
    <x v="0"/>
    <x v="0"/>
    <n v="3"/>
    <n v="10"/>
    <n v="3"/>
    <x v="7"/>
    <n v="8"/>
    <n v="0"/>
    <n v="8"/>
    <x v="2"/>
    <x v="0"/>
    <x v="0"/>
  </r>
  <r>
    <n v="19"/>
    <s v="No"/>
    <n v="0"/>
    <x v="0"/>
    <x v="1"/>
    <n v="25"/>
    <s v="Life Sciences"/>
    <s v="1269"/>
    <x v="0"/>
    <x v="0"/>
    <n v="4"/>
    <n v="1"/>
    <x v="1"/>
    <x v="0"/>
    <x v="0"/>
    <n v="2994"/>
    <x v="1"/>
    <x v="0"/>
    <n v="3"/>
    <n v="1"/>
    <n v="3"/>
    <x v="6"/>
    <n v="0"/>
    <n v="0"/>
    <n v="1"/>
    <x v="3"/>
    <x v="1"/>
    <x v="1"/>
  </r>
  <r>
    <n v="23"/>
    <s v="No"/>
    <n v="0"/>
    <x v="0"/>
    <x v="1"/>
    <n v="1"/>
    <s v="Life Sciences"/>
    <s v="1270"/>
    <x v="2"/>
    <x v="1"/>
    <n v="3"/>
    <n v="1"/>
    <x v="1"/>
    <x v="2"/>
    <x v="1"/>
    <n v="1223"/>
    <x v="1"/>
    <x v="1"/>
    <n v="4"/>
    <n v="1"/>
    <n v="3"/>
    <x v="6"/>
    <n v="0"/>
    <n v="0"/>
    <n v="1"/>
    <x v="3"/>
    <x v="1"/>
    <x v="1"/>
  </r>
  <r>
    <n v="25"/>
    <s v="Yes"/>
    <n v="1"/>
    <x v="1"/>
    <x v="0"/>
    <n v="24"/>
    <s v="Life Sciences"/>
    <s v="1273"/>
    <x v="1"/>
    <x v="1"/>
    <n v="1"/>
    <n v="1"/>
    <x v="6"/>
    <x v="0"/>
    <x v="0"/>
    <n v="1118"/>
    <x v="1"/>
    <x v="0"/>
    <n v="3"/>
    <n v="1"/>
    <n v="3"/>
    <x v="6"/>
    <n v="0"/>
    <n v="1"/>
    <n v="0"/>
    <x v="3"/>
    <x v="1"/>
    <x v="1"/>
  </r>
  <r>
    <n v="26"/>
    <s v="No"/>
    <n v="0"/>
    <x v="0"/>
    <x v="1"/>
    <n v="4"/>
    <s v="Life Sciences"/>
    <s v="1275"/>
    <x v="1"/>
    <x v="1"/>
    <n v="3"/>
    <n v="1"/>
    <x v="1"/>
    <x v="0"/>
    <x v="0"/>
    <n v="2875"/>
    <x v="1"/>
    <x v="0"/>
    <n v="4"/>
    <n v="8"/>
    <n v="2"/>
    <x v="3"/>
    <n v="5"/>
    <n v="2"/>
    <n v="2"/>
    <x v="2"/>
    <x v="0"/>
    <x v="0"/>
  </r>
  <r>
    <n v="45"/>
    <s v="Yes"/>
    <n v="1"/>
    <x v="0"/>
    <x v="0"/>
    <n v="2"/>
    <s v="Marketing"/>
    <s v="1277"/>
    <x v="3"/>
    <x v="0"/>
    <n v="1"/>
    <n v="5"/>
    <x v="5"/>
    <x v="1"/>
    <x v="0"/>
    <n v="18824"/>
    <x v="2"/>
    <x v="0"/>
    <n v="3"/>
    <n v="26"/>
    <n v="3"/>
    <x v="25"/>
    <n v="10"/>
    <n v="1"/>
    <n v="11"/>
    <x v="0"/>
    <x v="2"/>
    <x v="2"/>
  </r>
  <r>
    <n v="55"/>
    <s v="No"/>
    <n v="0"/>
    <x v="2"/>
    <x v="1"/>
    <n v="8"/>
    <s v="Medical"/>
    <s v="1278"/>
    <x v="2"/>
    <x v="1"/>
    <n v="2"/>
    <n v="4"/>
    <x v="4"/>
    <x v="1"/>
    <x v="2"/>
    <n v="13577"/>
    <x v="2"/>
    <x v="0"/>
    <n v="3"/>
    <n v="34"/>
    <n v="3"/>
    <x v="26"/>
    <n v="9"/>
    <n v="15"/>
    <n v="0"/>
    <x v="1"/>
    <x v="2"/>
    <x v="2"/>
  </r>
  <r>
    <n v="21"/>
    <s v="Yes"/>
    <n v="1"/>
    <x v="1"/>
    <x v="1"/>
    <n v="10"/>
    <s v="Life Sciences"/>
    <s v="1279"/>
    <x v="3"/>
    <x v="0"/>
    <n v="2"/>
    <n v="1"/>
    <x v="2"/>
    <x v="2"/>
    <x v="0"/>
    <n v="2625"/>
    <x v="1"/>
    <x v="1"/>
    <n v="4"/>
    <n v="2"/>
    <n v="1"/>
    <x v="4"/>
    <n v="2"/>
    <n v="2"/>
    <n v="2"/>
    <x v="3"/>
    <x v="1"/>
    <x v="1"/>
  </r>
  <r>
    <n v="46"/>
    <s v="No"/>
    <n v="0"/>
    <x v="0"/>
    <x v="0"/>
    <n v="4"/>
    <s v="Marketing"/>
    <s v="1280"/>
    <x v="2"/>
    <x v="0"/>
    <n v="2"/>
    <n v="5"/>
    <x v="5"/>
    <x v="1"/>
    <x v="1"/>
    <n v="18789"/>
    <x v="2"/>
    <x v="1"/>
    <n v="3"/>
    <n v="26"/>
    <n v="3"/>
    <x v="19"/>
    <n v="4"/>
    <n v="0"/>
    <n v="8"/>
    <x v="1"/>
    <x v="2"/>
    <x v="2"/>
  </r>
  <r>
    <n v="34"/>
    <s v="No"/>
    <n v="0"/>
    <x v="0"/>
    <x v="0"/>
    <n v="2"/>
    <s v="Marketing"/>
    <s v="1281"/>
    <x v="1"/>
    <x v="0"/>
    <n v="3"/>
    <n v="2"/>
    <x v="0"/>
    <x v="3"/>
    <x v="0"/>
    <n v="4538"/>
    <x v="1"/>
    <x v="0"/>
    <n v="3"/>
    <n v="4"/>
    <n v="3"/>
    <x v="11"/>
    <n v="2"/>
    <n v="0"/>
    <n v="2"/>
    <x v="2"/>
    <x v="1"/>
    <x v="1"/>
  </r>
  <r>
    <n v="51"/>
    <s v="No"/>
    <n v="0"/>
    <x v="1"/>
    <x v="0"/>
    <n v="9"/>
    <s v="Life Sciences"/>
    <s v="1282"/>
    <x v="2"/>
    <x v="1"/>
    <n v="3"/>
    <n v="5"/>
    <x v="5"/>
    <x v="1"/>
    <x v="2"/>
    <n v="19847"/>
    <x v="2"/>
    <x v="0"/>
    <n v="4"/>
    <n v="31"/>
    <n v="2"/>
    <x v="30"/>
    <n v="10"/>
    <n v="11"/>
    <n v="10"/>
    <x v="1"/>
    <x v="2"/>
    <x v="2"/>
  </r>
  <r>
    <n v="59"/>
    <s v="No"/>
    <n v="0"/>
    <x v="0"/>
    <x v="1"/>
    <n v="18"/>
    <s v="Medical"/>
    <s v="1283"/>
    <x v="2"/>
    <x v="1"/>
    <n v="3"/>
    <n v="3"/>
    <x v="3"/>
    <x v="0"/>
    <x v="0"/>
    <n v="10512"/>
    <x v="0"/>
    <x v="1"/>
    <n v="3"/>
    <n v="25"/>
    <n v="2"/>
    <x v="7"/>
    <n v="7"/>
    <n v="5"/>
    <n v="4"/>
    <x v="1"/>
    <x v="2"/>
    <x v="0"/>
  </r>
  <r>
    <n v="34"/>
    <s v="No"/>
    <n v="0"/>
    <x v="1"/>
    <x v="1"/>
    <n v="19"/>
    <s v="Medical"/>
    <s v="1285"/>
    <x v="1"/>
    <x v="0"/>
    <n v="3"/>
    <n v="2"/>
    <x v="2"/>
    <x v="1"/>
    <x v="2"/>
    <n v="4444"/>
    <x v="1"/>
    <x v="1"/>
    <n v="3"/>
    <n v="15"/>
    <n v="4"/>
    <x v="19"/>
    <n v="8"/>
    <n v="5"/>
    <n v="10"/>
    <x v="2"/>
    <x v="0"/>
    <x v="2"/>
  </r>
  <r>
    <n v="28"/>
    <s v="No"/>
    <n v="0"/>
    <x v="1"/>
    <x v="1"/>
    <n v="1"/>
    <s v="Medical"/>
    <s v="1286"/>
    <x v="2"/>
    <x v="1"/>
    <n v="3"/>
    <n v="1"/>
    <x v="2"/>
    <x v="2"/>
    <x v="0"/>
    <n v="2154"/>
    <x v="1"/>
    <x v="0"/>
    <n v="3"/>
    <n v="5"/>
    <n v="2"/>
    <x v="9"/>
    <n v="2"/>
    <n v="0"/>
    <n v="2"/>
    <x v="2"/>
    <x v="1"/>
    <x v="1"/>
  </r>
  <r>
    <n v="44"/>
    <s v="No"/>
    <n v="0"/>
    <x v="0"/>
    <x v="1"/>
    <n v="4"/>
    <s v="Life Sciences"/>
    <s v="1288"/>
    <x v="1"/>
    <x v="1"/>
    <n v="4"/>
    <n v="5"/>
    <x v="5"/>
    <x v="3"/>
    <x v="2"/>
    <n v="19190"/>
    <x v="2"/>
    <x v="1"/>
    <n v="3"/>
    <n v="26"/>
    <n v="2"/>
    <x v="10"/>
    <n v="9"/>
    <n v="14"/>
    <n v="13"/>
    <x v="0"/>
    <x v="2"/>
    <x v="2"/>
  </r>
  <r>
    <n v="34"/>
    <s v="No"/>
    <n v="0"/>
    <x v="1"/>
    <x v="2"/>
    <n v="11"/>
    <s v="Life Sciences"/>
    <s v="1289"/>
    <x v="1"/>
    <x v="1"/>
    <n v="2"/>
    <n v="2"/>
    <x v="8"/>
    <x v="1"/>
    <x v="1"/>
    <n v="4490"/>
    <x v="1"/>
    <x v="1"/>
    <n v="3"/>
    <n v="14"/>
    <n v="4"/>
    <x v="1"/>
    <n v="9"/>
    <n v="1"/>
    <n v="8"/>
    <x v="2"/>
    <x v="0"/>
    <x v="0"/>
  </r>
  <r>
    <n v="35"/>
    <s v="No"/>
    <n v="0"/>
    <x v="0"/>
    <x v="1"/>
    <n v="6"/>
    <s v="Life Sciences"/>
    <s v="1291"/>
    <x v="1"/>
    <x v="1"/>
    <n v="3"/>
    <n v="1"/>
    <x v="1"/>
    <x v="2"/>
    <x v="1"/>
    <n v="3506"/>
    <x v="1"/>
    <x v="0"/>
    <n v="3"/>
    <n v="4"/>
    <n v="3"/>
    <x v="11"/>
    <n v="2"/>
    <n v="2"/>
    <n v="2"/>
    <x v="2"/>
    <x v="1"/>
    <x v="1"/>
  </r>
  <r>
    <n v="42"/>
    <s v="No"/>
    <n v="0"/>
    <x v="0"/>
    <x v="1"/>
    <n v="7"/>
    <s v="Medical"/>
    <s v="1292"/>
    <x v="0"/>
    <x v="0"/>
    <n v="4"/>
    <n v="2"/>
    <x v="1"/>
    <x v="1"/>
    <x v="1"/>
    <n v="2372"/>
    <x v="1"/>
    <x v="0"/>
    <n v="3"/>
    <n v="18"/>
    <n v="3"/>
    <x v="6"/>
    <n v="0"/>
    <n v="0"/>
    <n v="0"/>
    <x v="0"/>
    <x v="2"/>
    <x v="1"/>
  </r>
  <r>
    <n v="43"/>
    <s v="No"/>
    <n v="0"/>
    <x v="0"/>
    <x v="0"/>
    <n v="4"/>
    <s v="Marketing"/>
    <s v="1293"/>
    <x v="2"/>
    <x v="0"/>
    <n v="2"/>
    <n v="3"/>
    <x v="0"/>
    <x v="0"/>
    <x v="0"/>
    <n v="10231"/>
    <x v="0"/>
    <x v="1"/>
    <n v="3"/>
    <n v="23"/>
    <n v="4"/>
    <x v="17"/>
    <n v="7"/>
    <n v="15"/>
    <n v="17"/>
    <x v="0"/>
    <x v="2"/>
    <x v="2"/>
  </r>
  <r>
    <n v="36"/>
    <s v="No"/>
    <n v="0"/>
    <x v="0"/>
    <x v="1"/>
    <n v="2"/>
    <s v="Life Sciences"/>
    <s v="1294"/>
    <x v="1"/>
    <x v="0"/>
    <n v="3"/>
    <n v="2"/>
    <x v="3"/>
    <x v="1"/>
    <x v="0"/>
    <n v="5410"/>
    <x v="0"/>
    <x v="0"/>
    <n v="3"/>
    <n v="18"/>
    <n v="3"/>
    <x v="22"/>
    <n v="14"/>
    <n v="5"/>
    <n v="12"/>
    <x v="0"/>
    <x v="2"/>
    <x v="2"/>
  </r>
  <r>
    <n v="44"/>
    <s v="Yes"/>
    <n v="1"/>
    <x v="0"/>
    <x v="1"/>
    <n v="15"/>
    <s v="Medical"/>
    <s v="1295"/>
    <x v="3"/>
    <x v="0"/>
    <n v="3"/>
    <n v="3"/>
    <x v="4"/>
    <x v="0"/>
    <x v="1"/>
    <n v="7978"/>
    <x v="0"/>
    <x v="1"/>
    <n v="3"/>
    <n v="10"/>
    <n v="3"/>
    <x v="1"/>
    <n v="7"/>
    <n v="0"/>
    <n v="5"/>
    <x v="0"/>
    <x v="0"/>
    <x v="0"/>
  </r>
  <r>
    <n v="28"/>
    <s v="No"/>
    <n v="0"/>
    <x v="1"/>
    <x v="1"/>
    <n v="2"/>
    <s v="Life Sciences"/>
    <s v="1296"/>
    <x v="2"/>
    <x v="1"/>
    <n v="2"/>
    <n v="1"/>
    <x v="2"/>
    <x v="0"/>
    <x v="1"/>
    <n v="3867"/>
    <x v="1"/>
    <x v="0"/>
    <n v="3"/>
    <n v="2"/>
    <n v="3"/>
    <x v="4"/>
    <n v="2"/>
    <n v="2"/>
    <n v="2"/>
    <x v="2"/>
    <x v="1"/>
    <x v="1"/>
  </r>
  <r>
    <n v="51"/>
    <s v="No"/>
    <n v="0"/>
    <x v="1"/>
    <x v="1"/>
    <n v="6"/>
    <s v="Medical"/>
    <s v="1297"/>
    <x v="0"/>
    <x v="0"/>
    <n v="2"/>
    <n v="1"/>
    <x v="2"/>
    <x v="2"/>
    <x v="0"/>
    <n v="2838"/>
    <x v="1"/>
    <x v="1"/>
    <n v="3"/>
    <n v="8"/>
    <n v="2"/>
    <x v="5"/>
    <n v="0"/>
    <n v="7"/>
    <n v="7"/>
    <x v="1"/>
    <x v="0"/>
    <x v="0"/>
  </r>
  <r>
    <n v="30"/>
    <s v="No"/>
    <n v="0"/>
    <x v="2"/>
    <x v="1"/>
    <n v="9"/>
    <s v="Medical"/>
    <s v="1298"/>
    <x v="1"/>
    <x v="0"/>
    <n v="3"/>
    <n v="2"/>
    <x v="3"/>
    <x v="2"/>
    <x v="0"/>
    <n v="4695"/>
    <x v="1"/>
    <x v="0"/>
    <n v="3"/>
    <n v="10"/>
    <n v="3"/>
    <x v="3"/>
    <n v="4"/>
    <n v="1"/>
    <n v="7"/>
    <x v="2"/>
    <x v="0"/>
    <x v="0"/>
  </r>
  <r>
    <n v="29"/>
    <s v="Yes"/>
    <n v="1"/>
    <x v="0"/>
    <x v="1"/>
    <n v="7"/>
    <s v="Technical Degree"/>
    <s v="1299"/>
    <x v="0"/>
    <x v="0"/>
    <n v="3"/>
    <n v="1"/>
    <x v="2"/>
    <x v="2"/>
    <x v="2"/>
    <n v="3339"/>
    <x v="1"/>
    <x v="0"/>
    <n v="3"/>
    <n v="10"/>
    <n v="3"/>
    <x v="5"/>
    <n v="7"/>
    <n v="7"/>
    <n v="7"/>
    <x v="2"/>
    <x v="0"/>
    <x v="0"/>
  </r>
  <r>
    <n v="28"/>
    <s v="No"/>
    <n v="0"/>
    <x v="0"/>
    <x v="1"/>
    <n v="1"/>
    <s v="Technical Degree"/>
    <s v="1301"/>
    <x v="2"/>
    <x v="1"/>
    <n v="3"/>
    <n v="1"/>
    <x v="1"/>
    <x v="3"/>
    <x v="0"/>
    <n v="2080"/>
    <x v="1"/>
    <x v="1"/>
    <n v="3"/>
    <n v="5"/>
    <n v="2"/>
    <x v="11"/>
    <n v="2"/>
    <n v="1"/>
    <n v="2"/>
    <x v="2"/>
    <x v="1"/>
    <x v="1"/>
  </r>
  <r>
    <n v="25"/>
    <s v="No"/>
    <n v="0"/>
    <x v="0"/>
    <x v="1"/>
    <n v="1"/>
    <s v="Medical"/>
    <s v="1303"/>
    <x v="2"/>
    <x v="0"/>
    <n v="3"/>
    <n v="1"/>
    <x v="1"/>
    <x v="1"/>
    <x v="0"/>
    <n v="2096"/>
    <x v="1"/>
    <x v="1"/>
    <n v="3"/>
    <n v="2"/>
    <n v="2"/>
    <x v="4"/>
    <n v="2"/>
    <n v="2"/>
    <n v="1"/>
    <x v="3"/>
    <x v="1"/>
    <x v="1"/>
  </r>
  <r>
    <n v="32"/>
    <s v="No"/>
    <n v="0"/>
    <x v="0"/>
    <x v="0"/>
    <n v="8"/>
    <s v="Medical"/>
    <s v="1304"/>
    <x v="1"/>
    <x v="1"/>
    <n v="4"/>
    <n v="2"/>
    <x v="0"/>
    <x v="0"/>
    <x v="1"/>
    <n v="6209"/>
    <x v="0"/>
    <x v="1"/>
    <n v="3"/>
    <n v="10"/>
    <n v="4"/>
    <x v="1"/>
    <n v="7"/>
    <n v="0"/>
    <n v="8"/>
    <x v="2"/>
    <x v="0"/>
    <x v="0"/>
  </r>
  <r>
    <n v="45"/>
    <s v="No"/>
    <n v="0"/>
    <x v="1"/>
    <x v="1"/>
    <n v="25"/>
    <s v="Medical"/>
    <s v="1306"/>
    <x v="0"/>
    <x v="0"/>
    <n v="3"/>
    <n v="5"/>
    <x v="5"/>
    <x v="1"/>
    <x v="0"/>
    <n v="18061"/>
    <x v="2"/>
    <x v="1"/>
    <n v="4"/>
    <n v="22"/>
    <n v="3"/>
    <x v="2"/>
    <n v="0"/>
    <n v="0"/>
    <n v="0"/>
    <x v="0"/>
    <x v="2"/>
    <x v="1"/>
  </r>
  <r>
    <n v="39"/>
    <s v="No"/>
    <n v="0"/>
    <x v="0"/>
    <x v="1"/>
    <n v="13"/>
    <s v="Medical"/>
    <s v="1307"/>
    <x v="1"/>
    <x v="0"/>
    <n v="2"/>
    <n v="4"/>
    <x v="5"/>
    <x v="1"/>
    <x v="2"/>
    <n v="17123"/>
    <x v="2"/>
    <x v="0"/>
    <n v="3"/>
    <n v="21"/>
    <n v="3"/>
    <x v="27"/>
    <n v="9"/>
    <n v="15"/>
    <n v="2"/>
    <x v="0"/>
    <x v="2"/>
    <x v="2"/>
  </r>
  <r>
    <n v="58"/>
    <s v="No"/>
    <n v="0"/>
    <x v="0"/>
    <x v="1"/>
    <n v="23"/>
    <s v="Life Sciences"/>
    <s v="1308"/>
    <x v="3"/>
    <x v="1"/>
    <n v="3"/>
    <n v="1"/>
    <x v="1"/>
    <x v="2"/>
    <x v="2"/>
    <n v="2372"/>
    <x v="1"/>
    <x v="1"/>
    <n v="3"/>
    <n v="2"/>
    <n v="3"/>
    <x v="4"/>
    <n v="2"/>
    <n v="2"/>
    <n v="2"/>
    <x v="1"/>
    <x v="1"/>
    <x v="1"/>
  </r>
  <r>
    <n v="32"/>
    <s v="Yes"/>
    <n v="1"/>
    <x v="0"/>
    <x v="1"/>
    <n v="7"/>
    <s v="Life Sciences"/>
    <s v="1309"/>
    <x v="2"/>
    <x v="1"/>
    <n v="3"/>
    <n v="2"/>
    <x v="2"/>
    <x v="2"/>
    <x v="1"/>
    <n v="4883"/>
    <x v="1"/>
    <x v="1"/>
    <n v="3"/>
    <n v="10"/>
    <n v="3"/>
    <x v="1"/>
    <n v="4"/>
    <n v="1"/>
    <n v="1"/>
    <x v="2"/>
    <x v="0"/>
    <x v="0"/>
  </r>
  <r>
    <n v="39"/>
    <s v="Yes"/>
    <n v="1"/>
    <x v="0"/>
    <x v="1"/>
    <n v="23"/>
    <s v="Medical"/>
    <s v="1310"/>
    <x v="1"/>
    <x v="1"/>
    <n v="3"/>
    <n v="1"/>
    <x v="1"/>
    <x v="3"/>
    <x v="0"/>
    <n v="3904"/>
    <x v="1"/>
    <x v="1"/>
    <n v="3"/>
    <n v="6"/>
    <n v="3"/>
    <x v="8"/>
    <n v="2"/>
    <n v="0"/>
    <n v="3"/>
    <x v="0"/>
    <x v="0"/>
    <x v="1"/>
  </r>
  <r>
    <n v="30"/>
    <s v="No"/>
    <n v="0"/>
    <x v="0"/>
    <x v="1"/>
    <n v="6"/>
    <s v="Technical Degree"/>
    <s v="1311"/>
    <x v="3"/>
    <x v="0"/>
    <n v="2"/>
    <n v="2"/>
    <x v="2"/>
    <x v="0"/>
    <x v="1"/>
    <n v="4627"/>
    <x v="1"/>
    <x v="1"/>
    <n v="3"/>
    <n v="10"/>
    <n v="3"/>
    <x v="7"/>
    <n v="2"/>
    <n v="6"/>
    <n v="7"/>
    <x v="2"/>
    <x v="0"/>
    <x v="0"/>
  </r>
  <r>
    <n v="36"/>
    <s v="No"/>
    <n v="0"/>
    <x v="0"/>
    <x v="1"/>
    <n v="10"/>
    <s v="Technical Degree"/>
    <s v="1312"/>
    <x v="2"/>
    <x v="0"/>
    <n v="3"/>
    <n v="3"/>
    <x v="4"/>
    <x v="2"/>
    <x v="1"/>
    <n v="7094"/>
    <x v="0"/>
    <x v="1"/>
    <n v="3"/>
    <n v="10"/>
    <n v="3"/>
    <x v="5"/>
    <n v="7"/>
    <n v="1"/>
    <n v="7"/>
    <x v="0"/>
    <x v="0"/>
    <x v="0"/>
  </r>
  <r>
    <n v="46"/>
    <s v="No"/>
    <n v="0"/>
    <x v="0"/>
    <x v="2"/>
    <n v="1"/>
    <s v="Life Sciences"/>
    <s v="1314"/>
    <x v="2"/>
    <x v="0"/>
    <n v="3"/>
    <n v="1"/>
    <x v="8"/>
    <x v="3"/>
    <x v="0"/>
    <n v="3423"/>
    <x v="1"/>
    <x v="1"/>
    <n v="3"/>
    <n v="10"/>
    <n v="4"/>
    <x v="5"/>
    <n v="6"/>
    <n v="5"/>
    <n v="7"/>
    <x v="1"/>
    <x v="0"/>
    <x v="0"/>
  </r>
  <r>
    <n v="28"/>
    <s v="No"/>
    <n v="0"/>
    <x v="2"/>
    <x v="1"/>
    <n v="1"/>
    <s v="Life Sciences"/>
    <s v="1315"/>
    <x v="1"/>
    <x v="0"/>
    <n v="1"/>
    <n v="2"/>
    <x v="2"/>
    <x v="0"/>
    <x v="1"/>
    <n v="6674"/>
    <x v="0"/>
    <x v="1"/>
    <n v="3"/>
    <n v="10"/>
    <n v="3"/>
    <x v="7"/>
    <n v="8"/>
    <n v="7"/>
    <n v="5"/>
    <x v="2"/>
    <x v="0"/>
    <x v="0"/>
  </r>
  <r>
    <n v="50"/>
    <s v="No"/>
    <n v="0"/>
    <x v="0"/>
    <x v="1"/>
    <n v="28"/>
    <s v="Life Sciences"/>
    <s v="1317"/>
    <x v="2"/>
    <x v="0"/>
    <n v="3"/>
    <n v="4"/>
    <x v="7"/>
    <x v="3"/>
    <x v="1"/>
    <n v="16880"/>
    <x v="2"/>
    <x v="0"/>
    <n v="3"/>
    <n v="25"/>
    <n v="3"/>
    <x v="11"/>
    <n v="2"/>
    <n v="1"/>
    <n v="2"/>
    <x v="1"/>
    <x v="2"/>
    <x v="1"/>
  </r>
  <r>
    <n v="40"/>
    <s v="Yes"/>
    <n v="1"/>
    <x v="0"/>
    <x v="0"/>
    <n v="25"/>
    <s v="Marketing"/>
    <s v="1318"/>
    <x v="2"/>
    <x v="1"/>
    <n v="2"/>
    <n v="3"/>
    <x v="0"/>
    <x v="1"/>
    <x v="0"/>
    <n v="9094"/>
    <x v="0"/>
    <x v="0"/>
    <n v="3"/>
    <n v="9"/>
    <n v="3"/>
    <x v="8"/>
    <n v="4"/>
    <n v="1"/>
    <n v="0"/>
    <x v="0"/>
    <x v="0"/>
    <x v="1"/>
  </r>
  <r>
    <n v="52"/>
    <s v="Yes"/>
    <n v="1"/>
    <x v="0"/>
    <x v="0"/>
    <n v="5"/>
    <s v="Life Sciences"/>
    <s v="1319"/>
    <x v="0"/>
    <x v="1"/>
    <n v="3"/>
    <n v="3"/>
    <x v="0"/>
    <x v="1"/>
    <x v="0"/>
    <n v="8446"/>
    <x v="0"/>
    <x v="0"/>
    <n v="3"/>
    <n v="10"/>
    <n v="2"/>
    <x v="3"/>
    <n v="7"/>
    <n v="7"/>
    <n v="7"/>
    <x v="1"/>
    <x v="0"/>
    <x v="0"/>
  </r>
  <r>
    <n v="30"/>
    <s v="No"/>
    <n v="0"/>
    <x v="0"/>
    <x v="1"/>
    <n v="17"/>
    <s v="Medical"/>
    <s v="1321"/>
    <x v="0"/>
    <x v="0"/>
    <n v="3"/>
    <n v="3"/>
    <x v="5"/>
    <x v="3"/>
    <x v="1"/>
    <n v="11916"/>
    <x v="0"/>
    <x v="0"/>
    <n v="4"/>
    <n v="9"/>
    <n v="3"/>
    <x v="7"/>
    <n v="1"/>
    <n v="0"/>
    <n v="8"/>
    <x v="2"/>
    <x v="0"/>
    <x v="0"/>
  </r>
  <r>
    <n v="39"/>
    <s v="No"/>
    <n v="0"/>
    <x v="0"/>
    <x v="1"/>
    <n v="18"/>
    <s v="Life Sciences"/>
    <s v="1322"/>
    <x v="3"/>
    <x v="1"/>
    <n v="3"/>
    <n v="2"/>
    <x v="3"/>
    <x v="2"/>
    <x v="0"/>
    <n v="4534"/>
    <x v="1"/>
    <x v="1"/>
    <n v="3"/>
    <n v="9"/>
    <n v="3"/>
    <x v="3"/>
    <n v="7"/>
    <n v="1"/>
    <n v="7"/>
    <x v="0"/>
    <x v="0"/>
    <x v="0"/>
  </r>
  <r>
    <n v="31"/>
    <s v="No"/>
    <n v="0"/>
    <x v="2"/>
    <x v="0"/>
    <n v="2"/>
    <s v="Life Sciences"/>
    <s v="1324"/>
    <x v="2"/>
    <x v="0"/>
    <n v="3"/>
    <n v="3"/>
    <x v="0"/>
    <x v="2"/>
    <x v="2"/>
    <n v="9852"/>
    <x v="0"/>
    <x v="0"/>
    <n v="3"/>
    <n v="10"/>
    <n v="2"/>
    <x v="1"/>
    <n v="8"/>
    <n v="9"/>
    <n v="6"/>
    <x v="2"/>
    <x v="0"/>
    <x v="0"/>
  </r>
  <r>
    <n v="41"/>
    <s v="No"/>
    <n v="0"/>
    <x v="2"/>
    <x v="0"/>
    <n v="10"/>
    <s v="Medical"/>
    <s v="1329"/>
    <x v="1"/>
    <x v="1"/>
    <n v="1"/>
    <n v="2"/>
    <x v="0"/>
    <x v="1"/>
    <x v="0"/>
    <n v="6151"/>
    <x v="0"/>
    <x v="1"/>
    <n v="3"/>
    <n v="19"/>
    <n v="3"/>
    <x v="27"/>
    <n v="2"/>
    <n v="11"/>
    <n v="9"/>
    <x v="0"/>
    <x v="2"/>
    <x v="2"/>
  </r>
  <r>
    <n v="31"/>
    <s v="Yes"/>
    <n v="1"/>
    <x v="1"/>
    <x v="0"/>
    <n v="1"/>
    <s v="Life Sciences"/>
    <s v="1331"/>
    <x v="2"/>
    <x v="0"/>
    <n v="3"/>
    <n v="1"/>
    <x v="6"/>
    <x v="1"/>
    <x v="0"/>
    <n v="2302"/>
    <x v="1"/>
    <x v="0"/>
    <n v="3"/>
    <n v="3"/>
    <n v="4"/>
    <x v="11"/>
    <n v="2"/>
    <n v="2"/>
    <n v="2"/>
    <x v="2"/>
    <x v="1"/>
    <x v="1"/>
  </r>
  <r>
    <n v="44"/>
    <s v="Yes"/>
    <n v="1"/>
    <x v="0"/>
    <x v="1"/>
    <n v="3"/>
    <s v="Life Sciences"/>
    <s v="1333"/>
    <x v="3"/>
    <x v="1"/>
    <n v="3"/>
    <n v="1"/>
    <x v="2"/>
    <x v="3"/>
    <x v="1"/>
    <n v="2362"/>
    <x v="1"/>
    <x v="1"/>
    <n v="3"/>
    <n v="10"/>
    <n v="4"/>
    <x v="11"/>
    <n v="2"/>
    <n v="1"/>
    <n v="2"/>
    <x v="0"/>
    <x v="0"/>
    <x v="1"/>
  </r>
  <r>
    <n v="42"/>
    <s v="No"/>
    <n v="0"/>
    <x v="2"/>
    <x v="1"/>
    <n v="2"/>
    <s v="Life Sciences"/>
    <s v="1334"/>
    <x v="1"/>
    <x v="1"/>
    <n v="3"/>
    <n v="4"/>
    <x v="5"/>
    <x v="2"/>
    <x v="1"/>
    <n v="17861"/>
    <x v="2"/>
    <x v="0"/>
    <n v="3"/>
    <n v="21"/>
    <n v="2"/>
    <x v="23"/>
    <n v="8"/>
    <n v="2"/>
    <n v="10"/>
    <x v="0"/>
    <x v="2"/>
    <x v="2"/>
  </r>
  <r>
    <n v="55"/>
    <s v="No"/>
    <n v="0"/>
    <x v="0"/>
    <x v="1"/>
    <n v="2"/>
    <s v="Medical"/>
    <s v="1336"/>
    <x v="2"/>
    <x v="0"/>
    <n v="1"/>
    <n v="5"/>
    <x v="5"/>
    <x v="2"/>
    <x v="1"/>
    <n v="19187"/>
    <x v="2"/>
    <x v="1"/>
    <n v="3"/>
    <n v="23"/>
    <n v="3"/>
    <x v="27"/>
    <n v="9"/>
    <n v="9"/>
    <n v="11"/>
    <x v="1"/>
    <x v="2"/>
    <x v="2"/>
  </r>
  <r>
    <n v="56"/>
    <s v="No"/>
    <n v="0"/>
    <x v="0"/>
    <x v="2"/>
    <n v="8"/>
    <s v="Life Sciences"/>
    <s v="1338"/>
    <x v="2"/>
    <x v="1"/>
    <n v="3"/>
    <n v="5"/>
    <x v="5"/>
    <x v="1"/>
    <x v="0"/>
    <n v="19717"/>
    <x v="2"/>
    <x v="1"/>
    <n v="3"/>
    <n v="36"/>
    <n v="3"/>
    <x v="5"/>
    <n v="3"/>
    <n v="7"/>
    <n v="7"/>
    <x v="1"/>
    <x v="2"/>
    <x v="0"/>
  </r>
  <r>
    <n v="40"/>
    <s v="No"/>
    <n v="0"/>
    <x v="2"/>
    <x v="1"/>
    <n v="16"/>
    <s v="Life Sciences"/>
    <s v="1340"/>
    <x v="1"/>
    <x v="1"/>
    <n v="3"/>
    <n v="1"/>
    <x v="1"/>
    <x v="2"/>
    <x v="2"/>
    <n v="3544"/>
    <x v="1"/>
    <x v="1"/>
    <n v="3"/>
    <n v="6"/>
    <n v="3"/>
    <x v="9"/>
    <n v="2"/>
    <n v="0"/>
    <n v="0"/>
    <x v="0"/>
    <x v="0"/>
    <x v="1"/>
  </r>
  <r>
    <n v="34"/>
    <s v="No"/>
    <n v="0"/>
    <x v="0"/>
    <x v="1"/>
    <n v="9"/>
    <s v="Life Sciences"/>
    <s v="1344"/>
    <x v="2"/>
    <x v="1"/>
    <n v="3"/>
    <n v="3"/>
    <x v="4"/>
    <x v="0"/>
    <x v="2"/>
    <n v="8500"/>
    <x v="0"/>
    <x v="1"/>
    <n v="3"/>
    <n v="10"/>
    <n v="2"/>
    <x v="7"/>
    <n v="7"/>
    <n v="1"/>
    <n v="6"/>
    <x v="2"/>
    <x v="0"/>
    <x v="0"/>
  </r>
  <r>
    <n v="40"/>
    <s v="No"/>
    <n v="0"/>
    <x v="0"/>
    <x v="1"/>
    <n v="2"/>
    <s v="Life Sciences"/>
    <s v="1346"/>
    <x v="1"/>
    <x v="1"/>
    <n v="3"/>
    <n v="2"/>
    <x v="1"/>
    <x v="0"/>
    <x v="0"/>
    <n v="4661"/>
    <x v="1"/>
    <x v="1"/>
    <n v="3"/>
    <n v="9"/>
    <n v="3"/>
    <x v="7"/>
    <n v="8"/>
    <n v="8"/>
    <n v="8"/>
    <x v="0"/>
    <x v="0"/>
    <x v="0"/>
  </r>
  <r>
    <n v="41"/>
    <s v="No"/>
    <n v="0"/>
    <x v="1"/>
    <x v="0"/>
    <n v="1"/>
    <s v="Marketing"/>
    <s v="1349"/>
    <x v="1"/>
    <x v="0"/>
    <n v="3"/>
    <n v="2"/>
    <x v="0"/>
    <x v="3"/>
    <x v="2"/>
    <n v="4103"/>
    <x v="1"/>
    <x v="1"/>
    <n v="3"/>
    <n v="10"/>
    <n v="3"/>
    <x v="7"/>
    <n v="3"/>
    <n v="1"/>
    <n v="7"/>
    <x v="0"/>
    <x v="0"/>
    <x v="0"/>
  </r>
  <r>
    <n v="35"/>
    <s v="No"/>
    <n v="0"/>
    <x v="1"/>
    <x v="1"/>
    <n v="4"/>
    <s v="Life Sciences"/>
    <s v="1350"/>
    <x v="1"/>
    <x v="1"/>
    <n v="3"/>
    <n v="2"/>
    <x v="1"/>
    <x v="2"/>
    <x v="0"/>
    <n v="4249"/>
    <x v="1"/>
    <x v="0"/>
    <n v="3"/>
    <n v="9"/>
    <n v="3"/>
    <x v="7"/>
    <n v="6"/>
    <n v="1"/>
    <n v="1"/>
    <x v="2"/>
    <x v="0"/>
    <x v="0"/>
  </r>
  <r>
    <n v="51"/>
    <s v="No"/>
    <n v="0"/>
    <x v="0"/>
    <x v="2"/>
    <n v="5"/>
    <s v="Life Sciences"/>
    <s v="1352"/>
    <x v="1"/>
    <x v="1"/>
    <n v="3"/>
    <n v="4"/>
    <x v="5"/>
    <x v="1"/>
    <x v="2"/>
    <n v="14026"/>
    <x v="2"/>
    <x v="0"/>
    <n v="3"/>
    <n v="33"/>
    <n v="3"/>
    <x v="26"/>
    <n v="9"/>
    <n v="0"/>
    <n v="10"/>
    <x v="1"/>
    <x v="2"/>
    <x v="2"/>
  </r>
  <r>
    <n v="38"/>
    <s v="No"/>
    <n v="0"/>
    <x v="0"/>
    <x v="0"/>
    <n v="2"/>
    <s v="Life Sciences"/>
    <s v="1355"/>
    <x v="0"/>
    <x v="0"/>
    <n v="3"/>
    <n v="2"/>
    <x v="0"/>
    <x v="3"/>
    <x v="2"/>
    <n v="6893"/>
    <x v="0"/>
    <x v="1"/>
    <n v="3"/>
    <n v="11"/>
    <n v="3"/>
    <x v="5"/>
    <n v="7"/>
    <n v="1"/>
    <n v="7"/>
    <x v="0"/>
    <x v="0"/>
    <x v="0"/>
  </r>
  <r>
    <n v="34"/>
    <s v="No"/>
    <n v="0"/>
    <x v="0"/>
    <x v="0"/>
    <n v="15"/>
    <s v="Medical"/>
    <s v="1356"/>
    <x v="1"/>
    <x v="0"/>
    <n v="3"/>
    <n v="2"/>
    <x v="0"/>
    <x v="3"/>
    <x v="0"/>
    <n v="6125"/>
    <x v="0"/>
    <x v="1"/>
    <n v="3"/>
    <n v="10"/>
    <n v="4"/>
    <x v="1"/>
    <n v="8"/>
    <n v="9"/>
    <n v="6"/>
    <x v="2"/>
    <x v="0"/>
    <x v="0"/>
  </r>
  <r>
    <n v="25"/>
    <s v="No"/>
    <n v="0"/>
    <x v="0"/>
    <x v="1"/>
    <n v="19"/>
    <s v="Medical"/>
    <s v="1358"/>
    <x v="2"/>
    <x v="1"/>
    <n v="3"/>
    <n v="1"/>
    <x v="2"/>
    <x v="0"/>
    <x v="1"/>
    <n v="3669"/>
    <x v="1"/>
    <x v="1"/>
    <n v="3"/>
    <n v="7"/>
    <n v="2"/>
    <x v="11"/>
    <n v="2"/>
    <n v="1"/>
    <n v="2"/>
    <x v="3"/>
    <x v="0"/>
    <x v="1"/>
  </r>
  <r>
    <n v="58"/>
    <s v="Yes"/>
    <n v="1"/>
    <x v="0"/>
    <x v="1"/>
    <n v="7"/>
    <s v="Medical"/>
    <s v="1360"/>
    <x v="1"/>
    <x v="0"/>
    <n v="2"/>
    <n v="3"/>
    <x v="3"/>
    <x v="3"/>
    <x v="1"/>
    <n v="10008"/>
    <x v="0"/>
    <x v="0"/>
    <n v="3"/>
    <n v="31"/>
    <n v="2"/>
    <x v="1"/>
    <n v="9"/>
    <n v="5"/>
    <n v="9"/>
    <x v="1"/>
    <x v="2"/>
    <x v="0"/>
  </r>
  <r>
    <n v="40"/>
    <s v="No"/>
    <n v="0"/>
    <x v="0"/>
    <x v="1"/>
    <n v="1"/>
    <s v="Life Sciences"/>
    <s v="1361"/>
    <x v="0"/>
    <x v="1"/>
    <n v="3"/>
    <n v="1"/>
    <x v="2"/>
    <x v="1"/>
    <x v="1"/>
    <n v="2387"/>
    <x v="1"/>
    <x v="1"/>
    <n v="4"/>
    <n v="7"/>
    <n v="3"/>
    <x v="9"/>
    <n v="2"/>
    <n v="0"/>
    <n v="3"/>
    <x v="0"/>
    <x v="0"/>
    <x v="1"/>
  </r>
  <r>
    <n v="36"/>
    <s v="No"/>
    <n v="0"/>
    <x v="1"/>
    <x v="0"/>
    <n v="7"/>
    <s v="Marketing"/>
    <s v="1362"/>
    <x v="3"/>
    <x v="0"/>
    <n v="4"/>
    <n v="2"/>
    <x v="0"/>
    <x v="3"/>
    <x v="1"/>
    <n v="4639"/>
    <x v="1"/>
    <x v="1"/>
    <n v="3"/>
    <n v="17"/>
    <n v="2"/>
    <x v="15"/>
    <n v="7"/>
    <n v="6"/>
    <n v="13"/>
    <x v="0"/>
    <x v="2"/>
    <x v="2"/>
  </r>
  <r>
    <n v="48"/>
    <s v="No"/>
    <n v="0"/>
    <x v="0"/>
    <x v="1"/>
    <n v="4"/>
    <s v="Life Sciences"/>
    <s v="1363"/>
    <x v="2"/>
    <x v="1"/>
    <n v="3"/>
    <n v="3"/>
    <x v="3"/>
    <x v="0"/>
    <x v="0"/>
    <n v="7898"/>
    <x v="0"/>
    <x v="1"/>
    <n v="3"/>
    <n v="11"/>
    <n v="3"/>
    <x v="1"/>
    <n v="9"/>
    <n v="0"/>
    <n v="8"/>
    <x v="1"/>
    <x v="0"/>
    <x v="0"/>
  </r>
  <r>
    <n v="27"/>
    <s v="No"/>
    <n v="0"/>
    <x v="0"/>
    <x v="0"/>
    <n v="11"/>
    <s v="Medical"/>
    <s v="1364"/>
    <x v="1"/>
    <x v="0"/>
    <n v="4"/>
    <n v="1"/>
    <x v="6"/>
    <x v="0"/>
    <x v="1"/>
    <n v="2534"/>
    <x v="1"/>
    <x v="1"/>
    <n v="3"/>
    <n v="5"/>
    <n v="3"/>
    <x v="6"/>
    <n v="0"/>
    <n v="0"/>
    <n v="0"/>
    <x v="2"/>
    <x v="1"/>
    <x v="1"/>
  </r>
  <r>
    <n v="51"/>
    <s v="No"/>
    <n v="0"/>
    <x v="0"/>
    <x v="1"/>
    <n v="11"/>
    <s v="Technical Degree"/>
    <s v="1367"/>
    <x v="2"/>
    <x v="0"/>
    <n v="2"/>
    <n v="4"/>
    <x v="3"/>
    <x v="1"/>
    <x v="0"/>
    <n v="13142"/>
    <x v="2"/>
    <x v="1"/>
    <n v="3"/>
    <n v="29"/>
    <n v="2"/>
    <x v="8"/>
    <n v="2"/>
    <n v="0"/>
    <n v="3"/>
    <x v="1"/>
    <x v="2"/>
    <x v="1"/>
  </r>
  <r>
    <n v="18"/>
    <s v="No"/>
    <n v="0"/>
    <x v="2"/>
    <x v="1"/>
    <n v="1"/>
    <s v="Life Sciences"/>
    <s v="1368"/>
    <x v="2"/>
    <x v="0"/>
    <n v="3"/>
    <n v="1"/>
    <x v="2"/>
    <x v="0"/>
    <x v="0"/>
    <n v="1611"/>
    <x v="1"/>
    <x v="1"/>
    <n v="3"/>
    <n v="0"/>
    <n v="4"/>
    <x v="2"/>
    <n v="0"/>
    <n v="0"/>
    <n v="0"/>
    <x v="3"/>
    <x v="1"/>
    <x v="1"/>
  </r>
  <r>
    <n v="35"/>
    <s v="No"/>
    <n v="0"/>
    <x v="0"/>
    <x v="1"/>
    <n v="1"/>
    <s v="Medical"/>
    <s v="1369"/>
    <x v="2"/>
    <x v="0"/>
    <n v="2"/>
    <n v="2"/>
    <x v="2"/>
    <x v="0"/>
    <x v="1"/>
    <n v="5363"/>
    <x v="0"/>
    <x v="1"/>
    <n v="3"/>
    <n v="10"/>
    <n v="3"/>
    <x v="7"/>
    <n v="7"/>
    <n v="0"/>
    <n v="0"/>
    <x v="2"/>
    <x v="0"/>
    <x v="0"/>
  </r>
  <r>
    <n v="27"/>
    <s v="No"/>
    <n v="0"/>
    <x v="1"/>
    <x v="0"/>
    <n v="2"/>
    <s v="Life Sciences"/>
    <s v="1371"/>
    <x v="2"/>
    <x v="1"/>
    <n v="1"/>
    <n v="2"/>
    <x v="0"/>
    <x v="0"/>
    <x v="0"/>
    <n v="5071"/>
    <x v="0"/>
    <x v="1"/>
    <n v="4"/>
    <n v="8"/>
    <n v="3"/>
    <x v="0"/>
    <n v="2"/>
    <n v="0"/>
    <n v="0"/>
    <x v="2"/>
    <x v="0"/>
    <x v="0"/>
  </r>
  <r>
    <n v="55"/>
    <s v="Yes"/>
    <n v="1"/>
    <x v="0"/>
    <x v="0"/>
    <n v="13"/>
    <s v="Marketing"/>
    <s v="1372"/>
    <x v="3"/>
    <x v="1"/>
    <n v="4"/>
    <n v="4"/>
    <x v="0"/>
    <x v="2"/>
    <x v="0"/>
    <n v="13695"/>
    <x v="2"/>
    <x v="0"/>
    <n v="3"/>
    <n v="24"/>
    <n v="2"/>
    <x v="27"/>
    <n v="7"/>
    <n v="3"/>
    <n v="8"/>
    <x v="1"/>
    <x v="2"/>
    <x v="2"/>
  </r>
  <r>
    <n v="56"/>
    <s v="No"/>
    <n v="0"/>
    <x v="0"/>
    <x v="1"/>
    <n v="23"/>
    <s v="Life Sciences"/>
    <s v="1373"/>
    <x v="2"/>
    <x v="1"/>
    <n v="3"/>
    <n v="4"/>
    <x v="3"/>
    <x v="1"/>
    <x v="1"/>
    <n v="13402"/>
    <x v="2"/>
    <x v="0"/>
    <n v="3"/>
    <n v="33"/>
    <n v="3"/>
    <x v="27"/>
    <n v="16"/>
    <n v="15"/>
    <n v="9"/>
    <x v="1"/>
    <x v="2"/>
    <x v="2"/>
  </r>
  <r>
    <n v="34"/>
    <s v="No"/>
    <n v="0"/>
    <x v="2"/>
    <x v="1"/>
    <n v="26"/>
    <s v="Technical Degree"/>
    <s v="1374"/>
    <x v="3"/>
    <x v="0"/>
    <n v="2"/>
    <n v="1"/>
    <x v="1"/>
    <x v="2"/>
    <x v="2"/>
    <n v="2029"/>
    <x v="1"/>
    <x v="1"/>
    <n v="4"/>
    <n v="5"/>
    <n v="3"/>
    <x v="8"/>
    <n v="4"/>
    <n v="0"/>
    <n v="0"/>
    <x v="2"/>
    <x v="1"/>
    <x v="1"/>
  </r>
  <r>
    <n v="40"/>
    <s v="No"/>
    <n v="0"/>
    <x v="0"/>
    <x v="1"/>
    <n v="2"/>
    <s v="Medical"/>
    <s v="1375"/>
    <x v="0"/>
    <x v="0"/>
    <n v="4"/>
    <n v="2"/>
    <x v="4"/>
    <x v="2"/>
    <x v="2"/>
    <n v="6377"/>
    <x v="0"/>
    <x v="1"/>
    <n v="4"/>
    <n v="15"/>
    <n v="3"/>
    <x v="12"/>
    <n v="11"/>
    <n v="11"/>
    <n v="8"/>
    <x v="0"/>
    <x v="0"/>
    <x v="2"/>
  </r>
  <r>
    <n v="34"/>
    <s v="No"/>
    <n v="0"/>
    <x v="0"/>
    <x v="1"/>
    <n v="29"/>
    <s v="Medical"/>
    <s v="1377"/>
    <x v="0"/>
    <x v="1"/>
    <n v="3"/>
    <n v="2"/>
    <x v="2"/>
    <x v="2"/>
    <x v="1"/>
    <n v="5429"/>
    <x v="0"/>
    <x v="1"/>
    <n v="3"/>
    <n v="10"/>
    <n v="3"/>
    <x v="3"/>
    <n v="7"/>
    <n v="7"/>
    <n v="7"/>
    <x v="2"/>
    <x v="0"/>
    <x v="0"/>
  </r>
  <r>
    <n v="31"/>
    <s v="Yes"/>
    <n v="1"/>
    <x v="1"/>
    <x v="0"/>
    <n v="2"/>
    <s v="Life Sciences"/>
    <s v="1379"/>
    <x v="1"/>
    <x v="0"/>
    <n v="2"/>
    <n v="1"/>
    <x v="6"/>
    <x v="0"/>
    <x v="0"/>
    <n v="2785"/>
    <x v="1"/>
    <x v="1"/>
    <n v="3"/>
    <n v="3"/>
    <n v="4"/>
    <x v="6"/>
    <n v="0"/>
    <n v="0"/>
    <n v="0"/>
    <x v="2"/>
    <x v="1"/>
    <x v="1"/>
  </r>
  <r>
    <n v="35"/>
    <s v="Yes"/>
    <n v="1"/>
    <x v="1"/>
    <x v="0"/>
    <n v="18"/>
    <s v="Marketing"/>
    <s v="1380"/>
    <x v="2"/>
    <x v="0"/>
    <n v="3"/>
    <n v="2"/>
    <x v="0"/>
    <x v="2"/>
    <x v="1"/>
    <n v="4614"/>
    <x v="1"/>
    <x v="0"/>
    <n v="3"/>
    <n v="5"/>
    <n v="2"/>
    <x v="9"/>
    <n v="2"/>
    <n v="3"/>
    <n v="2"/>
    <x v="2"/>
    <x v="1"/>
    <x v="1"/>
  </r>
  <r>
    <n v="38"/>
    <s v="No"/>
    <n v="0"/>
    <x v="1"/>
    <x v="1"/>
    <n v="7"/>
    <s v="Life Sciences"/>
    <s v="1382"/>
    <x v="2"/>
    <x v="1"/>
    <n v="4"/>
    <n v="1"/>
    <x v="1"/>
    <x v="2"/>
    <x v="2"/>
    <n v="2610"/>
    <x v="1"/>
    <x v="1"/>
    <n v="3"/>
    <n v="4"/>
    <n v="3"/>
    <x v="9"/>
    <n v="2"/>
    <n v="0"/>
    <n v="3"/>
    <x v="0"/>
    <x v="1"/>
    <x v="1"/>
  </r>
  <r>
    <n v="34"/>
    <s v="No"/>
    <n v="0"/>
    <x v="0"/>
    <x v="1"/>
    <n v="2"/>
    <s v="Technical Degree"/>
    <s v="1383"/>
    <x v="1"/>
    <x v="0"/>
    <n v="3"/>
    <n v="2"/>
    <x v="4"/>
    <x v="0"/>
    <x v="0"/>
    <n v="6687"/>
    <x v="0"/>
    <x v="1"/>
    <n v="3"/>
    <n v="14"/>
    <n v="4"/>
    <x v="13"/>
    <n v="11"/>
    <n v="4"/>
    <n v="11"/>
    <x v="2"/>
    <x v="0"/>
    <x v="2"/>
  </r>
  <r>
    <n v="28"/>
    <s v="No"/>
    <n v="0"/>
    <x v="0"/>
    <x v="0"/>
    <n v="26"/>
    <s v="Life Sciences"/>
    <s v="1387"/>
    <x v="1"/>
    <x v="1"/>
    <n v="2"/>
    <n v="2"/>
    <x v="0"/>
    <x v="3"/>
    <x v="1"/>
    <n v="4724"/>
    <x v="1"/>
    <x v="1"/>
    <n v="3"/>
    <n v="5"/>
    <n v="3"/>
    <x v="8"/>
    <n v="3"/>
    <n v="0"/>
    <n v="4"/>
    <x v="2"/>
    <x v="1"/>
    <x v="1"/>
  </r>
  <r>
    <n v="31"/>
    <s v="Yes"/>
    <n v="1"/>
    <x v="0"/>
    <x v="1"/>
    <n v="22"/>
    <s v="Medical"/>
    <s v="1389"/>
    <x v="2"/>
    <x v="1"/>
    <n v="3"/>
    <n v="2"/>
    <x v="3"/>
    <x v="2"/>
    <x v="1"/>
    <n v="6179"/>
    <x v="0"/>
    <x v="0"/>
    <n v="3"/>
    <n v="10"/>
    <n v="2"/>
    <x v="1"/>
    <n v="2"/>
    <n v="6"/>
    <n v="7"/>
    <x v="2"/>
    <x v="0"/>
    <x v="0"/>
  </r>
  <r>
    <n v="39"/>
    <s v="No"/>
    <n v="0"/>
    <x v="0"/>
    <x v="0"/>
    <n v="21"/>
    <s v="Life Sciences"/>
    <s v="1390"/>
    <x v="3"/>
    <x v="1"/>
    <n v="2"/>
    <n v="2"/>
    <x v="0"/>
    <x v="0"/>
    <x v="1"/>
    <n v="6120"/>
    <x v="0"/>
    <x v="0"/>
    <n v="3"/>
    <n v="8"/>
    <n v="4"/>
    <x v="8"/>
    <n v="4"/>
    <n v="1"/>
    <n v="4"/>
    <x v="0"/>
    <x v="0"/>
    <x v="1"/>
  </r>
  <r>
    <n v="51"/>
    <s v="No"/>
    <n v="0"/>
    <x v="1"/>
    <x v="0"/>
    <n v="2"/>
    <s v="Marketing"/>
    <s v="1391"/>
    <x v="0"/>
    <x v="1"/>
    <n v="3"/>
    <n v="3"/>
    <x v="0"/>
    <x v="1"/>
    <x v="1"/>
    <n v="10596"/>
    <x v="0"/>
    <x v="1"/>
    <n v="3"/>
    <n v="14"/>
    <n v="3"/>
    <x v="9"/>
    <n v="2"/>
    <n v="3"/>
    <n v="2"/>
    <x v="1"/>
    <x v="0"/>
    <x v="1"/>
  </r>
  <r>
    <n v="41"/>
    <s v="No"/>
    <n v="0"/>
    <x v="1"/>
    <x v="1"/>
    <n v="22"/>
    <s v="Life Sciences"/>
    <s v="1392"/>
    <x v="2"/>
    <x v="0"/>
    <n v="3"/>
    <n v="2"/>
    <x v="1"/>
    <x v="0"/>
    <x v="2"/>
    <n v="5467"/>
    <x v="0"/>
    <x v="0"/>
    <n v="3"/>
    <n v="12"/>
    <n v="2"/>
    <x v="0"/>
    <n v="2"/>
    <n v="3"/>
    <n v="3"/>
    <x v="0"/>
    <x v="0"/>
    <x v="0"/>
  </r>
  <r>
    <n v="37"/>
    <s v="No"/>
    <n v="0"/>
    <x v="0"/>
    <x v="1"/>
    <n v="4"/>
    <s v="Life Sciences"/>
    <s v="1394"/>
    <x v="1"/>
    <x v="1"/>
    <n v="3"/>
    <n v="1"/>
    <x v="1"/>
    <x v="2"/>
    <x v="1"/>
    <n v="2996"/>
    <x v="1"/>
    <x v="0"/>
    <n v="3"/>
    <n v="8"/>
    <n v="3"/>
    <x v="0"/>
    <n v="4"/>
    <n v="1"/>
    <n v="3"/>
    <x v="0"/>
    <x v="0"/>
    <x v="0"/>
  </r>
  <r>
    <n v="33"/>
    <s v="No"/>
    <n v="0"/>
    <x v="1"/>
    <x v="0"/>
    <n v="5"/>
    <s v="Life Sciences"/>
    <s v="1395"/>
    <x v="0"/>
    <x v="1"/>
    <n v="3"/>
    <n v="2"/>
    <x v="0"/>
    <x v="0"/>
    <x v="1"/>
    <n v="9998"/>
    <x v="0"/>
    <x v="1"/>
    <n v="3"/>
    <n v="8"/>
    <n v="4"/>
    <x v="8"/>
    <n v="4"/>
    <n v="1"/>
    <n v="2"/>
    <x v="2"/>
    <x v="0"/>
    <x v="1"/>
  </r>
  <r>
    <n v="32"/>
    <s v="No"/>
    <n v="0"/>
    <x v="0"/>
    <x v="0"/>
    <n v="2"/>
    <s v="Marketing"/>
    <s v="1396"/>
    <x v="1"/>
    <x v="1"/>
    <n v="3"/>
    <n v="2"/>
    <x v="0"/>
    <x v="1"/>
    <x v="1"/>
    <n v="4078"/>
    <x v="1"/>
    <x v="0"/>
    <n v="3"/>
    <n v="4"/>
    <n v="2"/>
    <x v="11"/>
    <n v="2"/>
    <n v="1"/>
    <n v="2"/>
    <x v="2"/>
    <x v="1"/>
    <x v="1"/>
  </r>
  <r>
    <n v="39"/>
    <s v="No"/>
    <n v="0"/>
    <x v="2"/>
    <x v="1"/>
    <n v="25"/>
    <s v="Life Sciences"/>
    <s v="1397"/>
    <x v="1"/>
    <x v="1"/>
    <n v="3"/>
    <n v="3"/>
    <x v="4"/>
    <x v="2"/>
    <x v="1"/>
    <n v="10920"/>
    <x v="0"/>
    <x v="1"/>
    <n v="4"/>
    <n v="13"/>
    <n v="3"/>
    <x v="0"/>
    <n v="4"/>
    <n v="0"/>
    <n v="5"/>
    <x v="0"/>
    <x v="0"/>
    <x v="0"/>
  </r>
  <r>
    <n v="25"/>
    <s v="No"/>
    <n v="0"/>
    <x v="0"/>
    <x v="0"/>
    <n v="18"/>
    <s v="Life Sciences"/>
    <s v="1399"/>
    <x v="3"/>
    <x v="1"/>
    <n v="4"/>
    <n v="2"/>
    <x v="0"/>
    <x v="2"/>
    <x v="1"/>
    <n v="6232"/>
    <x v="0"/>
    <x v="1"/>
    <n v="3"/>
    <n v="6"/>
    <n v="2"/>
    <x v="11"/>
    <n v="2"/>
    <n v="1"/>
    <n v="2"/>
    <x v="3"/>
    <x v="0"/>
    <x v="1"/>
  </r>
  <r>
    <n v="52"/>
    <s v="No"/>
    <n v="0"/>
    <x v="1"/>
    <x v="1"/>
    <n v="28"/>
    <s v="Medical"/>
    <s v="1401"/>
    <x v="2"/>
    <x v="0"/>
    <n v="4"/>
    <n v="4"/>
    <x v="3"/>
    <x v="2"/>
    <x v="1"/>
    <n v="13247"/>
    <x v="2"/>
    <x v="0"/>
    <n v="3"/>
    <n v="24"/>
    <n v="2"/>
    <x v="8"/>
    <n v="3"/>
    <n v="0"/>
    <n v="2"/>
    <x v="1"/>
    <x v="2"/>
    <x v="1"/>
  </r>
  <r>
    <n v="43"/>
    <s v="No"/>
    <n v="0"/>
    <x v="0"/>
    <x v="1"/>
    <n v="6"/>
    <s v="Medical"/>
    <s v="1402"/>
    <x v="3"/>
    <x v="0"/>
    <n v="2"/>
    <n v="2"/>
    <x v="1"/>
    <x v="2"/>
    <x v="0"/>
    <n v="4081"/>
    <x v="1"/>
    <x v="0"/>
    <n v="3"/>
    <n v="20"/>
    <n v="1"/>
    <x v="23"/>
    <n v="7"/>
    <n v="1"/>
    <n v="8"/>
    <x v="0"/>
    <x v="2"/>
    <x v="2"/>
  </r>
  <r>
    <n v="27"/>
    <s v="No"/>
    <n v="0"/>
    <x v="0"/>
    <x v="0"/>
    <n v="10"/>
    <s v="Marketing"/>
    <s v="1403"/>
    <x v="2"/>
    <x v="0"/>
    <n v="2"/>
    <n v="2"/>
    <x v="0"/>
    <x v="0"/>
    <x v="1"/>
    <n v="5769"/>
    <x v="0"/>
    <x v="0"/>
    <n v="3"/>
    <n v="6"/>
    <n v="3"/>
    <x v="0"/>
    <n v="2"/>
    <n v="4"/>
    <n v="4"/>
    <x v="2"/>
    <x v="0"/>
    <x v="0"/>
  </r>
  <r>
    <n v="27"/>
    <s v="Yes"/>
    <n v="1"/>
    <x v="0"/>
    <x v="1"/>
    <n v="17"/>
    <s v="Life Sciences"/>
    <s v="1405"/>
    <x v="2"/>
    <x v="0"/>
    <n v="3"/>
    <n v="1"/>
    <x v="1"/>
    <x v="2"/>
    <x v="0"/>
    <n v="2394"/>
    <x v="1"/>
    <x v="0"/>
    <n v="3"/>
    <n v="8"/>
    <n v="3"/>
    <x v="3"/>
    <n v="2"/>
    <n v="7"/>
    <n v="7"/>
    <x v="2"/>
    <x v="0"/>
    <x v="0"/>
  </r>
  <r>
    <n v="26"/>
    <s v="No"/>
    <n v="0"/>
    <x v="0"/>
    <x v="1"/>
    <n v="2"/>
    <s v="Medical"/>
    <s v="1407"/>
    <x v="3"/>
    <x v="1"/>
    <n v="2"/>
    <n v="1"/>
    <x v="1"/>
    <x v="0"/>
    <x v="0"/>
    <n v="3904"/>
    <x v="1"/>
    <x v="1"/>
    <n v="3"/>
    <n v="5"/>
    <n v="3"/>
    <x v="9"/>
    <n v="3"/>
    <n v="1"/>
    <n v="1"/>
    <x v="2"/>
    <x v="1"/>
    <x v="1"/>
  </r>
  <r>
    <n v="42"/>
    <s v="No"/>
    <n v="0"/>
    <x v="0"/>
    <x v="2"/>
    <n v="10"/>
    <s v="Human Resources"/>
    <s v="1408"/>
    <x v="1"/>
    <x v="0"/>
    <n v="3"/>
    <n v="4"/>
    <x v="5"/>
    <x v="3"/>
    <x v="1"/>
    <n v="16799"/>
    <x v="2"/>
    <x v="1"/>
    <n v="3"/>
    <n v="21"/>
    <n v="3"/>
    <x v="23"/>
    <n v="7"/>
    <n v="0"/>
    <n v="9"/>
    <x v="0"/>
    <x v="2"/>
    <x v="2"/>
  </r>
  <r>
    <n v="52"/>
    <s v="No"/>
    <n v="0"/>
    <x v="0"/>
    <x v="1"/>
    <n v="8"/>
    <s v="Other"/>
    <s v="1409"/>
    <x v="1"/>
    <x v="0"/>
    <n v="3"/>
    <n v="1"/>
    <x v="2"/>
    <x v="3"/>
    <x v="1"/>
    <n v="2950"/>
    <x v="1"/>
    <x v="1"/>
    <n v="3"/>
    <n v="12"/>
    <n v="1"/>
    <x v="8"/>
    <n v="4"/>
    <n v="0"/>
    <n v="4"/>
    <x v="1"/>
    <x v="0"/>
    <x v="1"/>
  </r>
  <r>
    <n v="37"/>
    <s v="No"/>
    <n v="0"/>
    <x v="0"/>
    <x v="1"/>
    <n v="11"/>
    <s v="Medical"/>
    <s v="1411"/>
    <x v="3"/>
    <x v="0"/>
    <n v="3"/>
    <n v="1"/>
    <x v="2"/>
    <x v="2"/>
    <x v="0"/>
    <n v="3629"/>
    <x v="1"/>
    <x v="1"/>
    <n v="3"/>
    <n v="8"/>
    <n v="3"/>
    <x v="11"/>
    <n v="2"/>
    <n v="0"/>
    <n v="2"/>
    <x v="0"/>
    <x v="0"/>
    <x v="1"/>
  </r>
  <r>
    <n v="35"/>
    <s v="No"/>
    <n v="0"/>
    <x v="1"/>
    <x v="1"/>
    <n v="18"/>
    <s v="Life Sciences"/>
    <s v="1412"/>
    <x v="1"/>
    <x v="1"/>
    <n v="3"/>
    <n v="3"/>
    <x v="3"/>
    <x v="0"/>
    <x v="0"/>
    <n v="9362"/>
    <x v="0"/>
    <x v="1"/>
    <n v="3"/>
    <n v="10"/>
    <n v="3"/>
    <x v="4"/>
    <n v="2"/>
    <n v="2"/>
    <n v="2"/>
    <x v="2"/>
    <x v="0"/>
    <x v="1"/>
  </r>
  <r>
    <n v="25"/>
    <s v="No"/>
    <n v="0"/>
    <x v="0"/>
    <x v="1"/>
    <n v="1"/>
    <s v="Technical Degree"/>
    <s v="1415"/>
    <x v="3"/>
    <x v="1"/>
    <n v="3"/>
    <n v="1"/>
    <x v="2"/>
    <x v="0"/>
    <x v="1"/>
    <n v="3229"/>
    <x v="1"/>
    <x v="1"/>
    <n v="3"/>
    <n v="7"/>
    <n v="2"/>
    <x v="11"/>
    <n v="2"/>
    <n v="0"/>
    <n v="2"/>
    <x v="3"/>
    <x v="0"/>
    <x v="1"/>
  </r>
  <r>
    <n v="26"/>
    <s v="No"/>
    <n v="0"/>
    <x v="0"/>
    <x v="1"/>
    <n v="7"/>
    <s v="Other"/>
    <s v="1417"/>
    <x v="1"/>
    <x v="1"/>
    <n v="4"/>
    <n v="1"/>
    <x v="2"/>
    <x v="3"/>
    <x v="0"/>
    <n v="3578"/>
    <x v="1"/>
    <x v="1"/>
    <n v="3"/>
    <n v="8"/>
    <n v="3"/>
    <x v="5"/>
    <n v="7"/>
    <n v="0"/>
    <n v="7"/>
    <x v="2"/>
    <x v="0"/>
    <x v="0"/>
  </r>
  <r>
    <n v="29"/>
    <s v="No"/>
    <n v="0"/>
    <x v="0"/>
    <x v="2"/>
    <n v="17"/>
    <s v="Other"/>
    <s v="1419"/>
    <x v="0"/>
    <x v="1"/>
    <n v="2"/>
    <n v="3"/>
    <x v="8"/>
    <x v="3"/>
    <x v="0"/>
    <n v="7988"/>
    <x v="0"/>
    <x v="1"/>
    <n v="3"/>
    <n v="10"/>
    <n v="2"/>
    <x v="1"/>
    <n v="9"/>
    <n v="0"/>
    <n v="9"/>
    <x v="2"/>
    <x v="0"/>
    <x v="0"/>
  </r>
  <r>
    <n v="49"/>
    <s v="Yes"/>
    <n v="1"/>
    <x v="1"/>
    <x v="1"/>
    <n v="28"/>
    <s v="Life Sciences"/>
    <s v="1420"/>
    <x v="3"/>
    <x v="1"/>
    <n v="2"/>
    <n v="2"/>
    <x v="2"/>
    <x v="3"/>
    <x v="0"/>
    <n v="4284"/>
    <x v="1"/>
    <x v="1"/>
    <n v="4"/>
    <n v="20"/>
    <n v="3"/>
    <x v="9"/>
    <n v="3"/>
    <n v="1"/>
    <n v="3"/>
    <x v="1"/>
    <x v="2"/>
    <x v="1"/>
  </r>
  <r>
    <n v="29"/>
    <s v="Yes"/>
    <n v="1"/>
    <x v="1"/>
    <x v="1"/>
    <n v="14"/>
    <s v="Other"/>
    <s v="1421"/>
    <x v="1"/>
    <x v="0"/>
    <n v="3"/>
    <n v="3"/>
    <x v="4"/>
    <x v="0"/>
    <x v="0"/>
    <n v="7553"/>
    <x v="0"/>
    <x v="0"/>
    <n v="3"/>
    <n v="9"/>
    <n v="3"/>
    <x v="3"/>
    <n v="7"/>
    <n v="7"/>
    <n v="7"/>
    <x v="2"/>
    <x v="0"/>
    <x v="0"/>
  </r>
  <r>
    <n v="54"/>
    <s v="No"/>
    <n v="0"/>
    <x v="0"/>
    <x v="1"/>
    <n v="1"/>
    <s v="Medical"/>
    <s v="1422"/>
    <x v="2"/>
    <x v="0"/>
    <n v="3"/>
    <n v="4"/>
    <x v="7"/>
    <x v="0"/>
    <x v="0"/>
    <n v="17328"/>
    <x v="2"/>
    <x v="1"/>
    <n v="3"/>
    <n v="29"/>
    <n v="2"/>
    <x v="23"/>
    <n v="7"/>
    <n v="12"/>
    <n v="7"/>
    <x v="1"/>
    <x v="2"/>
    <x v="2"/>
  </r>
  <r>
    <n v="58"/>
    <s v="No"/>
    <n v="0"/>
    <x v="0"/>
    <x v="1"/>
    <n v="1"/>
    <s v="Medical"/>
    <s v="1423"/>
    <x v="2"/>
    <x v="0"/>
    <n v="3"/>
    <n v="5"/>
    <x v="7"/>
    <x v="3"/>
    <x v="1"/>
    <n v="19701"/>
    <x v="2"/>
    <x v="0"/>
    <n v="4"/>
    <n v="32"/>
    <n v="3"/>
    <x v="7"/>
    <n v="8"/>
    <n v="1"/>
    <n v="5"/>
    <x v="1"/>
    <x v="2"/>
    <x v="0"/>
  </r>
  <r>
    <n v="55"/>
    <s v="No"/>
    <n v="0"/>
    <x v="0"/>
    <x v="1"/>
    <n v="1"/>
    <s v="Medical"/>
    <s v="1424"/>
    <x v="0"/>
    <x v="1"/>
    <n v="4"/>
    <n v="4"/>
    <x v="7"/>
    <x v="0"/>
    <x v="2"/>
    <n v="14732"/>
    <x v="2"/>
    <x v="1"/>
    <n v="3"/>
    <n v="31"/>
    <n v="4"/>
    <x v="5"/>
    <n v="7"/>
    <n v="0"/>
    <n v="0"/>
    <x v="1"/>
    <x v="2"/>
    <x v="0"/>
  </r>
  <r>
    <n v="36"/>
    <s v="No"/>
    <n v="0"/>
    <x v="0"/>
    <x v="0"/>
    <n v="3"/>
    <s v="Marketing"/>
    <s v="1425"/>
    <x v="3"/>
    <x v="0"/>
    <n v="3"/>
    <n v="2"/>
    <x v="0"/>
    <x v="1"/>
    <x v="0"/>
    <n v="9278"/>
    <x v="0"/>
    <x v="0"/>
    <n v="3"/>
    <n v="15"/>
    <n v="3"/>
    <x v="8"/>
    <n v="4"/>
    <n v="0"/>
    <n v="1"/>
    <x v="0"/>
    <x v="0"/>
    <x v="1"/>
  </r>
  <r>
    <n v="31"/>
    <s v="Yes"/>
    <n v="1"/>
    <x v="1"/>
    <x v="0"/>
    <n v="1"/>
    <s v="Life Sciences"/>
    <s v="1427"/>
    <x v="0"/>
    <x v="0"/>
    <n v="1"/>
    <n v="1"/>
    <x v="6"/>
    <x v="2"/>
    <x v="0"/>
    <n v="1359"/>
    <x v="1"/>
    <x v="1"/>
    <n v="3"/>
    <n v="1"/>
    <n v="3"/>
    <x v="6"/>
    <n v="0"/>
    <n v="0"/>
    <n v="0"/>
    <x v="2"/>
    <x v="1"/>
    <x v="1"/>
  </r>
  <r>
    <n v="30"/>
    <s v="No"/>
    <n v="0"/>
    <x v="0"/>
    <x v="0"/>
    <n v="7"/>
    <s v="Marketing"/>
    <s v="1428"/>
    <x v="2"/>
    <x v="0"/>
    <n v="3"/>
    <n v="2"/>
    <x v="0"/>
    <x v="3"/>
    <x v="2"/>
    <n v="4779"/>
    <x v="1"/>
    <x v="1"/>
    <n v="3"/>
    <n v="8"/>
    <n v="3"/>
    <x v="11"/>
    <n v="2"/>
    <n v="0"/>
    <n v="2"/>
    <x v="2"/>
    <x v="0"/>
    <x v="1"/>
  </r>
  <r>
    <n v="31"/>
    <s v="No"/>
    <n v="0"/>
    <x v="0"/>
    <x v="1"/>
    <n v="8"/>
    <s v="Life Sciences"/>
    <s v="1430"/>
    <x v="3"/>
    <x v="0"/>
    <n v="3"/>
    <n v="4"/>
    <x v="7"/>
    <x v="1"/>
    <x v="0"/>
    <n v="16422"/>
    <x v="2"/>
    <x v="1"/>
    <n v="3"/>
    <n v="9"/>
    <n v="4"/>
    <x v="11"/>
    <n v="2"/>
    <n v="1"/>
    <n v="0"/>
    <x v="2"/>
    <x v="0"/>
    <x v="1"/>
  </r>
  <r>
    <n v="34"/>
    <s v="No"/>
    <n v="0"/>
    <x v="1"/>
    <x v="1"/>
    <n v="1"/>
    <s v="Other"/>
    <s v="1431"/>
    <x v="2"/>
    <x v="1"/>
    <n v="3"/>
    <n v="1"/>
    <x v="1"/>
    <x v="3"/>
    <x v="2"/>
    <n v="2996"/>
    <x v="1"/>
    <x v="1"/>
    <n v="3"/>
    <n v="10"/>
    <n v="3"/>
    <x v="9"/>
    <n v="3"/>
    <n v="1"/>
    <n v="3"/>
    <x v="2"/>
    <x v="0"/>
    <x v="1"/>
  </r>
  <r>
    <n v="31"/>
    <s v="Yes"/>
    <n v="1"/>
    <x v="0"/>
    <x v="1"/>
    <n v="8"/>
    <s v="Life Sciences"/>
    <s v="1433"/>
    <x v="3"/>
    <x v="0"/>
    <n v="2"/>
    <n v="1"/>
    <x v="1"/>
    <x v="1"/>
    <x v="0"/>
    <n v="1261"/>
    <x v="1"/>
    <x v="1"/>
    <n v="3"/>
    <n v="1"/>
    <n v="4"/>
    <x v="6"/>
    <n v="0"/>
    <n v="0"/>
    <n v="0"/>
    <x v="2"/>
    <x v="1"/>
    <x v="1"/>
  </r>
  <r>
    <n v="27"/>
    <s v="No"/>
    <n v="0"/>
    <x v="0"/>
    <x v="1"/>
    <n v="11"/>
    <s v="Life Sciences"/>
    <s v="1434"/>
    <x v="0"/>
    <x v="1"/>
    <n v="3"/>
    <n v="1"/>
    <x v="2"/>
    <x v="3"/>
    <x v="1"/>
    <n v="2099"/>
    <x v="1"/>
    <x v="1"/>
    <n v="3"/>
    <n v="6"/>
    <n v="4"/>
    <x v="8"/>
    <n v="0"/>
    <n v="1"/>
    <n v="4"/>
    <x v="2"/>
    <x v="0"/>
    <x v="1"/>
  </r>
  <r>
    <n v="36"/>
    <s v="No"/>
    <n v="0"/>
    <x v="0"/>
    <x v="1"/>
    <n v="4"/>
    <s v="Life Sciences"/>
    <s v="1435"/>
    <x v="3"/>
    <x v="1"/>
    <n v="2"/>
    <n v="2"/>
    <x v="2"/>
    <x v="0"/>
    <x v="0"/>
    <n v="5810"/>
    <x v="0"/>
    <x v="1"/>
    <n v="3"/>
    <n v="10"/>
    <n v="2"/>
    <x v="1"/>
    <n v="4"/>
    <n v="1"/>
    <n v="8"/>
    <x v="0"/>
    <x v="0"/>
    <x v="0"/>
  </r>
  <r>
    <n v="36"/>
    <s v="No"/>
    <n v="0"/>
    <x v="0"/>
    <x v="0"/>
    <n v="16"/>
    <s v="Marketing"/>
    <s v="1436"/>
    <x v="1"/>
    <x v="0"/>
    <n v="2"/>
    <n v="2"/>
    <x v="0"/>
    <x v="3"/>
    <x v="1"/>
    <n v="5647"/>
    <x v="0"/>
    <x v="1"/>
    <n v="3"/>
    <n v="11"/>
    <n v="2"/>
    <x v="11"/>
    <n v="2"/>
    <n v="0"/>
    <n v="2"/>
    <x v="0"/>
    <x v="0"/>
    <x v="1"/>
  </r>
  <r>
    <n v="47"/>
    <s v="No"/>
    <n v="0"/>
    <x v="0"/>
    <x v="1"/>
    <n v="1"/>
    <s v="Technical Degree"/>
    <s v="1438"/>
    <x v="3"/>
    <x v="1"/>
    <n v="3"/>
    <n v="1"/>
    <x v="1"/>
    <x v="0"/>
    <x v="1"/>
    <n v="3420"/>
    <x v="1"/>
    <x v="1"/>
    <n v="3"/>
    <n v="17"/>
    <n v="2"/>
    <x v="0"/>
    <n v="5"/>
    <n v="1"/>
    <n v="2"/>
    <x v="1"/>
    <x v="2"/>
    <x v="0"/>
  </r>
  <r>
    <n v="25"/>
    <s v="Yes"/>
    <n v="1"/>
    <x v="0"/>
    <x v="0"/>
    <n v="9"/>
    <s v="Life Sciences"/>
    <s v="1439"/>
    <x v="3"/>
    <x v="1"/>
    <n v="2"/>
    <n v="1"/>
    <x v="6"/>
    <x v="3"/>
    <x v="1"/>
    <n v="4400"/>
    <x v="1"/>
    <x v="1"/>
    <n v="3"/>
    <n v="6"/>
    <n v="3"/>
    <x v="11"/>
    <n v="2"/>
    <n v="2"/>
    <n v="2"/>
    <x v="3"/>
    <x v="0"/>
    <x v="1"/>
  </r>
  <r>
    <n v="37"/>
    <s v="No"/>
    <n v="0"/>
    <x v="2"/>
    <x v="1"/>
    <n v="5"/>
    <s v="Technical Degree"/>
    <s v="1440"/>
    <x v="1"/>
    <x v="1"/>
    <n v="4"/>
    <n v="1"/>
    <x v="2"/>
    <x v="2"/>
    <x v="0"/>
    <n v="3500"/>
    <x v="1"/>
    <x v="1"/>
    <n v="3"/>
    <n v="7"/>
    <n v="1"/>
    <x v="0"/>
    <n v="5"/>
    <n v="1"/>
    <n v="3"/>
    <x v="0"/>
    <x v="0"/>
    <x v="0"/>
  </r>
  <r>
    <n v="56"/>
    <s v="No"/>
    <n v="0"/>
    <x v="0"/>
    <x v="1"/>
    <n v="1"/>
    <s v="Life Sciences"/>
    <s v="1441"/>
    <x v="3"/>
    <x v="0"/>
    <n v="3"/>
    <n v="1"/>
    <x v="1"/>
    <x v="3"/>
    <x v="1"/>
    <n v="2066"/>
    <x v="1"/>
    <x v="1"/>
    <n v="4"/>
    <n v="5"/>
    <n v="4"/>
    <x v="11"/>
    <n v="2"/>
    <n v="1"/>
    <n v="0"/>
    <x v="1"/>
    <x v="1"/>
    <x v="1"/>
  </r>
  <r>
    <n v="47"/>
    <s v="No"/>
    <n v="0"/>
    <x v="0"/>
    <x v="1"/>
    <n v="2"/>
    <s v="Medical"/>
    <s v="1443"/>
    <x v="3"/>
    <x v="0"/>
    <n v="3"/>
    <n v="4"/>
    <x v="7"/>
    <x v="2"/>
    <x v="1"/>
    <n v="17169"/>
    <x v="2"/>
    <x v="1"/>
    <n v="3"/>
    <n v="26"/>
    <n v="4"/>
    <x v="23"/>
    <n v="17"/>
    <n v="5"/>
    <n v="6"/>
    <x v="1"/>
    <x v="2"/>
    <x v="2"/>
  </r>
  <r>
    <n v="24"/>
    <s v="No"/>
    <n v="0"/>
    <x v="0"/>
    <x v="0"/>
    <n v="4"/>
    <s v="Medical"/>
    <s v="1445"/>
    <x v="2"/>
    <x v="0"/>
    <n v="3"/>
    <n v="2"/>
    <x v="0"/>
    <x v="2"/>
    <x v="1"/>
    <n v="4162"/>
    <x v="1"/>
    <x v="0"/>
    <n v="3"/>
    <n v="5"/>
    <n v="3"/>
    <x v="8"/>
    <n v="4"/>
    <n v="0"/>
    <n v="3"/>
    <x v="3"/>
    <x v="1"/>
    <x v="1"/>
  </r>
  <r>
    <n v="32"/>
    <s v="No"/>
    <n v="0"/>
    <x v="0"/>
    <x v="0"/>
    <n v="7"/>
    <s v="Marketing"/>
    <s v="1446"/>
    <x v="2"/>
    <x v="1"/>
    <n v="3"/>
    <n v="2"/>
    <x v="0"/>
    <x v="0"/>
    <x v="1"/>
    <n v="9204"/>
    <x v="0"/>
    <x v="1"/>
    <n v="3"/>
    <n v="7"/>
    <n v="2"/>
    <x v="9"/>
    <n v="3"/>
    <n v="0"/>
    <n v="3"/>
    <x v="2"/>
    <x v="0"/>
    <x v="1"/>
  </r>
  <r>
    <n v="34"/>
    <s v="No"/>
    <n v="0"/>
    <x v="0"/>
    <x v="1"/>
    <n v="1"/>
    <s v="Life Sciences"/>
    <s v="1447"/>
    <x v="2"/>
    <x v="0"/>
    <n v="2"/>
    <n v="1"/>
    <x v="2"/>
    <x v="1"/>
    <x v="1"/>
    <n v="3294"/>
    <x v="1"/>
    <x v="1"/>
    <n v="3"/>
    <n v="7"/>
    <n v="2"/>
    <x v="8"/>
    <n v="4"/>
    <n v="0"/>
    <n v="2"/>
    <x v="2"/>
    <x v="0"/>
    <x v="1"/>
  </r>
  <r>
    <n v="41"/>
    <s v="No"/>
    <n v="0"/>
    <x v="0"/>
    <x v="1"/>
    <n v="5"/>
    <s v="Medical"/>
    <s v="1448"/>
    <x v="0"/>
    <x v="1"/>
    <n v="4"/>
    <n v="1"/>
    <x v="1"/>
    <x v="2"/>
    <x v="1"/>
    <n v="2127"/>
    <x v="1"/>
    <x v="0"/>
    <n v="3"/>
    <n v="7"/>
    <n v="2"/>
    <x v="9"/>
    <n v="2"/>
    <n v="0"/>
    <n v="3"/>
    <x v="0"/>
    <x v="0"/>
    <x v="1"/>
  </r>
  <r>
    <n v="40"/>
    <s v="No"/>
    <n v="0"/>
    <x v="2"/>
    <x v="1"/>
    <n v="9"/>
    <s v="Other"/>
    <s v="1449"/>
    <x v="1"/>
    <x v="1"/>
    <n v="3"/>
    <n v="2"/>
    <x v="2"/>
    <x v="2"/>
    <x v="2"/>
    <n v="3975"/>
    <x v="1"/>
    <x v="1"/>
    <n v="3"/>
    <n v="11"/>
    <n v="4"/>
    <x v="3"/>
    <n v="7"/>
    <n v="0"/>
    <n v="7"/>
    <x v="0"/>
    <x v="0"/>
    <x v="0"/>
  </r>
  <r>
    <n v="31"/>
    <s v="No"/>
    <n v="0"/>
    <x v="0"/>
    <x v="0"/>
    <n v="8"/>
    <s v="Life Sciences"/>
    <s v="1453"/>
    <x v="3"/>
    <x v="1"/>
    <n v="3"/>
    <n v="3"/>
    <x v="0"/>
    <x v="0"/>
    <x v="2"/>
    <n v="10793"/>
    <x v="0"/>
    <x v="1"/>
    <n v="3"/>
    <n v="13"/>
    <n v="3"/>
    <x v="20"/>
    <n v="7"/>
    <n v="9"/>
    <n v="9"/>
    <x v="2"/>
    <x v="0"/>
    <x v="2"/>
  </r>
  <r>
    <n v="46"/>
    <s v="Yes"/>
    <n v="1"/>
    <x v="0"/>
    <x v="0"/>
    <n v="9"/>
    <s v="Marketing"/>
    <s v="1457"/>
    <x v="3"/>
    <x v="1"/>
    <n v="3"/>
    <n v="3"/>
    <x v="0"/>
    <x v="0"/>
    <x v="2"/>
    <n v="10096"/>
    <x v="0"/>
    <x v="1"/>
    <n v="3"/>
    <n v="28"/>
    <n v="4"/>
    <x v="5"/>
    <n v="7"/>
    <n v="4"/>
    <n v="3"/>
    <x v="1"/>
    <x v="2"/>
    <x v="0"/>
  </r>
  <r>
    <n v="39"/>
    <s v="Yes"/>
    <n v="1"/>
    <x v="2"/>
    <x v="1"/>
    <n v="2"/>
    <s v="Life Sciences"/>
    <s v="1458"/>
    <x v="3"/>
    <x v="0"/>
    <n v="2"/>
    <n v="1"/>
    <x v="2"/>
    <x v="3"/>
    <x v="0"/>
    <n v="3646"/>
    <x v="1"/>
    <x v="0"/>
    <n v="4"/>
    <n v="11"/>
    <n v="4"/>
    <x v="6"/>
    <n v="0"/>
    <n v="0"/>
    <n v="0"/>
    <x v="0"/>
    <x v="0"/>
    <x v="1"/>
  </r>
  <r>
    <n v="31"/>
    <s v="Yes"/>
    <n v="1"/>
    <x v="1"/>
    <x v="1"/>
    <n v="1"/>
    <s v="Life Sciences"/>
    <s v="1459"/>
    <x v="1"/>
    <x v="0"/>
    <n v="4"/>
    <n v="3"/>
    <x v="3"/>
    <x v="1"/>
    <x v="0"/>
    <n v="7446"/>
    <x v="0"/>
    <x v="1"/>
    <n v="3"/>
    <n v="10"/>
    <n v="3"/>
    <x v="1"/>
    <n v="8"/>
    <n v="4"/>
    <n v="7"/>
    <x v="2"/>
    <x v="0"/>
    <x v="0"/>
  </r>
  <r>
    <n v="45"/>
    <s v="No"/>
    <n v="0"/>
    <x v="0"/>
    <x v="1"/>
    <n v="20"/>
    <s v="Medical"/>
    <s v="1460"/>
    <x v="0"/>
    <x v="1"/>
    <n v="1"/>
    <n v="3"/>
    <x v="4"/>
    <x v="3"/>
    <x v="2"/>
    <n v="10851"/>
    <x v="0"/>
    <x v="0"/>
    <n v="3"/>
    <n v="24"/>
    <n v="3"/>
    <x v="5"/>
    <n v="7"/>
    <n v="0"/>
    <n v="7"/>
    <x v="0"/>
    <x v="2"/>
    <x v="0"/>
  </r>
  <r>
    <n v="31"/>
    <s v="No"/>
    <n v="0"/>
    <x v="0"/>
    <x v="2"/>
    <n v="8"/>
    <s v="Medical"/>
    <s v="1461"/>
    <x v="2"/>
    <x v="0"/>
    <n v="4"/>
    <n v="1"/>
    <x v="8"/>
    <x v="1"/>
    <x v="0"/>
    <n v="2109"/>
    <x v="1"/>
    <x v="1"/>
    <n v="3"/>
    <n v="8"/>
    <n v="3"/>
    <x v="11"/>
    <n v="2"/>
    <n v="0"/>
    <n v="2"/>
    <x v="2"/>
    <x v="0"/>
    <x v="1"/>
  </r>
  <r>
    <n v="31"/>
    <s v="Yes"/>
    <n v="1"/>
    <x v="1"/>
    <x v="1"/>
    <n v="2"/>
    <s v="Life Sciences"/>
    <s v="1464"/>
    <x v="0"/>
    <x v="1"/>
    <n v="3"/>
    <n v="1"/>
    <x v="2"/>
    <x v="0"/>
    <x v="1"/>
    <n v="3722"/>
    <x v="1"/>
    <x v="0"/>
    <n v="3"/>
    <n v="7"/>
    <n v="1"/>
    <x v="4"/>
    <n v="2"/>
    <n v="2"/>
    <n v="2"/>
    <x v="2"/>
    <x v="0"/>
    <x v="1"/>
  </r>
  <r>
    <n v="45"/>
    <s v="No"/>
    <n v="0"/>
    <x v="0"/>
    <x v="1"/>
    <n v="29"/>
    <s v="Technical Degree"/>
    <s v="1465"/>
    <x v="0"/>
    <x v="1"/>
    <n v="3"/>
    <n v="3"/>
    <x v="3"/>
    <x v="0"/>
    <x v="1"/>
    <n v="9380"/>
    <x v="0"/>
    <x v="0"/>
    <n v="3"/>
    <n v="10"/>
    <n v="4"/>
    <x v="11"/>
    <n v="1"/>
    <n v="1"/>
    <n v="2"/>
    <x v="0"/>
    <x v="0"/>
    <x v="1"/>
  </r>
  <r>
    <n v="48"/>
    <s v="No"/>
    <n v="0"/>
    <x v="0"/>
    <x v="0"/>
    <n v="7"/>
    <s v="Marketing"/>
    <s v="1466"/>
    <x v="1"/>
    <x v="1"/>
    <n v="3"/>
    <n v="2"/>
    <x v="0"/>
    <x v="3"/>
    <x v="2"/>
    <n v="5486"/>
    <x v="0"/>
    <x v="1"/>
    <n v="3"/>
    <n v="15"/>
    <n v="3"/>
    <x v="4"/>
    <n v="2"/>
    <n v="2"/>
    <n v="2"/>
    <x v="1"/>
    <x v="0"/>
    <x v="1"/>
  </r>
  <r>
    <n v="34"/>
    <s v="Yes"/>
    <n v="1"/>
    <x v="0"/>
    <x v="2"/>
    <n v="9"/>
    <s v="Technical Degree"/>
    <s v="1467"/>
    <x v="3"/>
    <x v="0"/>
    <n v="3"/>
    <n v="1"/>
    <x v="8"/>
    <x v="2"/>
    <x v="1"/>
    <n v="2742"/>
    <x v="1"/>
    <x v="1"/>
    <n v="3"/>
    <n v="2"/>
    <n v="3"/>
    <x v="4"/>
    <n v="2"/>
    <n v="2"/>
    <n v="2"/>
    <x v="2"/>
    <x v="1"/>
    <x v="1"/>
  </r>
  <r>
    <n v="40"/>
    <s v="No"/>
    <n v="0"/>
    <x v="2"/>
    <x v="1"/>
    <n v="8"/>
    <s v="Medical"/>
    <s v="1468"/>
    <x v="2"/>
    <x v="1"/>
    <n v="2"/>
    <n v="3"/>
    <x v="7"/>
    <x v="1"/>
    <x v="2"/>
    <n v="13757"/>
    <x v="2"/>
    <x v="1"/>
    <n v="3"/>
    <n v="16"/>
    <n v="3"/>
    <x v="7"/>
    <n v="8"/>
    <n v="4"/>
    <n v="8"/>
    <x v="0"/>
    <x v="2"/>
    <x v="0"/>
  </r>
  <r>
    <n v="28"/>
    <s v="No"/>
    <n v="0"/>
    <x v="0"/>
    <x v="0"/>
    <n v="5"/>
    <s v="Medical"/>
    <s v="1469"/>
    <x v="2"/>
    <x v="1"/>
    <n v="3"/>
    <n v="2"/>
    <x v="0"/>
    <x v="3"/>
    <x v="0"/>
    <n v="8463"/>
    <x v="0"/>
    <x v="1"/>
    <n v="3"/>
    <n v="6"/>
    <n v="3"/>
    <x v="8"/>
    <n v="4"/>
    <n v="1"/>
    <n v="3"/>
    <x v="2"/>
    <x v="0"/>
    <x v="1"/>
  </r>
  <r>
    <n v="44"/>
    <s v="No"/>
    <n v="0"/>
    <x v="2"/>
    <x v="1"/>
    <n v="5"/>
    <s v="Life Sciences"/>
    <s v="1471"/>
    <x v="1"/>
    <x v="1"/>
    <n v="2"/>
    <n v="1"/>
    <x v="2"/>
    <x v="2"/>
    <x v="0"/>
    <n v="3162"/>
    <x v="1"/>
    <x v="1"/>
    <n v="3"/>
    <n v="7"/>
    <n v="3"/>
    <x v="8"/>
    <n v="2"/>
    <n v="0"/>
    <n v="3"/>
    <x v="0"/>
    <x v="0"/>
    <x v="1"/>
  </r>
  <r>
    <n v="53"/>
    <s v="No"/>
    <n v="0"/>
    <x v="0"/>
    <x v="1"/>
    <n v="2"/>
    <s v="Medical"/>
    <s v="1472"/>
    <x v="2"/>
    <x v="1"/>
    <n v="4"/>
    <n v="4"/>
    <x v="7"/>
    <x v="1"/>
    <x v="0"/>
    <n v="16598"/>
    <x v="2"/>
    <x v="1"/>
    <n v="3"/>
    <n v="35"/>
    <n v="2"/>
    <x v="7"/>
    <n v="8"/>
    <n v="8"/>
    <n v="8"/>
    <x v="1"/>
    <x v="2"/>
    <x v="0"/>
  </r>
  <r>
    <n v="49"/>
    <s v="No"/>
    <n v="0"/>
    <x v="0"/>
    <x v="1"/>
    <n v="5"/>
    <s v="Technical Degree"/>
    <s v="1473"/>
    <x v="3"/>
    <x v="1"/>
    <n v="3"/>
    <n v="2"/>
    <x v="4"/>
    <x v="2"/>
    <x v="1"/>
    <n v="6651"/>
    <x v="0"/>
    <x v="1"/>
    <n v="3"/>
    <n v="20"/>
    <n v="2"/>
    <x v="11"/>
    <n v="2"/>
    <n v="1"/>
    <n v="2"/>
    <x v="1"/>
    <x v="2"/>
    <x v="1"/>
  </r>
  <r>
    <n v="40"/>
    <s v="No"/>
    <n v="0"/>
    <x v="0"/>
    <x v="1"/>
    <n v="2"/>
    <s v="Medical"/>
    <s v="1474"/>
    <x v="1"/>
    <x v="1"/>
    <n v="3"/>
    <n v="1"/>
    <x v="1"/>
    <x v="2"/>
    <x v="2"/>
    <n v="2345"/>
    <x v="1"/>
    <x v="1"/>
    <n v="3"/>
    <n v="8"/>
    <n v="4"/>
    <x v="11"/>
    <n v="1"/>
    <n v="1"/>
    <n v="2"/>
    <x v="0"/>
    <x v="0"/>
    <x v="1"/>
  </r>
  <r>
    <n v="44"/>
    <s v="No"/>
    <n v="0"/>
    <x v="0"/>
    <x v="1"/>
    <n v="20"/>
    <s v="Life Sciences"/>
    <s v="1475"/>
    <x v="2"/>
    <x v="1"/>
    <n v="3"/>
    <n v="1"/>
    <x v="1"/>
    <x v="1"/>
    <x v="0"/>
    <n v="3420"/>
    <x v="1"/>
    <x v="1"/>
    <n v="3"/>
    <n v="6"/>
    <n v="2"/>
    <x v="8"/>
    <n v="2"/>
    <n v="1"/>
    <n v="3"/>
    <x v="0"/>
    <x v="0"/>
    <x v="1"/>
  </r>
  <r>
    <n v="33"/>
    <s v="No"/>
    <n v="0"/>
    <x v="1"/>
    <x v="0"/>
    <n v="7"/>
    <s v="Medical"/>
    <s v="1477"/>
    <x v="2"/>
    <x v="1"/>
    <n v="3"/>
    <n v="2"/>
    <x v="0"/>
    <x v="3"/>
    <x v="1"/>
    <n v="4373"/>
    <x v="1"/>
    <x v="1"/>
    <n v="3"/>
    <n v="5"/>
    <n v="3"/>
    <x v="9"/>
    <n v="3"/>
    <n v="0"/>
    <n v="3"/>
    <x v="2"/>
    <x v="1"/>
    <x v="1"/>
  </r>
  <r>
    <n v="34"/>
    <s v="No"/>
    <n v="0"/>
    <x v="0"/>
    <x v="0"/>
    <n v="3"/>
    <s v="Other"/>
    <s v="1478"/>
    <x v="2"/>
    <x v="1"/>
    <n v="1"/>
    <n v="2"/>
    <x v="0"/>
    <x v="3"/>
    <x v="0"/>
    <n v="4759"/>
    <x v="1"/>
    <x v="1"/>
    <n v="3"/>
    <n v="15"/>
    <n v="3"/>
    <x v="20"/>
    <n v="9"/>
    <n v="3"/>
    <n v="12"/>
    <x v="2"/>
    <x v="0"/>
    <x v="2"/>
  </r>
  <r>
    <n v="30"/>
    <s v="No"/>
    <n v="0"/>
    <x v="0"/>
    <x v="0"/>
    <n v="16"/>
    <s v="Life Sciences"/>
    <s v="1479"/>
    <x v="2"/>
    <x v="1"/>
    <n v="3"/>
    <n v="2"/>
    <x v="0"/>
    <x v="2"/>
    <x v="1"/>
    <n v="5301"/>
    <x v="0"/>
    <x v="1"/>
    <n v="3"/>
    <n v="4"/>
    <n v="2"/>
    <x v="4"/>
    <n v="1"/>
    <n v="2"/>
    <n v="2"/>
    <x v="2"/>
    <x v="1"/>
    <x v="1"/>
  </r>
  <r>
    <n v="42"/>
    <s v="No"/>
    <n v="0"/>
    <x v="1"/>
    <x v="1"/>
    <n v="9"/>
    <s v="Medical"/>
    <s v="1480"/>
    <x v="3"/>
    <x v="0"/>
    <n v="3"/>
    <n v="1"/>
    <x v="2"/>
    <x v="0"/>
    <x v="0"/>
    <n v="3673"/>
    <x v="1"/>
    <x v="1"/>
    <n v="3"/>
    <n v="12"/>
    <n v="3"/>
    <x v="12"/>
    <n v="9"/>
    <n v="5"/>
    <n v="8"/>
    <x v="0"/>
    <x v="0"/>
    <x v="2"/>
  </r>
  <r>
    <n v="44"/>
    <s v="No"/>
    <n v="0"/>
    <x v="1"/>
    <x v="0"/>
    <n v="1"/>
    <s v="Marketing"/>
    <s v="1481"/>
    <x v="3"/>
    <x v="0"/>
    <n v="3"/>
    <n v="2"/>
    <x v="0"/>
    <x v="2"/>
    <x v="1"/>
    <n v="4768"/>
    <x v="1"/>
    <x v="1"/>
    <n v="3"/>
    <n v="11"/>
    <n v="2"/>
    <x v="6"/>
    <n v="0"/>
    <n v="0"/>
    <n v="0"/>
    <x v="0"/>
    <x v="0"/>
    <x v="1"/>
  </r>
  <r>
    <n v="30"/>
    <s v="No"/>
    <n v="0"/>
    <x v="2"/>
    <x v="1"/>
    <n v="7"/>
    <s v="Technical Degree"/>
    <s v="1482"/>
    <x v="1"/>
    <x v="1"/>
    <n v="3"/>
    <n v="1"/>
    <x v="1"/>
    <x v="2"/>
    <x v="2"/>
    <n v="1274"/>
    <x v="1"/>
    <x v="1"/>
    <n v="3"/>
    <n v="1"/>
    <n v="2"/>
    <x v="6"/>
    <n v="0"/>
    <n v="0"/>
    <n v="0"/>
    <x v="2"/>
    <x v="1"/>
    <x v="1"/>
  </r>
  <r>
    <n v="57"/>
    <s v="No"/>
    <n v="0"/>
    <x v="0"/>
    <x v="1"/>
    <n v="1"/>
    <s v="Life Sciences"/>
    <s v="1483"/>
    <x v="0"/>
    <x v="1"/>
    <n v="4"/>
    <n v="2"/>
    <x v="1"/>
    <x v="2"/>
    <x v="1"/>
    <n v="4900"/>
    <x v="1"/>
    <x v="1"/>
    <n v="4"/>
    <n v="13"/>
    <n v="2"/>
    <x v="12"/>
    <n v="9"/>
    <n v="2"/>
    <n v="8"/>
    <x v="1"/>
    <x v="0"/>
    <x v="2"/>
  </r>
  <r>
    <n v="49"/>
    <s v="No"/>
    <n v="0"/>
    <x v="0"/>
    <x v="1"/>
    <n v="7"/>
    <s v="Life Sciences"/>
    <s v="1484"/>
    <x v="1"/>
    <x v="1"/>
    <n v="3"/>
    <n v="3"/>
    <x v="4"/>
    <x v="1"/>
    <x v="2"/>
    <n v="10466"/>
    <x v="0"/>
    <x v="1"/>
    <n v="3"/>
    <n v="29"/>
    <n v="3"/>
    <x v="3"/>
    <n v="7"/>
    <n v="0"/>
    <n v="7"/>
    <x v="1"/>
    <x v="2"/>
    <x v="0"/>
  </r>
  <r>
    <n v="34"/>
    <s v="No"/>
    <n v="0"/>
    <x v="1"/>
    <x v="1"/>
    <n v="15"/>
    <s v="Medical"/>
    <s v="1485"/>
    <x v="0"/>
    <x v="1"/>
    <n v="3"/>
    <n v="4"/>
    <x v="7"/>
    <x v="3"/>
    <x v="2"/>
    <n v="17007"/>
    <x v="2"/>
    <x v="1"/>
    <n v="3"/>
    <n v="16"/>
    <n v="2"/>
    <x v="13"/>
    <n v="8"/>
    <n v="6"/>
    <n v="9"/>
    <x v="2"/>
    <x v="2"/>
    <x v="2"/>
  </r>
  <r>
    <n v="28"/>
    <s v="Yes"/>
    <n v="1"/>
    <x v="1"/>
    <x v="0"/>
    <n v="1"/>
    <s v="Technical Degree"/>
    <s v="1486"/>
    <x v="3"/>
    <x v="1"/>
    <n v="3"/>
    <n v="1"/>
    <x v="6"/>
    <x v="2"/>
    <x v="1"/>
    <n v="2909"/>
    <x v="1"/>
    <x v="1"/>
    <n v="3"/>
    <n v="5"/>
    <n v="4"/>
    <x v="11"/>
    <n v="2"/>
    <n v="1"/>
    <n v="2"/>
    <x v="2"/>
    <x v="1"/>
    <x v="1"/>
  </r>
  <r>
    <n v="29"/>
    <s v="Yes"/>
    <n v="1"/>
    <x v="1"/>
    <x v="0"/>
    <n v="13"/>
    <s v="Technical Degree"/>
    <s v="1487"/>
    <x v="3"/>
    <x v="0"/>
    <n v="3"/>
    <n v="2"/>
    <x v="0"/>
    <x v="1"/>
    <x v="0"/>
    <n v="5765"/>
    <x v="0"/>
    <x v="1"/>
    <n v="3"/>
    <n v="7"/>
    <n v="1"/>
    <x v="8"/>
    <n v="3"/>
    <n v="0"/>
    <n v="0"/>
    <x v="2"/>
    <x v="0"/>
    <x v="1"/>
  </r>
  <r>
    <n v="34"/>
    <s v="Yes"/>
    <n v="1"/>
    <x v="0"/>
    <x v="0"/>
    <n v="24"/>
    <s v="Medical"/>
    <s v="1489"/>
    <x v="3"/>
    <x v="0"/>
    <n v="2"/>
    <n v="2"/>
    <x v="0"/>
    <x v="1"/>
    <x v="0"/>
    <n v="4599"/>
    <x v="1"/>
    <x v="0"/>
    <n v="4"/>
    <n v="16"/>
    <n v="4"/>
    <x v="15"/>
    <n v="9"/>
    <n v="10"/>
    <n v="10"/>
    <x v="2"/>
    <x v="2"/>
    <x v="2"/>
  </r>
  <r>
    <n v="35"/>
    <s v="No"/>
    <n v="0"/>
    <x v="0"/>
    <x v="0"/>
    <n v="7"/>
    <s v="Life Sciences"/>
    <s v="1492"/>
    <x v="2"/>
    <x v="1"/>
    <n v="3"/>
    <n v="1"/>
    <x v="6"/>
    <x v="2"/>
    <x v="1"/>
    <n v="2404"/>
    <x v="1"/>
    <x v="1"/>
    <n v="3"/>
    <n v="1"/>
    <n v="3"/>
    <x v="6"/>
    <n v="0"/>
    <n v="0"/>
    <n v="0"/>
    <x v="2"/>
    <x v="1"/>
    <x v="1"/>
  </r>
  <r>
    <n v="24"/>
    <s v="Yes"/>
    <n v="1"/>
    <x v="1"/>
    <x v="1"/>
    <n v="9"/>
    <s v="Medical"/>
    <s v="1494"/>
    <x v="0"/>
    <x v="1"/>
    <n v="3"/>
    <n v="1"/>
    <x v="2"/>
    <x v="3"/>
    <x v="0"/>
    <n v="3172"/>
    <x v="1"/>
    <x v="0"/>
    <n v="3"/>
    <n v="4"/>
    <n v="2"/>
    <x v="2"/>
    <n v="0"/>
    <n v="0"/>
    <n v="0"/>
    <x v="3"/>
    <x v="1"/>
    <x v="1"/>
  </r>
  <r>
    <n v="24"/>
    <s v="No"/>
    <n v="0"/>
    <x v="2"/>
    <x v="0"/>
    <n v="13"/>
    <s v="Life Sciences"/>
    <s v="1495"/>
    <x v="2"/>
    <x v="0"/>
    <n v="3"/>
    <n v="1"/>
    <x v="6"/>
    <x v="1"/>
    <x v="1"/>
    <n v="2033"/>
    <x v="1"/>
    <x v="1"/>
    <n v="3"/>
    <n v="1"/>
    <n v="3"/>
    <x v="6"/>
    <n v="0"/>
    <n v="0"/>
    <n v="0"/>
    <x v="3"/>
    <x v="1"/>
    <x v="1"/>
  </r>
  <r>
    <n v="44"/>
    <s v="No"/>
    <n v="0"/>
    <x v="1"/>
    <x v="1"/>
    <n v="2"/>
    <s v="Medical"/>
    <s v="1496"/>
    <x v="0"/>
    <x v="1"/>
    <n v="3"/>
    <n v="3"/>
    <x v="3"/>
    <x v="2"/>
    <x v="0"/>
    <n v="10209"/>
    <x v="0"/>
    <x v="0"/>
    <n v="3"/>
    <n v="16"/>
    <n v="2"/>
    <x v="4"/>
    <n v="2"/>
    <n v="2"/>
    <n v="2"/>
    <x v="0"/>
    <x v="2"/>
    <x v="1"/>
  </r>
  <r>
    <n v="29"/>
    <s v="No"/>
    <n v="0"/>
    <x v="0"/>
    <x v="0"/>
    <n v="19"/>
    <s v="Life Sciences"/>
    <s v="1497"/>
    <x v="1"/>
    <x v="1"/>
    <n v="2"/>
    <n v="2"/>
    <x v="0"/>
    <x v="2"/>
    <x v="2"/>
    <n v="8620"/>
    <x v="0"/>
    <x v="1"/>
    <n v="3"/>
    <n v="10"/>
    <n v="3"/>
    <x v="1"/>
    <n v="7"/>
    <n v="0"/>
    <n v="4"/>
    <x v="2"/>
    <x v="0"/>
    <x v="0"/>
  </r>
  <r>
    <n v="30"/>
    <s v="No"/>
    <n v="0"/>
    <x v="0"/>
    <x v="2"/>
    <n v="1"/>
    <s v="Life Sciences"/>
    <s v="1499"/>
    <x v="1"/>
    <x v="1"/>
    <n v="3"/>
    <n v="1"/>
    <x v="8"/>
    <x v="2"/>
    <x v="2"/>
    <n v="2064"/>
    <x v="1"/>
    <x v="1"/>
    <n v="4"/>
    <n v="6"/>
    <n v="4"/>
    <x v="8"/>
    <n v="3"/>
    <n v="1"/>
    <n v="3"/>
    <x v="2"/>
    <x v="0"/>
    <x v="1"/>
  </r>
  <r>
    <n v="55"/>
    <s v="No"/>
    <n v="0"/>
    <x v="0"/>
    <x v="1"/>
    <n v="4"/>
    <s v="Life Sciences"/>
    <s v="1501"/>
    <x v="2"/>
    <x v="1"/>
    <n v="3"/>
    <n v="2"/>
    <x v="4"/>
    <x v="2"/>
    <x v="1"/>
    <n v="4035"/>
    <x v="1"/>
    <x v="0"/>
    <n v="3"/>
    <n v="4"/>
    <n v="3"/>
    <x v="11"/>
    <n v="2"/>
    <n v="1"/>
    <n v="2"/>
    <x v="1"/>
    <x v="1"/>
    <x v="1"/>
  </r>
  <r>
    <n v="33"/>
    <s v="No"/>
    <n v="0"/>
    <x v="0"/>
    <x v="1"/>
    <n v="4"/>
    <s v="Medical"/>
    <s v="1502"/>
    <x v="3"/>
    <x v="0"/>
    <n v="2"/>
    <n v="1"/>
    <x v="2"/>
    <x v="1"/>
    <x v="1"/>
    <n v="3838"/>
    <x v="1"/>
    <x v="1"/>
    <n v="3"/>
    <n v="8"/>
    <n v="3"/>
    <x v="8"/>
    <n v="4"/>
    <n v="0"/>
    <n v="2"/>
    <x v="2"/>
    <x v="0"/>
    <x v="1"/>
  </r>
  <r>
    <n v="47"/>
    <s v="No"/>
    <n v="0"/>
    <x v="0"/>
    <x v="0"/>
    <n v="14"/>
    <s v="Medical"/>
    <s v="1503"/>
    <x v="1"/>
    <x v="0"/>
    <n v="3"/>
    <n v="2"/>
    <x v="0"/>
    <x v="2"/>
    <x v="1"/>
    <n v="4591"/>
    <x v="1"/>
    <x v="0"/>
    <n v="3"/>
    <n v="11"/>
    <n v="2"/>
    <x v="8"/>
    <n v="4"/>
    <n v="1"/>
    <n v="2"/>
    <x v="1"/>
    <x v="0"/>
    <x v="1"/>
  </r>
  <r>
    <n v="28"/>
    <s v="Yes"/>
    <n v="1"/>
    <x v="1"/>
    <x v="1"/>
    <n v="2"/>
    <s v="Medical"/>
    <s v="1504"/>
    <x v="1"/>
    <x v="1"/>
    <n v="2"/>
    <n v="1"/>
    <x v="2"/>
    <x v="3"/>
    <x v="0"/>
    <n v="2561"/>
    <x v="1"/>
    <x v="1"/>
    <n v="3"/>
    <n v="8"/>
    <n v="2"/>
    <x v="2"/>
    <n v="0"/>
    <n v="0"/>
    <n v="0"/>
    <x v="2"/>
    <x v="0"/>
    <x v="1"/>
  </r>
  <r>
    <n v="28"/>
    <s v="No"/>
    <n v="0"/>
    <x v="0"/>
    <x v="1"/>
    <n v="1"/>
    <s v="Life Sciences"/>
    <s v="1506"/>
    <x v="3"/>
    <x v="1"/>
    <n v="2"/>
    <n v="1"/>
    <x v="1"/>
    <x v="2"/>
    <x v="2"/>
    <n v="1563"/>
    <x v="1"/>
    <x v="1"/>
    <n v="3"/>
    <n v="1"/>
    <n v="1"/>
    <x v="6"/>
    <n v="0"/>
    <n v="0"/>
    <n v="0"/>
    <x v="2"/>
    <x v="1"/>
    <x v="1"/>
  </r>
  <r>
    <n v="28"/>
    <s v="No"/>
    <n v="0"/>
    <x v="1"/>
    <x v="0"/>
    <n v="7"/>
    <s v="Life Sciences"/>
    <s v="1507"/>
    <x v="1"/>
    <x v="1"/>
    <n v="3"/>
    <n v="2"/>
    <x v="0"/>
    <x v="3"/>
    <x v="0"/>
    <n v="4898"/>
    <x v="1"/>
    <x v="1"/>
    <n v="3"/>
    <n v="5"/>
    <n v="3"/>
    <x v="9"/>
    <n v="2"/>
    <n v="1"/>
    <n v="3"/>
    <x v="2"/>
    <x v="1"/>
    <x v="1"/>
  </r>
  <r>
    <n v="49"/>
    <s v="No"/>
    <n v="0"/>
    <x v="0"/>
    <x v="1"/>
    <n v="3"/>
    <s v="Medical"/>
    <s v="1509"/>
    <x v="1"/>
    <x v="0"/>
    <n v="2"/>
    <n v="2"/>
    <x v="2"/>
    <x v="3"/>
    <x v="1"/>
    <n v="4789"/>
    <x v="1"/>
    <x v="1"/>
    <n v="4"/>
    <n v="10"/>
    <n v="3"/>
    <x v="11"/>
    <n v="2"/>
    <n v="1"/>
    <n v="2"/>
    <x v="1"/>
    <x v="0"/>
    <x v="1"/>
  </r>
  <r>
    <n v="29"/>
    <s v="No"/>
    <n v="0"/>
    <x v="1"/>
    <x v="1"/>
    <n v="2"/>
    <s v="Life Sciences"/>
    <s v="1513"/>
    <x v="2"/>
    <x v="0"/>
    <n v="3"/>
    <n v="1"/>
    <x v="2"/>
    <x v="1"/>
    <x v="1"/>
    <n v="3180"/>
    <x v="1"/>
    <x v="1"/>
    <n v="3"/>
    <n v="4"/>
    <n v="3"/>
    <x v="11"/>
    <n v="2"/>
    <n v="0"/>
    <n v="2"/>
    <x v="2"/>
    <x v="1"/>
    <x v="1"/>
  </r>
  <r>
    <n v="28"/>
    <s v="No"/>
    <n v="0"/>
    <x v="0"/>
    <x v="1"/>
    <n v="29"/>
    <s v="Life Sciences"/>
    <s v="1514"/>
    <x v="1"/>
    <x v="1"/>
    <n v="1"/>
    <n v="2"/>
    <x v="3"/>
    <x v="1"/>
    <x v="1"/>
    <n v="6549"/>
    <x v="0"/>
    <x v="1"/>
    <n v="3"/>
    <n v="8"/>
    <n v="2"/>
    <x v="3"/>
    <n v="6"/>
    <n v="1"/>
    <n v="7"/>
    <x v="2"/>
    <x v="0"/>
    <x v="0"/>
  </r>
  <r>
    <n v="33"/>
    <s v="No"/>
    <n v="0"/>
    <x v="0"/>
    <x v="1"/>
    <n v="8"/>
    <s v="Life Sciences"/>
    <s v="1515"/>
    <x v="2"/>
    <x v="1"/>
    <n v="3"/>
    <n v="2"/>
    <x v="4"/>
    <x v="2"/>
    <x v="0"/>
    <n v="6388"/>
    <x v="0"/>
    <x v="0"/>
    <n v="3"/>
    <n v="14"/>
    <n v="3"/>
    <x v="2"/>
    <n v="0"/>
    <n v="0"/>
    <n v="0"/>
    <x v="2"/>
    <x v="0"/>
    <x v="1"/>
  </r>
  <r>
    <n v="32"/>
    <s v="No"/>
    <n v="0"/>
    <x v="0"/>
    <x v="1"/>
    <n v="10"/>
    <s v="Medical"/>
    <s v="1516"/>
    <x v="1"/>
    <x v="1"/>
    <n v="3"/>
    <n v="3"/>
    <x v="5"/>
    <x v="0"/>
    <x v="0"/>
    <n v="11244"/>
    <x v="0"/>
    <x v="1"/>
    <n v="4"/>
    <n v="10"/>
    <n v="4"/>
    <x v="8"/>
    <n v="2"/>
    <n v="0"/>
    <n v="0"/>
    <x v="2"/>
    <x v="0"/>
    <x v="1"/>
  </r>
  <r>
    <n v="54"/>
    <s v="No"/>
    <n v="0"/>
    <x v="1"/>
    <x v="1"/>
    <n v="11"/>
    <s v="Medical"/>
    <s v="1520"/>
    <x v="0"/>
    <x v="0"/>
    <n v="3"/>
    <n v="4"/>
    <x v="5"/>
    <x v="0"/>
    <x v="2"/>
    <n v="16032"/>
    <x v="2"/>
    <x v="1"/>
    <n v="4"/>
    <n v="26"/>
    <n v="3"/>
    <x v="13"/>
    <n v="9"/>
    <n v="1"/>
    <n v="12"/>
    <x v="1"/>
    <x v="2"/>
    <x v="2"/>
  </r>
  <r>
    <n v="29"/>
    <s v="Yes"/>
    <n v="1"/>
    <x v="0"/>
    <x v="1"/>
    <n v="1"/>
    <s v="Technical Degree"/>
    <s v="1522"/>
    <x v="3"/>
    <x v="1"/>
    <n v="2"/>
    <n v="1"/>
    <x v="1"/>
    <x v="3"/>
    <x v="0"/>
    <n v="2362"/>
    <x v="1"/>
    <x v="1"/>
    <n v="3"/>
    <n v="11"/>
    <n v="1"/>
    <x v="7"/>
    <n v="7"/>
    <n v="0"/>
    <n v="7"/>
    <x v="2"/>
    <x v="0"/>
    <x v="0"/>
  </r>
  <r>
    <n v="44"/>
    <s v="No"/>
    <n v="0"/>
    <x v="0"/>
    <x v="1"/>
    <n v="28"/>
    <s v="Life Sciences"/>
    <s v="1523"/>
    <x v="2"/>
    <x v="1"/>
    <n v="3"/>
    <n v="4"/>
    <x v="7"/>
    <x v="3"/>
    <x v="1"/>
    <n v="16328"/>
    <x v="2"/>
    <x v="1"/>
    <n v="3"/>
    <n v="24"/>
    <n v="4"/>
    <x v="23"/>
    <n v="6"/>
    <n v="14"/>
    <n v="17"/>
    <x v="0"/>
    <x v="2"/>
    <x v="2"/>
  </r>
  <r>
    <n v="39"/>
    <s v="No"/>
    <n v="0"/>
    <x v="0"/>
    <x v="1"/>
    <n v="6"/>
    <s v="Life Sciences"/>
    <s v="1525"/>
    <x v="0"/>
    <x v="0"/>
    <n v="3"/>
    <n v="3"/>
    <x v="3"/>
    <x v="1"/>
    <x v="0"/>
    <n v="8376"/>
    <x v="0"/>
    <x v="1"/>
    <n v="3"/>
    <n v="9"/>
    <n v="3"/>
    <x v="4"/>
    <n v="0"/>
    <n v="2"/>
    <n v="2"/>
    <x v="0"/>
    <x v="0"/>
    <x v="1"/>
  </r>
  <r>
    <n v="46"/>
    <s v="No"/>
    <n v="0"/>
    <x v="0"/>
    <x v="0"/>
    <n v="3"/>
    <s v="Life Sciences"/>
    <s v="1527"/>
    <x v="1"/>
    <x v="0"/>
    <n v="3"/>
    <n v="4"/>
    <x v="5"/>
    <x v="1"/>
    <x v="1"/>
    <n v="16606"/>
    <x v="2"/>
    <x v="1"/>
    <n v="3"/>
    <n v="23"/>
    <n v="4"/>
    <x v="20"/>
    <n v="12"/>
    <n v="5"/>
    <n v="1"/>
    <x v="1"/>
    <x v="2"/>
    <x v="2"/>
  </r>
  <r>
    <n v="35"/>
    <s v="No"/>
    <n v="0"/>
    <x v="0"/>
    <x v="1"/>
    <n v="16"/>
    <s v="Life Sciences"/>
    <s v="1529"/>
    <x v="2"/>
    <x v="0"/>
    <n v="2"/>
    <n v="3"/>
    <x v="4"/>
    <x v="1"/>
    <x v="0"/>
    <n v="8606"/>
    <x v="0"/>
    <x v="1"/>
    <n v="3"/>
    <n v="11"/>
    <n v="1"/>
    <x v="19"/>
    <n v="8"/>
    <n v="3"/>
    <n v="3"/>
    <x v="2"/>
    <x v="0"/>
    <x v="2"/>
  </r>
  <r>
    <n v="23"/>
    <s v="No"/>
    <n v="0"/>
    <x v="0"/>
    <x v="1"/>
    <n v="20"/>
    <s v="Life Sciences"/>
    <s v="1533"/>
    <x v="3"/>
    <x v="1"/>
    <n v="3"/>
    <n v="2"/>
    <x v="2"/>
    <x v="2"/>
    <x v="0"/>
    <n v="2272"/>
    <x v="1"/>
    <x v="1"/>
    <n v="3"/>
    <n v="5"/>
    <n v="3"/>
    <x v="9"/>
    <n v="3"/>
    <n v="1"/>
    <n v="2"/>
    <x v="3"/>
    <x v="1"/>
    <x v="1"/>
  </r>
  <r>
    <n v="40"/>
    <s v="Yes"/>
    <n v="1"/>
    <x v="0"/>
    <x v="1"/>
    <n v="9"/>
    <s v="Life Sciences"/>
    <s v="1534"/>
    <x v="2"/>
    <x v="1"/>
    <n v="3"/>
    <n v="1"/>
    <x v="2"/>
    <x v="3"/>
    <x v="0"/>
    <n v="2018"/>
    <x v="1"/>
    <x v="1"/>
    <n v="3"/>
    <n v="15"/>
    <n v="1"/>
    <x v="8"/>
    <n v="4"/>
    <n v="1"/>
    <n v="0"/>
    <x v="0"/>
    <x v="0"/>
    <x v="1"/>
  </r>
  <r>
    <n v="34"/>
    <s v="No"/>
    <n v="0"/>
    <x v="0"/>
    <x v="0"/>
    <n v="1"/>
    <s v="Technical Degree"/>
    <s v="1535"/>
    <x v="2"/>
    <x v="1"/>
    <n v="2"/>
    <n v="3"/>
    <x v="0"/>
    <x v="2"/>
    <x v="1"/>
    <n v="7083"/>
    <x v="0"/>
    <x v="0"/>
    <n v="3"/>
    <n v="10"/>
    <n v="3"/>
    <x v="1"/>
    <n v="9"/>
    <n v="8"/>
    <n v="6"/>
    <x v="2"/>
    <x v="0"/>
    <x v="0"/>
  </r>
  <r>
    <n v="31"/>
    <s v="Yes"/>
    <n v="1"/>
    <x v="1"/>
    <x v="1"/>
    <n v="3"/>
    <s v="Life Sciences"/>
    <s v="1537"/>
    <x v="2"/>
    <x v="0"/>
    <n v="3"/>
    <n v="1"/>
    <x v="1"/>
    <x v="2"/>
    <x v="0"/>
    <n v="4084"/>
    <x v="1"/>
    <x v="1"/>
    <n v="3"/>
    <n v="7"/>
    <n v="1"/>
    <x v="5"/>
    <n v="2"/>
    <n v="7"/>
    <n v="7"/>
    <x v="2"/>
    <x v="0"/>
    <x v="0"/>
  </r>
  <r>
    <n v="50"/>
    <s v="No"/>
    <n v="0"/>
    <x v="1"/>
    <x v="1"/>
    <n v="22"/>
    <s v="Medical"/>
    <s v="1539"/>
    <x v="1"/>
    <x v="1"/>
    <n v="1"/>
    <n v="4"/>
    <x v="7"/>
    <x v="0"/>
    <x v="0"/>
    <n v="14411"/>
    <x v="2"/>
    <x v="0"/>
    <n v="3"/>
    <n v="32"/>
    <n v="3"/>
    <x v="32"/>
    <n v="6"/>
    <n v="13"/>
    <n v="9"/>
    <x v="1"/>
    <x v="2"/>
    <x v="2"/>
  </r>
  <r>
    <n v="34"/>
    <s v="No"/>
    <n v="0"/>
    <x v="0"/>
    <x v="0"/>
    <n v="7"/>
    <s v="Technical Degree"/>
    <s v="1541"/>
    <x v="0"/>
    <x v="1"/>
    <n v="3"/>
    <n v="1"/>
    <x v="6"/>
    <x v="2"/>
    <x v="1"/>
    <n v="2308"/>
    <x v="1"/>
    <x v="0"/>
    <n v="4"/>
    <n v="12"/>
    <n v="3"/>
    <x v="19"/>
    <n v="10"/>
    <n v="5"/>
    <n v="7"/>
    <x v="2"/>
    <x v="0"/>
    <x v="2"/>
  </r>
  <r>
    <n v="42"/>
    <s v="No"/>
    <n v="0"/>
    <x v="0"/>
    <x v="1"/>
    <n v="2"/>
    <s v="Medical"/>
    <s v="1542"/>
    <x v="1"/>
    <x v="1"/>
    <n v="2"/>
    <n v="1"/>
    <x v="2"/>
    <x v="1"/>
    <x v="1"/>
    <n v="4841"/>
    <x v="1"/>
    <x v="1"/>
    <n v="3"/>
    <n v="4"/>
    <n v="3"/>
    <x v="6"/>
    <n v="0"/>
    <n v="0"/>
    <n v="0"/>
    <x v="0"/>
    <x v="1"/>
    <x v="1"/>
  </r>
  <r>
    <n v="37"/>
    <s v="No"/>
    <n v="0"/>
    <x v="0"/>
    <x v="1"/>
    <n v="13"/>
    <s v="Medical"/>
    <s v="1543"/>
    <x v="3"/>
    <x v="1"/>
    <n v="3"/>
    <n v="2"/>
    <x v="1"/>
    <x v="0"/>
    <x v="1"/>
    <n v="4285"/>
    <x v="1"/>
    <x v="1"/>
    <n v="3"/>
    <n v="10"/>
    <n v="3"/>
    <x v="1"/>
    <n v="8"/>
    <n v="3"/>
    <n v="7"/>
    <x v="0"/>
    <x v="0"/>
    <x v="0"/>
  </r>
  <r>
    <n v="29"/>
    <s v="No"/>
    <n v="0"/>
    <x v="0"/>
    <x v="1"/>
    <n v="8"/>
    <s v="Other"/>
    <s v="1544"/>
    <x v="1"/>
    <x v="0"/>
    <n v="1"/>
    <n v="2"/>
    <x v="4"/>
    <x v="3"/>
    <x v="1"/>
    <n v="9715"/>
    <x v="0"/>
    <x v="1"/>
    <n v="3"/>
    <n v="9"/>
    <n v="3"/>
    <x v="5"/>
    <n v="7"/>
    <n v="0"/>
    <n v="7"/>
    <x v="2"/>
    <x v="0"/>
    <x v="0"/>
  </r>
  <r>
    <n v="33"/>
    <s v="No"/>
    <n v="0"/>
    <x v="0"/>
    <x v="1"/>
    <n v="25"/>
    <s v="Life Sciences"/>
    <s v="1545"/>
    <x v="2"/>
    <x v="1"/>
    <n v="2"/>
    <n v="2"/>
    <x v="3"/>
    <x v="1"/>
    <x v="0"/>
    <n v="4320"/>
    <x v="1"/>
    <x v="1"/>
    <n v="3"/>
    <n v="5"/>
    <n v="3"/>
    <x v="8"/>
    <n v="3"/>
    <n v="0"/>
    <n v="2"/>
    <x v="2"/>
    <x v="1"/>
    <x v="1"/>
  </r>
  <r>
    <n v="45"/>
    <s v="No"/>
    <n v="0"/>
    <x v="0"/>
    <x v="1"/>
    <n v="28"/>
    <s v="Technical Degree"/>
    <s v="1546"/>
    <x v="2"/>
    <x v="1"/>
    <n v="3"/>
    <n v="1"/>
    <x v="1"/>
    <x v="0"/>
    <x v="1"/>
    <n v="2132"/>
    <x v="1"/>
    <x v="1"/>
    <n v="4"/>
    <n v="8"/>
    <n v="3"/>
    <x v="8"/>
    <n v="4"/>
    <n v="0"/>
    <n v="3"/>
    <x v="0"/>
    <x v="0"/>
    <x v="1"/>
  </r>
  <r>
    <n v="42"/>
    <s v="No"/>
    <n v="0"/>
    <x v="1"/>
    <x v="1"/>
    <n v="2"/>
    <s v="Life Sciences"/>
    <s v="1547"/>
    <x v="2"/>
    <x v="1"/>
    <n v="3"/>
    <n v="3"/>
    <x v="4"/>
    <x v="0"/>
    <x v="1"/>
    <n v="10124"/>
    <x v="0"/>
    <x v="0"/>
    <n v="3"/>
    <n v="24"/>
    <n v="1"/>
    <x v="23"/>
    <n v="8"/>
    <n v="13"/>
    <n v="9"/>
    <x v="0"/>
    <x v="2"/>
    <x v="2"/>
  </r>
  <r>
    <n v="40"/>
    <s v="No"/>
    <n v="0"/>
    <x v="0"/>
    <x v="0"/>
    <n v="9"/>
    <s v="Medical"/>
    <s v="1548"/>
    <x v="3"/>
    <x v="1"/>
    <n v="3"/>
    <n v="2"/>
    <x v="0"/>
    <x v="3"/>
    <x v="1"/>
    <n v="5473"/>
    <x v="0"/>
    <x v="1"/>
    <n v="3"/>
    <n v="9"/>
    <n v="4"/>
    <x v="3"/>
    <n v="4"/>
    <n v="7"/>
    <n v="1"/>
    <x v="0"/>
    <x v="0"/>
    <x v="0"/>
  </r>
  <r>
    <n v="33"/>
    <s v="No"/>
    <n v="0"/>
    <x v="0"/>
    <x v="1"/>
    <n v="28"/>
    <s v="Life Sciences"/>
    <s v="1549"/>
    <x v="0"/>
    <x v="1"/>
    <n v="3"/>
    <n v="2"/>
    <x v="2"/>
    <x v="2"/>
    <x v="1"/>
    <n v="5207"/>
    <x v="0"/>
    <x v="0"/>
    <n v="3"/>
    <n v="15"/>
    <n v="3"/>
    <x v="15"/>
    <n v="14"/>
    <n v="5"/>
    <n v="7"/>
    <x v="2"/>
    <x v="0"/>
    <x v="2"/>
  </r>
  <r>
    <n v="40"/>
    <s v="No"/>
    <n v="0"/>
    <x v="0"/>
    <x v="2"/>
    <n v="6"/>
    <s v="Medical"/>
    <s v="1550"/>
    <x v="1"/>
    <x v="1"/>
    <n v="3"/>
    <n v="4"/>
    <x v="5"/>
    <x v="0"/>
    <x v="0"/>
    <n v="16437"/>
    <x v="2"/>
    <x v="0"/>
    <n v="4"/>
    <n v="21"/>
    <n v="3"/>
    <x v="17"/>
    <n v="7"/>
    <n v="7"/>
    <n v="7"/>
    <x v="0"/>
    <x v="2"/>
    <x v="2"/>
  </r>
  <r>
    <n v="24"/>
    <s v="No"/>
    <n v="0"/>
    <x v="0"/>
    <x v="1"/>
    <n v="21"/>
    <s v="Technical Degree"/>
    <s v="1551"/>
    <x v="1"/>
    <x v="1"/>
    <n v="2"/>
    <n v="1"/>
    <x v="2"/>
    <x v="3"/>
    <x v="2"/>
    <n v="2296"/>
    <x v="1"/>
    <x v="1"/>
    <n v="3"/>
    <n v="2"/>
    <n v="3"/>
    <x v="6"/>
    <n v="1"/>
    <n v="0"/>
    <n v="0"/>
    <x v="3"/>
    <x v="1"/>
    <x v="1"/>
  </r>
  <r>
    <n v="40"/>
    <s v="No"/>
    <n v="0"/>
    <x v="2"/>
    <x v="1"/>
    <n v="8"/>
    <s v="Life Sciences"/>
    <s v="1552"/>
    <x v="2"/>
    <x v="1"/>
    <n v="3"/>
    <n v="2"/>
    <x v="4"/>
    <x v="0"/>
    <x v="2"/>
    <n v="4069"/>
    <x v="1"/>
    <x v="0"/>
    <n v="3"/>
    <n v="8"/>
    <n v="3"/>
    <x v="4"/>
    <n v="2"/>
    <n v="2"/>
    <n v="2"/>
    <x v="0"/>
    <x v="0"/>
    <x v="1"/>
  </r>
  <r>
    <n v="45"/>
    <s v="No"/>
    <n v="0"/>
    <x v="0"/>
    <x v="1"/>
    <n v="1"/>
    <s v="Technical Degree"/>
    <s v="1553"/>
    <x v="3"/>
    <x v="1"/>
    <n v="3"/>
    <n v="3"/>
    <x v="4"/>
    <x v="1"/>
    <x v="2"/>
    <n v="7441"/>
    <x v="0"/>
    <x v="1"/>
    <n v="3"/>
    <n v="10"/>
    <n v="3"/>
    <x v="1"/>
    <n v="8"/>
    <n v="7"/>
    <n v="7"/>
    <x v="0"/>
    <x v="0"/>
    <x v="0"/>
  </r>
  <r>
    <n v="35"/>
    <s v="No"/>
    <n v="0"/>
    <x v="0"/>
    <x v="0"/>
    <n v="28"/>
    <s v="Life Sciences"/>
    <s v="1554"/>
    <x v="0"/>
    <x v="0"/>
    <n v="2"/>
    <n v="1"/>
    <x v="6"/>
    <x v="2"/>
    <x v="1"/>
    <n v="2430"/>
    <x v="1"/>
    <x v="1"/>
    <n v="4"/>
    <n v="6"/>
    <n v="3"/>
    <x v="8"/>
    <n v="3"/>
    <n v="4"/>
    <n v="2"/>
    <x v="2"/>
    <x v="0"/>
    <x v="1"/>
  </r>
  <r>
    <n v="32"/>
    <s v="No"/>
    <n v="0"/>
    <x v="0"/>
    <x v="1"/>
    <n v="5"/>
    <s v="Life Sciences"/>
    <s v="1555"/>
    <x v="2"/>
    <x v="0"/>
    <n v="2"/>
    <n v="2"/>
    <x v="1"/>
    <x v="1"/>
    <x v="1"/>
    <n v="5878"/>
    <x v="0"/>
    <x v="1"/>
    <n v="3"/>
    <n v="12"/>
    <n v="3"/>
    <x v="5"/>
    <n v="1"/>
    <n v="2"/>
    <n v="5"/>
    <x v="2"/>
    <x v="0"/>
    <x v="0"/>
  </r>
  <r>
    <n v="36"/>
    <s v="No"/>
    <n v="0"/>
    <x v="0"/>
    <x v="0"/>
    <n v="2"/>
    <s v="Life Sciences"/>
    <s v="1556"/>
    <x v="1"/>
    <x v="1"/>
    <n v="3"/>
    <n v="1"/>
    <x v="6"/>
    <x v="0"/>
    <x v="0"/>
    <n v="2644"/>
    <x v="1"/>
    <x v="0"/>
    <n v="4"/>
    <n v="7"/>
    <n v="2"/>
    <x v="11"/>
    <n v="2"/>
    <n v="1"/>
    <n v="2"/>
    <x v="0"/>
    <x v="0"/>
    <x v="1"/>
  </r>
  <r>
    <n v="48"/>
    <s v="No"/>
    <n v="0"/>
    <x v="0"/>
    <x v="0"/>
    <n v="16"/>
    <s v="Life Sciences"/>
    <s v="1557"/>
    <x v="1"/>
    <x v="0"/>
    <n v="3"/>
    <n v="2"/>
    <x v="0"/>
    <x v="2"/>
    <x v="2"/>
    <n v="6439"/>
    <x v="0"/>
    <x v="1"/>
    <n v="3"/>
    <n v="18"/>
    <n v="3"/>
    <x v="3"/>
    <n v="7"/>
    <n v="7"/>
    <n v="7"/>
    <x v="1"/>
    <x v="2"/>
    <x v="0"/>
  </r>
  <r>
    <n v="29"/>
    <s v="No"/>
    <n v="0"/>
    <x v="0"/>
    <x v="1"/>
    <n v="9"/>
    <s v="Life Sciences"/>
    <s v="1558"/>
    <x v="1"/>
    <x v="1"/>
    <n v="4"/>
    <n v="1"/>
    <x v="1"/>
    <x v="2"/>
    <x v="1"/>
    <n v="2451"/>
    <x v="1"/>
    <x v="1"/>
    <n v="3"/>
    <n v="5"/>
    <n v="2"/>
    <x v="6"/>
    <n v="0"/>
    <n v="0"/>
    <n v="0"/>
    <x v="2"/>
    <x v="1"/>
    <x v="1"/>
  </r>
  <r>
    <n v="33"/>
    <s v="No"/>
    <n v="0"/>
    <x v="0"/>
    <x v="0"/>
    <n v="8"/>
    <s v="Life Sciences"/>
    <s v="1560"/>
    <x v="3"/>
    <x v="1"/>
    <n v="3"/>
    <n v="2"/>
    <x v="0"/>
    <x v="3"/>
    <x v="1"/>
    <n v="6392"/>
    <x v="0"/>
    <x v="1"/>
    <n v="3"/>
    <n v="8"/>
    <n v="1"/>
    <x v="4"/>
    <n v="2"/>
    <n v="2"/>
    <n v="2"/>
    <x v="2"/>
    <x v="0"/>
    <x v="1"/>
  </r>
  <r>
    <n v="30"/>
    <s v="Yes"/>
    <n v="1"/>
    <x v="0"/>
    <x v="0"/>
    <n v="1"/>
    <s v="Life Sciences"/>
    <s v="1562"/>
    <x v="0"/>
    <x v="1"/>
    <n v="2"/>
    <n v="2"/>
    <x v="0"/>
    <x v="3"/>
    <x v="1"/>
    <n v="9714"/>
    <x v="0"/>
    <x v="1"/>
    <n v="3"/>
    <n v="10"/>
    <n v="3"/>
    <x v="1"/>
    <n v="8"/>
    <n v="6"/>
    <n v="7"/>
    <x v="2"/>
    <x v="0"/>
    <x v="0"/>
  </r>
  <r>
    <n v="38"/>
    <s v="No"/>
    <n v="0"/>
    <x v="1"/>
    <x v="2"/>
    <n v="10"/>
    <s v="Human Resources"/>
    <s v="1563"/>
    <x v="1"/>
    <x v="1"/>
    <n v="3"/>
    <n v="2"/>
    <x v="8"/>
    <x v="2"/>
    <x v="1"/>
    <n v="6077"/>
    <x v="0"/>
    <x v="1"/>
    <n v="3"/>
    <n v="10"/>
    <n v="3"/>
    <x v="0"/>
    <n v="3"/>
    <n v="1"/>
    <n v="2"/>
    <x v="0"/>
    <x v="0"/>
    <x v="0"/>
  </r>
  <r>
    <n v="35"/>
    <s v="No"/>
    <n v="0"/>
    <x v="0"/>
    <x v="1"/>
    <n v="1"/>
    <s v="Medical"/>
    <s v="1564"/>
    <x v="2"/>
    <x v="1"/>
    <n v="2"/>
    <n v="1"/>
    <x v="2"/>
    <x v="3"/>
    <x v="0"/>
    <n v="2450"/>
    <x v="1"/>
    <x v="1"/>
    <n v="3"/>
    <n v="3"/>
    <n v="3"/>
    <x v="11"/>
    <n v="0"/>
    <n v="1"/>
    <n v="2"/>
    <x v="2"/>
    <x v="1"/>
    <x v="1"/>
  </r>
  <r>
    <n v="30"/>
    <s v="No"/>
    <n v="0"/>
    <x v="0"/>
    <x v="0"/>
    <n v="29"/>
    <s v="Technical Degree"/>
    <s v="1568"/>
    <x v="1"/>
    <x v="1"/>
    <n v="3"/>
    <n v="3"/>
    <x v="0"/>
    <x v="1"/>
    <x v="1"/>
    <n v="9250"/>
    <x v="0"/>
    <x v="1"/>
    <n v="3"/>
    <n v="9"/>
    <n v="3"/>
    <x v="9"/>
    <n v="2"/>
    <n v="1"/>
    <n v="3"/>
    <x v="2"/>
    <x v="0"/>
    <x v="1"/>
  </r>
  <r>
    <n v="35"/>
    <s v="Yes"/>
    <n v="1"/>
    <x v="0"/>
    <x v="1"/>
    <n v="2"/>
    <s v="Life Sciences"/>
    <s v="1569"/>
    <x v="3"/>
    <x v="0"/>
    <n v="3"/>
    <n v="1"/>
    <x v="2"/>
    <x v="3"/>
    <x v="2"/>
    <n v="2074"/>
    <x v="1"/>
    <x v="0"/>
    <n v="3"/>
    <n v="1"/>
    <n v="3"/>
    <x v="6"/>
    <n v="0"/>
    <n v="0"/>
    <n v="0"/>
    <x v="2"/>
    <x v="1"/>
    <x v="1"/>
  </r>
  <r>
    <n v="53"/>
    <s v="Yes"/>
    <n v="1"/>
    <x v="0"/>
    <x v="1"/>
    <n v="2"/>
    <s v="Technical Degree"/>
    <s v="1572"/>
    <x v="1"/>
    <x v="0"/>
    <n v="2"/>
    <n v="3"/>
    <x v="3"/>
    <x v="0"/>
    <x v="1"/>
    <n v="10169"/>
    <x v="0"/>
    <x v="1"/>
    <n v="3"/>
    <n v="34"/>
    <n v="3"/>
    <x v="26"/>
    <n v="7"/>
    <n v="1"/>
    <n v="9"/>
    <x v="1"/>
    <x v="2"/>
    <x v="2"/>
  </r>
  <r>
    <n v="38"/>
    <s v="Yes"/>
    <n v="1"/>
    <x v="0"/>
    <x v="1"/>
    <n v="2"/>
    <s v="Medical"/>
    <s v="1573"/>
    <x v="1"/>
    <x v="1"/>
    <n v="3"/>
    <n v="2"/>
    <x v="3"/>
    <x v="1"/>
    <x v="1"/>
    <n v="4855"/>
    <x v="1"/>
    <x v="1"/>
    <n v="3"/>
    <n v="7"/>
    <n v="3"/>
    <x v="8"/>
    <n v="2"/>
    <n v="1"/>
    <n v="4"/>
    <x v="0"/>
    <x v="0"/>
    <x v="1"/>
  </r>
  <r>
    <n v="32"/>
    <s v="No"/>
    <n v="0"/>
    <x v="2"/>
    <x v="1"/>
    <n v="1"/>
    <s v="Technical Degree"/>
    <s v="1574"/>
    <x v="2"/>
    <x v="1"/>
    <n v="3"/>
    <n v="2"/>
    <x v="1"/>
    <x v="3"/>
    <x v="1"/>
    <n v="4087"/>
    <x v="1"/>
    <x v="1"/>
    <n v="3"/>
    <n v="9"/>
    <n v="2"/>
    <x v="0"/>
    <n v="5"/>
    <n v="1"/>
    <n v="2"/>
    <x v="2"/>
    <x v="0"/>
    <x v="0"/>
  </r>
  <r>
    <n v="48"/>
    <s v="No"/>
    <n v="0"/>
    <x v="0"/>
    <x v="1"/>
    <n v="15"/>
    <s v="Other"/>
    <s v="1576"/>
    <x v="1"/>
    <x v="0"/>
    <n v="3"/>
    <n v="1"/>
    <x v="1"/>
    <x v="3"/>
    <x v="1"/>
    <n v="2367"/>
    <x v="1"/>
    <x v="1"/>
    <n v="3"/>
    <n v="10"/>
    <n v="2"/>
    <x v="3"/>
    <n v="2"/>
    <n v="7"/>
    <n v="6"/>
    <x v="1"/>
    <x v="0"/>
    <x v="0"/>
  </r>
  <r>
    <n v="34"/>
    <s v="No"/>
    <n v="0"/>
    <x v="0"/>
    <x v="1"/>
    <n v="7"/>
    <s v="Medical"/>
    <s v="1577"/>
    <x v="3"/>
    <x v="1"/>
    <n v="3"/>
    <n v="1"/>
    <x v="1"/>
    <x v="0"/>
    <x v="0"/>
    <n v="2972"/>
    <x v="1"/>
    <x v="1"/>
    <n v="3"/>
    <n v="1"/>
    <n v="1"/>
    <x v="6"/>
    <n v="0"/>
    <n v="0"/>
    <n v="0"/>
    <x v="2"/>
    <x v="1"/>
    <x v="1"/>
  </r>
  <r>
    <n v="55"/>
    <s v="No"/>
    <n v="0"/>
    <x v="0"/>
    <x v="0"/>
    <n v="26"/>
    <s v="Marketing"/>
    <s v="1578"/>
    <x v="1"/>
    <x v="1"/>
    <n v="2"/>
    <n v="5"/>
    <x v="5"/>
    <x v="0"/>
    <x v="1"/>
    <n v="19586"/>
    <x v="2"/>
    <x v="1"/>
    <n v="4"/>
    <n v="36"/>
    <n v="3"/>
    <x v="28"/>
    <n v="6"/>
    <n v="2"/>
    <n v="13"/>
    <x v="1"/>
    <x v="2"/>
    <x v="2"/>
  </r>
  <r>
    <n v="34"/>
    <s v="No"/>
    <n v="0"/>
    <x v="0"/>
    <x v="1"/>
    <n v="1"/>
    <s v="Life Sciences"/>
    <s v="1580"/>
    <x v="0"/>
    <x v="1"/>
    <n v="3"/>
    <n v="2"/>
    <x v="1"/>
    <x v="0"/>
    <x v="1"/>
    <n v="5484"/>
    <x v="0"/>
    <x v="1"/>
    <n v="3"/>
    <n v="9"/>
    <n v="2"/>
    <x v="4"/>
    <n v="2"/>
    <n v="2"/>
    <n v="1"/>
    <x v="2"/>
    <x v="0"/>
    <x v="1"/>
  </r>
  <r>
    <n v="26"/>
    <s v="No"/>
    <n v="0"/>
    <x v="0"/>
    <x v="1"/>
    <n v="3"/>
    <s v="Life Sciences"/>
    <s v="1581"/>
    <x v="3"/>
    <x v="0"/>
    <n v="3"/>
    <n v="1"/>
    <x v="1"/>
    <x v="0"/>
    <x v="1"/>
    <n v="2061"/>
    <x v="1"/>
    <x v="1"/>
    <n v="4"/>
    <n v="1"/>
    <n v="3"/>
    <x v="6"/>
    <n v="0"/>
    <n v="0"/>
    <n v="0"/>
    <x v="2"/>
    <x v="1"/>
    <x v="1"/>
  </r>
  <r>
    <n v="38"/>
    <s v="No"/>
    <n v="0"/>
    <x v="0"/>
    <x v="0"/>
    <n v="14"/>
    <s v="Life Sciences"/>
    <s v="1582"/>
    <x v="1"/>
    <x v="1"/>
    <n v="3"/>
    <n v="2"/>
    <x v="0"/>
    <x v="1"/>
    <x v="1"/>
    <n v="9924"/>
    <x v="0"/>
    <x v="1"/>
    <n v="3"/>
    <n v="10"/>
    <n v="3"/>
    <x v="7"/>
    <n v="8"/>
    <n v="7"/>
    <n v="7"/>
    <x v="0"/>
    <x v="0"/>
    <x v="0"/>
  </r>
  <r>
    <n v="38"/>
    <s v="No"/>
    <n v="0"/>
    <x v="0"/>
    <x v="0"/>
    <n v="16"/>
    <s v="Life Sciences"/>
    <s v="1583"/>
    <x v="0"/>
    <x v="0"/>
    <n v="3"/>
    <n v="2"/>
    <x v="0"/>
    <x v="1"/>
    <x v="0"/>
    <n v="4198"/>
    <x v="1"/>
    <x v="1"/>
    <n v="3"/>
    <n v="8"/>
    <n v="4"/>
    <x v="11"/>
    <n v="2"/>
    <n v="1"/>
    <n v="2"/>
    <x v="0"/>
    <x v="0"/>
    <x v="1"/>
  </r>
  <r>
    <n v="36"/>
    <s v="No"/>
    <n v="0"/>
    <x v="0"/>
    <x v="0"/>
    <n v="1"/>
    <s v="Life Sciences"/>
    <s v="1585"/>
    <x v="0"/>
    <x v="0"/>
    <n v="3"/>
    <n v="2"/>
    <x v="0"/>
    <x v="2"/>
    <x v="0"/>
    <n v="6815"/>
    <x v="0"/>
    <x v="1"/>
    <n v="3"/>
    <n v="15"/>
    <n v="3"/>
    <x v="6"/>
    <n v="0"/>
    <n v="0"/>
    <n v="0"/>
    <x v="0"/>
    <x v="0"/>
    <x v="1"/>
  </r>
  <r>
    <n v="29"/>
    <s v="No"/>
    <n v="0"/>
    <x v="0"/>
    <x v="1"/>
    <n v="3"/>
    <s v="Medical"/>
    <s v="1586"/>
    <x v="0"/>
    <x v="1"/>
    <n v="3"/>
    <n v="1"/>
    <x v="2"/>
    <x v="3"/>
    <x v="0"/>
    <n v="4723"/>
    <x v="1"/>
    <x v="0"/>
    <n v="3"/>
    <n v="10"/>
    <n v="3"/>
    <x v="1"/>
    <n v="9"/>
    <n v="1"/>
    <n v="5"/>
    <x v="2"/>
    <x v="0"/>
    <x v="0"/>
  </r>
  <r>
    <n v="35"/>
    <s v="No"/>
    <n v="0"/>
    <x v="0"/>
    <x v="1"/>
    <n v="10"/>
    <s v="Medical"/>
    <s v="1587"/>
    <x v="3"/>
    <x v="0"/>
    <n v="3"/>
    <n v="2"/>
    <x v="4"/>
    <x v="2"/>
    <x v="0"/>
    <n v="6142"/>
    <x v="0"/>
    <x v="0"/>
    <n v="3"/>
    <n v="10"/>
    <n v="3"/>
    <x v="8"/>
    <n v="2"/>
    <n v="0"/>
    <n v="4"/>
    <x v="2"/>
    <x v="0"/>
    <x v="1"/>
  </r>
  <r>
    <n v="39"/>
    <s v="No"/>
    <n v="0"/>
    <x v="0"/>
    <x v="0"/>
    <n v="6"/>
    <s v="Medical"/>
    <s v="1588"/>
    <x v="2"/>
    <x v="1"/>
    <n v="4"/>
    <n v="3"/>
    <x v="0"/>
    <x v="2"/>
    <x v="1"/>
    <n v="8237"/>
    <x v="0"/>
    <x v="1"/>
    <n v="3"/>
    <n v="11"/>
    <n v="3"/>
    <x v="5"/>
    <n v="6"/>
    <n v="7"/>
    <n v="6"/>
    <x v="0"/>
    <x v="0"/>
    <x v="0"/>
  </r>
  <r>
    <n v="29"/>
    <s v="No"/>
    <n v="0"/>
    <x v="1"/>
    <x v="1"/>
    <n v="2"/>
    <s v="Life Sciences"/>
    <s v="1590"/>
    <x v="3"/>
    <x v="1"/>
    <n v="3"/>
    <n v="2"/>
    <x v="4"/>
    <x v="0"/>
    <x v="2"/>
    <n v="8853"/>
    <x v="0"/>
    <x v="1"/>
    <n v="3"/>
    <n v="6"/>
    <n v="4"/>
    <x v="0"/>
    <n v="4"/>
    <n v="1"/>
    <n v="3"/>
    <x v="2"/>
    <x v="0"/>
    <x v="0"/>
  </r>
  <r>
    <n v="50"/>
    <s v="No"/>
    <n v="0"/>
    <x v="0"/>
    <x v="0"/>
    <n v="9"/>
    <s v="Marketing"/>
    <s v="1591"/>
    <x v="1"/>
    <x v="1"/>
    <n v="3"/>
    <n v="5"/>
    <x v="5"/>
    <x v="2"/>
    <x v="1"/>
    <n v="19331"/>
    <x v="2"/>
    <x v="0"/>
    <n v="3"/>
    <n v="27"/>
    <n v="3"/>
    <x v="6"/>
    <n v="0"/>
    <n v="0"/>
    <n v="0"/>
    <x v="1"/>
    <x v="2"/>
    <x v="1"/>
  </r>
  <r>
    <n v="23"/>
    <s v="No"/>
    <n v="0"/>
    <x v="0"/>
    <x v="1"/>
    <n v="10"/>
    <s v="Technical Degree"/>
    <s v="1592"/>
    <x v="2"/>
    <x v="1"/>
    <n v="4"/>
    <n v="1"/>
    <x v="1"/>
    <x v="2"/>
    <x v="1"/>
    <n v="2073"/>
    <x v="1"/>
    <x v="1"/>
    <n v="3"/>
    <n v="4"/>
    <n v="3"/>
    <x v="4"/>
    <n v="2"/>
    <n v="2"/>
    <n v="2"/>
    <x v="3"/>
    <x v="1"/>
    <x v="1"/>
  </r>
  <r>
    <n v="36"/>
    <s v="No"/>
    <n v="0"/>
    <x v="1"/>
    <x v="1"/>
    <n v="6"/>
    <s v="Life Sciences"/>
    <s v="1594"/>
    <x v="3"/>
    <x v="1"/>
    <n v="4"/>
    <n v="2"/>
    <x v="2"/>
    <x v="3"/>
    <x v="1"/>
    <n v="5562"/>
    <x v="0"/>
    <x v="0"/>
    <n v="3"/>
    <n v="9"/>
    <n v="3"/>
    <x v="11"/>
    <n v="2"/>
    <n v="0"/>
    <n v="2"/>
    <x v="0"/>
    <x v="0"/>
    <x v="1"/>
  </r>
  <r>
    <n v="42"/>
    <s v="No"/>
    <n v="0"/>
    <x v="0"/>
    <x v="1"/>
    <n v="9"/>
    <s v="Other"/>
    <s v="1595"/>
    <x v="2"/>
    <x v="1"/>
    <n v="2"/>
    <n v="5"/>
    <x v="5"/>
    <x v="0"/>
    <x v="0"/>
    <n v="19613"/>
    <x v="2"/>
    <x v="1"/>
    <n v="4"/>
    <n v="24"/>
    <n v="3"/>
    <x v="6"/>
    <n v="0"/>
    <n v="0"/>
    <n v="1"/>
    <x v="0"/>
    <x v="2"/>
    <x v="1"/>
  </r>
  <r>
    <n v="35"/>
    <s v="No"/>
    <n v="0"/>
    <x v="0"/>
    <x v="1"/>
    <n v="28"/>
    <s v="Life Sciences"/>
    <s v="1596"/>
    <x v="0"/>
    <x v="1"/>
    <n v="4"/>
    <n v="2"/>
    <x v="2"/>
    <x v="2"/>
    <x v="1"/>
    <n v="3407"/>
    <x v="1"/>
    <x v="1"/>
    <n v="3"/>
    <n v="10"/>
    <n v="2"/>
    <x v="1"/>
    <n v="9"/>
    <n v="6"/>
    <n v="8"/>
    <x v="2"/>
    <x v="0"/>
    <x v="0"/>
  </r>
  <r>
    <n v="34"/>
    <s v="No"/>
    <n v="0"/>
    <x v="1"/>
    <x v="1"/>
    <n v="10"/>
    <s v="Technical Degree"/>
    <s v="1597"/>
    <x v="2"/>
    <x v="1"/>
    <n v="2"/>
    <n v="2"/>
    <x v="4"/>
    <x v="2"/>
    <x v="1"/>
    <n v="5063"/>
    <x v="0"/>
    <x v="1"/>
    <n v="3"/>
    <n v="8"/>
    <n v="2"/>
    <x v="3"/>
    <n v="2"/>
    <n v="7"/>
    <n v="7"/>
    <x v="2"/>
    <x v="0"/>
    <x v="0"/>
  </r>
  <r>
    <n v="40"/>
    <s v="No"/>
    <n v="0"/>
    <x v="0"/>
    <x v="0"/>
    <n v="14"/>
    <s v="Life Sciences"/>
    <s v="1598"/>
    <x v="2"/>
    <x v="0"/>
    <n v="3"/>
    <n v="2"/>
    <x v="0"/>
    <x v="3"/>
    <x v="1"/>
    <n v="4639"/>
    <x v="1"/>
    <x v="1"/>
    <n v="3"/>
    <n v="5"/>
    <n v="3"/>
    <x v="8"/>
    <n v="4"/>
    <n v="1"/>
    <n v="2"/>
    <x v="0"/>
    <x v="1"/>
    <x v="1"/>
  </r>
  <r>
    <n v="43"/>
    <s v="No"/>
    <n v="0"/>
    <x v="0"/>
    <x v="1"/>
    <n v="27"/>
    <s v="Technical Degree"/>
    <s v="1599"/>
    <x v="2"/>
    <x v="1"/>
    <n v="4"/>
    <n v="1"/>
    <x v="2"/>
    <x v="1"/>
    <x v="2"/>
    <n v="4876"/>
    <x v="1"/>
    <x v="1"/>
    <n v="3"/>
    <n v="8"/>
    <n v="3"/>
    <x v="0"/>
    <n v="4"/>
    <n v="0"/>
    <n v="2"/>
    <x v="0"/>
    <x v="0"/>
    <x v="0"/>
  </r>
  <r>
    <n v="35"/>
    <s v="No"/>
    <n v="0"/>
    <x v="0"/>
    <x v="1"/>
    <n v="7"/>
    <s v="Life Sciences"/>
    <s v="1601"/>
    <x v="1"/>
    <x v="1"/>
    <n v="2"/>
    <n v="1"/>
    <x v="2"/>
    <x v="0"/>
    <x v="1"/>
    <n v="2690"/>
    <x v="1"/>
    <x v="1"/>
    <n v="3"/>
    <n v="1"/>
    <n v="2"/>
    <x v="6"/>
    <n v="0"/>
    <n v="0"/>
    <n v="1"/>
    <x v="2"/>
    <x v="1"/>
    <x v="1"/>
  </r>
  <r>
    <n v="46"/>
    <s v="No"/>
    <n v="0"/>
    <x v="0"/>
    <x v="0"/>
    <n v="1"/>
    <s v="Life Sciences"/>
    <s v="1602"/>
    <x v="2"/>
    <x v="1"/>
    <n v="4"/>
    <n v="4"/>
    <x v="5"/>
    <x v="3"/>
    <x v="0"/>
    <n v="17567"/>
    <x v="2"/>
    <x v="1"/>
    <n v="3"/>
    <n v="27"/>
    <n v="1"/>
    <x v="34"/>
    <n v="0"/>
    <n v="0"/>
    <n v="12"/>
    <x v="1"/>
    <x v="2"/>
    <x v="2"/>
  </r>
  <r>
    <n v="28"/>
    <s v="Yes"/>
    <n v="1"/>
    <x v="0"/>
    <x v="1"/>
    <n v="24"/>
    <s v="Medical"/>
    <s v="1604"/>
    <x v="1"/>
    <x v="1"/>
    <n v="3"/>
    <n v="1"/>
    <x v="2"/>
    <x v="1"/>
    <x v="1"/>
    <n v="2408"/>
    <x v="1"/>
    <x v="0"/>
    <n v="3"/>
    <n v="1"/>
    <n v="3"/>
    <x v="6"/>
    <n v="1"/>
    <n v="0"/>
    <n v="0"/>
    <x v="2"/>
    <x v="1"/>
    <x v="1"/>
  </r>
  <r>
    <n v="22"/>
    <s v="No"/>
    <n v="0"/>
    <x v="2"/>
    <x v="1"/>
    <n v="26"/>
    <s v="Other"/>
    <s v="1605"/>
    <x v="0"/>
    <x v="0"/>
    <n v="2"/>
    <n v="1"/>
    <x v="1"/>
    <x v="2"/>
    <x v="1"/>
    <n v="2814"/>
    <x v="1"/>
    <x v="0"/>
    <n v="3"/>
    <n v="4"/>
    <n v="2"/>
    <x v="9"/>
    <n v="2"/>
    <n v="1"/>
    <n v="3"/>
    <x v="3"/>
    <x v="1"/>
    <x v="1"/>
  </r>
  <r>
    <n v="50"/>
    <s v="No"/>
    <n v="0"/>
    <x v="1"/>
    <x v="1"/>
    <n v="20"/>
    <s v="Medical"/>
    <s v="1606"/>
    <x v="0"/>
    <x v="1"/>
    <n v="3"/>
    <n v="4"/>
    <x v="4"/>
    <x v="2"/>
    <x v="1"/>
    <n v="11245"/>
    <x v="0"/>
    <x v="0"/>
    <n v="3"/>
    <n v="32"/>
    <n v="3"/>
    <x v="35"/>
    <n v="8"/>
    <n v="12"/>
    <n v="13"/>
    <x v="1"/>
    <x v="2"/>
    <x v="2"/>
  </r>
  <r>
    <n v="32"/>
    <s v="No"/>
    <n v="0"/>
    <x v="0"/>
    <x v="1"/>
    <n v="5"/>
    <s v="Other"/>
    <s v="1607"/>
    <x v="0"/>
    <x v="0"/>
    <n v="4"/>
    <n v="1"/>
    <x v="1"/>
    <x v="0"/>
    <x v="1"/>
    <n v="3312"/>
    <x v="1"/>
    <x v="1"/>
    <n v="3"/>
    <n v="6"/>
    <n v="3"/>
    <x v="11"/>
    <n v="2"/>
    <n v="0"/>
    <n v="2"/>
    <x v="2"/>
    <x v="0"/>
    <x v="1"/>
  </r>
  <r>
    <n v="44"/>
    <s v="No"/>
    <n v="0"/>
    <x v="0"/>
    <x v="1"/>
    <n v="7"/>
    <s v="Medical"/>
    <s v="1608"/>
    <x v="0"/>
    <x v="0"/>
    <n v="3"/>
    <n v="5"/>
    <x v="7"/>
    <x v="0"/>
    <x v="2"/>
    <n v="19049"/>
    <x v="2"/>
    <x v="0"/>
    <n v="3"/>
    <n v="23"/>
    <n v="2"/>
    <x v="14"/>
    <n v="7"/>
    <n v="1"/>
    <n v="10"/>
    <x v="0"/>
    <x v="2"/>
    <x v="2"/>
  </r>
  <r>
    <n v="30"/>
    <s v="No"/>
    <n v="0"/>
    <x v="0"/>
    <x v="1"/>
    <n v="7"/>
    <s v="Medical"/>
    <s v="1609"/>
    <x v="0"/>
    <x v="1"/>
    <n v="2"/>
    <n v="1"/>
    <x v="1"/>
    <x v="1"/>
    <x v="1"/>
    <n v="2141"/>
    <x v="1"/>
    <x v="1"/>
    <n v="3"/>
    <n v="6"/>
    <n v="2"/>
    <x v="0"/>
    <n v="4"/>
    <n v="1"/>
    <n v="1"/>
    <x v="2"/>
    <x v="0"/>
    <x v="0"/>
  </r>
  <r>
    <n v="45"/>
    <s v="No"/>
    <n v="0"/>
    <x v="0"/>
    <x v="1"/>
    <n v="5"/>
    <s v="Medical"/>
    <s v="1611"/>
    <x v="1"/>
    <x v="0"/>
    <n v="1"/>
    <n v="2"/>
    <x v="2"/>
    <x v="3"/>
    <x v="0"/>
    <n v="5769"/>
    <x v="0"/>
    <x v="0"/>
    <n v="3"/>
    <n v="10"/>
    <n v="3"/>
    <x v="1"/>
    <n v="7"/>
    <n v="1"/>
    <n v="4"/>
    <x v="0"/>
    <x v="0"/>
    <x v="0"/>
  </r>
  <r>
    <n v="45"/>
    <s v="No"/>
    <n v="0"/>
    <x v="2"/>
    <x v="0"/>
    <n v="26"/>
    <s v="Marketing"/>
    <s v="1612"/>
    <x v="3"/>
    <x v="1"/>
    <n v="2"/>
    <n v="2"/>
    <x v="0"/>
    <x v="3"/>
    <x v="1"/>
    <n v="4385"/>
    <x v="1"/>
    <x v="1"/>
    <n v="3"/>
    <n v="10"/>
    <n v="3"/>
    <x v="1"/>
    <n v="7"/>
    <n v="4"/>
    <n v="5"/>
    <x v="0"/>
    <x v="0"/>
    <x v="0"/>
  </r>
  <r>
    <n v="31"/>
    <s v="No"/>
    <n v="0"/>
    <x v="1"/>
    <x v="0"/>
    <n v="2"/>
    <s v="Other"/>
    <s v="1613"/>
    <x v="2"/>
    <x v="1"/>
    <n v="3"/>
    <n v="2"/>
    <x v="0"/>
    <x v="3"/>
    <x v="0"/>
    <n v="5332"/>
    <x v="0"/>
    <x v="1"/>
    <n v="3"/>
    <n v="10"/>
    <n v="3"/>
    <x v="8"/>
    <n v="2"/>
    <n v="0"/>
    <n v="3"/>
    <x v="2"/>
    <x v="0"/>
    <x v="1"/>
  </r>
  <r>
    <n v="36"/>
    <s v="No"/>
    <n v="0"/>
    <x v="0"/>
    <x v="1"/>
    <n v="12"/>
    <s v="Life Sciences"/>
    <s v="1614"/>
    <x v="1"/>
    <x v="0"/>
    <n v="3"/>
    <n v="2"/>
    <x v="3"/>
    <x v="2"/>
    <x v="1"/>
    <n v="4663"/>
    <x v="1"/>
    <x v="0"/>
    <n v="3"/>
    <n v="7"/>
    <n v="3"/>
    <x v="11"/>
    <n v="2"/>
    <n v="1"/>
    <n v="1"/>
    <x v="0"/>
    <x v="0"/>
    <x v="1"/>
  </r>
  <r>
    <n v="34"/>
    <s v="No"/>
    <n v="0"/>
    <x v="1"/>
    <x v="1"/>
    <n v="10"/>
    <s v="Life Sciences"/>
    <s v="1615"/>
    <x v="1"/>
    <x v="1"/>
    <n v="4"/>
    <n v="2"/>
    <x v="3"/>
    <x v="0"/>
    <x v="2"/>
    <n v="4724"/>
    <x v="1"/>
    <x v="1"/>
    <n v="3"/>
    <n v="9"/>
    <n v="3"/>
    <x v="7"/>
    <n v="7"/>
    <n v="7"/>
    <n v="2"/>
    <x v="2"/>
    <x v="0"/>
    <x v="0"/>
  </r>
  <r>
    <n v="49"/>
    <s v="No"/>
    <n v="0"/>
    <x v="0"/>
    <x v="1"/>
    <n v="25"/>
    <s v="Life Sciences"/>
    <s v="1617"/>
    <x v="1"/>
    <x v="0"/>
    <n v="3"/>
    <n v="1"/>
    <x v="2"/>
    <x v="3"/>
    <x v="1"/>
    <n v="3211"/>
    <x v="1"/>
    <x v="1"/>
    <n v="3"/>
    <n v="10"/>
    <n v="2"/>
    <x v="7"/>
    <n v="6"/>
    <n v="1"/>
    <n v="4"/>
    <x v="1"/>
    <x v="0"/>
    <x v="0"/>
  </r>
  <r>
    <n v="39"/>
    <s v="No"/>
    <n v="0"/>
    <x v="0"/>
    <x v="1"/>
    <n v="10"/>
    <s v="Medical"/>
    <s v="1618"/>
    <x v="0"/>
    <x v="1"/>
    <n v="3"/>
    <n v="2"/>
    <x v="3"/>
    <x v="3"/>
    <x v="1"/>
    <n v="5377"/>
    <x v="0"/>
    <x v="1"/>
    <n v="3"/>
    <n v="10"/>
    <n v="3"/>
    <x v="5"/>
    <n v="7"/>
    <n v="7"/>
    <n v="7"/>
    <x v="0"/>
    <x v="0"/>
    <x v="0"/>
  </r>
  <r>
    <n v="27"/>
    <s v="No"/>
    <n v="0"/>
    <x v="0"/>
    <x v="1"/>
    <n v="19"/>
    <s v="Other"/>
    <s v="1619"/>
    <x v="2"/>
    <x v="1"/>
    <n v="2"/>
    <n v="1"/>
    <x v="2"/>
    <x v="3"/>
    <x v="2"/>
    <n v="4066"/>
    <x v="1"/>
    <x v="1"/>
    <n v="3"/>
    <n v="7"/>
    <n v="3"/>
    <x v="5"/>
    <n v="7"/>
    <n v="0"/>
    <n v="7"/>
    <x v="2"/>
    <x v="0"/>
    <x v="0"/>
  </r>
  <r>
    <n v="35"/>
    <s v="No"/>
    <n v="0"/>
    <x v="0"/>
    <x v="1"/>
    <n v="18"/>
    <s v="Life Sciences"/>
    <s v="1621"/>
    <x v="0"/>
    <x v="1"/>
    <n v="4"/>
    <n v="2"/>
    <x v="1"/>
    <x v="3"/>
    <x v="1"/>
    <n v="5208"/>
    <x v="0"/>
    <x v="1"/>
    <n v="3"/>
    <n v="16"/>
    <n v="3"/>
    <x v="22"/>
    <n v="15"/>
    <n v="1"/>
    <n v="10"/>
    <x v="2"/>
    <x v="2"/>
    <x v="2"/>
  </r>
  <r>
    <n v="28"/>
    <s v="No"/>
    <n v="0"/>
    <x v="0"/>
    <x v="1"/>
    <n v="27"/>
    <s v="Medical"/>
    <s v="1622"/>
    <x v="0"/>
    <x v="0"/>
    <n v="1"/>
    <n v="2"/>
    <x v="3"/>
    <x v="3"/>
    <x v="2"/>
    <n v="4877"/>
    <x v="1"/>
    <x v="1"/>
    <n v="4"/>
    <n v="6"/>
    <n v="2"/>
    <x v="8"/>
    <n v="3"/>
    <n v="0"/>
    <n v="0"/>
    <x v="2"/>
    <x v="0"/>
    <x v="1"/>
  </r>
  <r>
    <n v="21"/>
    <s v="No"/>
    <n v="0"/>
    <x v="0"/>
    <x v="1"/>
    <n v="5"/>
    <s v="Medical"/>
    <s v="1623"/>
    <x v="1"/>
    <x v="1"/>
    <n v="3"/>
    <n v="1"/>
    <x v="1"/>
    <x v="0"/>
    <x v="0"/>
    <n v="3117"/>
    <x v="1"/>
    <x v="1"/>
    <n v="3"/>
    <n v="3"/>
    <n v="3"/>
    <x v="4"/>
    <n v="2"/>
    <n v="2"/>
    <n v="2"/>
    <x v="3"/>
    <x v="1"/>
    <x v="1"/>
  </r>
  <r>
    <n v="18"/>
    <s v="Yes"/>
    <n v="1"/>
    <x v="1"/>
    <x v="0"/>
    <n v="3"/>
    <s v="Medical"/>
    <s v="1624"/>
    <x v="0"/>
    <x v="0"/>
    <n v="3"/>
    <n v="1"/>
    <x v="6"/>
    <x v="0"/>
    <x v="0"/>
    <n v="1569"/>
    <x v="1"/>
    <x v="0"/>
    <n v="3"/>
    <n v="0"/>
    <n v="4"/>
    <x v="2"/>
    <n v="0"/>
    <n v="0"/>
    <n v="0"/>
    <x v="3"/>
    <x v="1"/>
    <x v="1"/>
  </r>
  <r>
    <n v="47"/>
    <s v="No"/>
    <n v="0"/>
    <x v="0"/>
    <x v="2"/>
    <n v="26"/>
    <s v="Life Sciences"/>
    <s v="1625"/>
    <x v="2"/>
    <x v="0"/>
    <n v="3"/>
    <n v="5"/>
    <x v="5"/>
    <x v="2"/>
    <x v="1"/>
    <n v="19658"/>
    <x v="2"/>
    <x v="1"/>
    <n v="3"/>
    <n v="27"/>
    <n v="3"/>
    <x v="8"/>
    <n v="2"/>
    <n v="1"/>
    <n v="0"/>
    <x v="1"/>
    <x v="2"/>
    <x v="1"/>
  </r>
  <r>
    <n v="39"/>
    <s v="No"/>
    <n v="0"/>
    <x v="0"/>
    <x v="1"/>
    <n v="3"/>
    <s v="Medical"/>
    <s v="1627"/>
    <x v="1"/>
    <x v="1"/>
    <n v="2"/>
    <n v="2"/>
    <x v="2"/>
    <x v="2"/>
    <x v="2"/>
    <n v="3069"/>
    <x v="1"/>
    <x v="1"/>
    <n v="3"/>
    <n v="11"/>
    <n v="3"/>
    <x v="1"/>
    <n v="8"/>
    <n v="0"/>
    <n v="7"/>
    <x v="0"/>
    <x v="0"/>
    <x v="0"/>
  </r>
  <r>
    <n v="40"/>
    <s v="No"/>
    <n v="0"/>
    <x v="0"/>
    <x v="1"/>
    <n v="15"/>
    <s v="Life Sciences"/>
    <s v="1628"/>
    <x v="3"/>
    <x v="0"/>
    <n v="2"/>
    <n v="3"/>
    <x v="3"/>
    <x v="2"/>
    <x v="1"/>
    <n v="10435"/>
    <x v="0"/>
    <x v="1"/>
    <n v="3"/>
    <n v="18"/>
    <n v="3"/>
    <x v="29"/>
    <n v="15"/>
    <n v="14"/>
    <n v="12"/>
    <x v="0"/>
    <x v="2"/>
    <x v="2"/>
  </r>
  <r>
    <n v="35"/>
    <s v="No"/>
    <n v="0"/>
    <x v="2"/>
    <x v="1"/>
    <n v="8"/>
    <s v="Life Sciences"/>
    <s v="1630"/>
    <x v="1"/>
    <x v="0"/>
    <n v="3"/>
    <n v="2"/>
    <x v="4"/>
    <x v="2"/>
    <x v="1"/>
    <n v="4148"/>
    <x v="1"/>
    <x v="1"/>
    <n v="3"/>
    <n v="15"/>
    <n v="3"/>
    <x v="13"/>
    <n v="11"/>
    <n v="2"/>
    <n v="9"/>
    <x v="2"/>
    <x v="0"/>
    <x v="2"/>
  </r>
  <r>
    <n v="37"/>
    <s v="No"/>
    <n v="0"/>
    <x v="0"/>
    <x v="1"/>
    <n v="19"/>
    <s v="Life Sciences"/>
    <s v="1631"/>
    <x v="1"/>
    <x v="1"/>
    <n v="3"/>
    <n v="2"/>
    <x v="3"/>
    <x v="2"/>
    <x v="1"/>
    <n v="5768"/>
    <x v="0"/>
    <x v="1"/>
    <n v="3"/>
    <n v="9"/>
    <n v="2"/>
    <x v="9"/>
    <n v="3"/>
    <n v="0"/>
    <n v="2"/>
    <x v="0"/>
    <x v="0"/>
    <x v="1"/>
  </r>
  <r>
    <n v="39"/>
    <s v="No"/>
    <n v="0"/>
    <x v="1"/>
    <x v="1"/>
    <n v="4"/>
    <s v="Medical"/>
    <s v="1633"/>
    <x v="3"/>
    <x v="0"/>
    <n v="3"/>
    <n v="2"/>
    <x v="3"/>
    <x v="2"/>
    <x v="0"/>
    <n v="5042"/>
    <x v="0"/>
    <x v="1"/>
    <n v="3"/>
    <n v="10"/>
    <n v="1"/>
    <x v="7"/>
    <n v="2"/>
    <n v="3"/>
    <n v="8"/>
    <x v="0"/>
    <x v="0"/>
    <x v="0"/>
  </r>
  <r>
    <n v="45"/>
    <s v="No"/>
    <n v="0"/>
    <x v="0"/>
    <x v="1"/>
    <n v="2"/>
    <s v="Other"/>
    <s v="1635"/>
    <x v="2"/>
    <x v="0"/>
    <n v="2"/>
    <n v="2"/>
    <x v="3"/>
    <x v="0"/>
    <x v="2"/>
    <n v="5770"/>
    <x v="0"/>
    <x v="1"/>
    <n v="3"/>
    <n v="10"/>
    <n v="3"/>
    <x v="1"/>
    <n v="7"/>
    <n v="3"/>
    <n v="9"/>
    <x v="0"/>
    <x v="0"/>
    <x v="0"/>
  </r>
  <r>
    <n v="38"/>
    <s v="No"/>
    <n v="0"/>
    <x v="0"/>
    <x v="1"/>
    <n v="2"/>
    <s v="Medical"/>
    <s v="1638"/>
    <x v="2"/>
    <x v="0"/>
    <n v="2"/>
    <n v="3"/>
    <x v="3"/>
    <x v="2"/>
    <x v="1"/>
    <n v="7756"/>
    <x v="0"/>
    <x v="0"/>
    <n v="3"/>
    <n v="10"/>
    <n v="4"/>
    <x v="8"/>
    <n v="4"/>
    <n v="0"/>
    <n v="2"/>
    <x v="0"/>
    <x v="0"/>
    <x v="1"/>
  </r>
  <r>
    <n v="35"/>
    <s v="Yes"/>
    <n v="1"/>
    <x v="0"/>
    <x v="0"/>
    <n v="10"/>
    <s v="Medical"/>
    <s v="1639"/>
    <x v="2"/>
    <x v="1"/>
    <n v="2"/>
    <n v="3"/>
    <x v="0"/>
    <x v="3"/>
    <x v="1"/>
    <n v="10306"/>
    <x v="0"/>
    <x v="1"/>
    <n v="3"/>
    <n v="15"/>
    <n v="3"/>
    <x v="20"/>
    <n v="12"/>
    <n v="6"/>
    <n v="0"/>
    <x v="2"/>
    <x v="0"/>
    <x v="2"/>
  </r>
  <r>
    <n v="37"/>
    <s v="No"/>
    <n v="0"/>
    <x v="0"/>
    <x v="1"/>
    <n v="10"/>
    <s v="Medical"/>
    <s v="1640"/>
    <x v="0"/>
    <x v="0"/>
    <n v="3"/>
    <n v="1"/>
    <x v="1"/>
    <x v="1"/>
    <x v="1"/>
    <n v="3936"/>
    <x v="1"/>
    <x v="1"/>
    <n v="3"/>
    <n v="8"/>
    <n v="1"/>
    <x v="3"/>
    <n v="4"/>
    <n v="7"/>
    <n v="7"/>
    <x v="0"/>
    <x v="0"/>
    <x v="0"/>
  </r>
  <r>
    <n v="40"/>
    <s v="No"/>
    <n v="0"/>
    <x v="0"/>
    <x v="1"/>
    <n v="16"/>
    <s v="Life Sciences"/>
    <s v="1641"/>
    <x v="1"/>
    <x v="0"/>
    <n v="3"/>
    <n v="3"/>
    <x v="3"/>
    <x v="0"/>
    <x v="0"/>
    <n v="7945"/>
    <x v="0"/>
    <x v="0"/>
    <n v="3"/>
    <n v="18"/>
    <n v="2"/>
    <x v="9"/>
    <n v="2"/>
    <n v="3"/>
    <n v="3"/>
    <x v="0"/>
    <x v="2"/>
    <x v="1"/>
  </r>
  <r>
    <n v="44"/>
    <s v="No"/>
    <n v="0"/>
    <x v="1"/>
    <x v="2"/>
    <n v="1"/>
    <s v="Human Resources"/>
    <s v="1642"/>
    <x v="3"/>
    <x v="1"/>
    <n v="3"/>
    <n v="2"/>
    <x v="8"/>
    <x v="0"/>
    <x v="1"/>
    <n v="5743"/>
    <x v="0"/>
    <x v="0"/>
    <n v="3"/>
    <n v="14"/>
    <n v="3"/>
    <x v="1"/>
    <n v="7"/>
    <n v="0"/>
    <n v="2"/>
    <x v="0"/>
    <x v="0"/>
    <x v="0"/>
  </r>
  <r>
    <n v="48"/>
    <s v="No"/>
    <n v="0"/>
    <x v="1"/>
    <x v="1"/>
    <n v="4"/>
    <s v="Medical"/>
    <s v="1644"/>
    <x v="1"/>
    <x v="1"/>
    <n v="2"/>
    <n v="4"/>
    <x v="5"/>
    <x v="0"/>
    <x v="1"/>
    <n v="15202"/>
    <x v="2"/>
    <x v="1"/>
    <n v="4"/>
    <n v="23"/>
    <n v="3"/>
    <x v="4"/>
    <n v="2"/>
    <n v="2"/>
    <n v="2"/>
    <x v="1"/>
    <x v="2"/>
    <x v="1"/>
  </r>
  <r>
    <n v="35"/>
    <s v="Yes"/>
    <n v="1"/>
    <x v="0"/>
    <x v="0"/>
    <n v="15"/>
    <s v="Medical"/>
    <s v="1645"/>
    <x v="3"/>
    <x v="1"/>
    <n v="1"/>
    <n v="2"/>
    <x v="0"/>
    <x v="0"/>
    <x v="2"/>
    <n v="5440"/>
    <x v="0"/>
    <x v="0"/>
    <n v="3"/>
    <n v="7"/>
    <n v="2"/>
    <x v="4"/>
    <n v="2"/>
    <n v="2"/>
    <n v="2"/>
    <x v="2"/>
    <x v="0"/>
    <x v="1"/>
  </r>
  <r>
    <n v="24"/>
    <s v="No"/>
    <n v="0"/>
    <x v="1"/>
    <x v="1"/>
    <n v="2"/>
    <s v="Technical Degree"/>
    <s v="1646"/>
    <x v="3"/>
    <x v="0"/>
    <n v="3"/>
    <n v="1"/>
    <x v="1"/>
    <x v="0"/>
    <x v="0"/>
    <n v="3760"/>
    <x v="1"/>
    <x v="0"/>
    <n v="3"/>
    <n v="6"/>
    <n v="3"/>
    <x v="0"/>
    <n v="3"/>
    <n v="1"/>
    <n v="3"/>
    <x v="3"/>
    <x v="0"/>
    <x v="0"/>
  </r>
  <r>
    <n v="27"/>
    <s v="No"/>
    <n v="0"/>
    <x v="0"/>
    <x v="1"/>
    <n v="8"/>
    <s v="Medical"/>
    <s v="1647"/>
    <x v="0"/>
    <x v="0"/>
    <n v="4"/>
    <n v="1"/>
    <x v="1"/>
    <x v="2"/>
    <x v="1"/>
    <n v="3517"/>
    <x v="1"/>
    <x v="1"/>
    <n v="3"/>
    <n v="5"/>
    <n v="3"/>
    <x v="11"/>
    <n v="2"/>
    <n v="0"/>
    <n v="2"/>
    <x v="2"/>
    <x v="1"/>
    <x v="1"/>
  </r>
  <r>
    <n v="27"/>
    <s v="No"/>
    <n v="0"/>
    <x v="1"/>
    <x v="1"/>
    <n v="2"/>
    <s v="Medical"/>
    <s v="1648"/>
    <x v="2"/>
    <x v="1"/>
    <n v="3"/>
    <n v="1"/>
    <x v="1"/>
    <x v="0"/>
    <x v="0"/>
    <n v="2580"/>
    <x v="1"/>
    <x v="1"/>
    <n v="3"/>
    <n v="6"/>
    <n v="2"/>
    <x v="9"/>
    <n v="2"/>
    <n v="1"/>
    <n v="2"/>
    <x v="2"/>
    <x v="0"/>
    <x v="1"/>
  </r>
  <r>
    <n v="40"/>
    <s v="Yes"/>
    <n v="1"/>
    <x v="0"/>
    <x v="1"/>
    <n v="7"/>
    <s v="Life Sciences"/>
    <s v="1649"/>
    <x v="3"/>
    <x v="1"/>
    <n v="3"/>
    <n v="1"/>
    <x v="2"/>
    <x v="3"/>
    <x v="0"/>
    <n v="2166"/>
    <x v="1"/>
    <x v="0"/>
    <n v="3"/>
    <n v="10"/>
    <n v="1"/>
    <x v="9"/>
    <n v="2"/>
    <n v="0"/>
    <n v="3"/>
    <x v="0"/>
    <x v="0"/>
    <x v="1"/>
  </r>
  <r>
    <n v="29"/>
    <s v="No"/>
    <n v="0"/>
    <x v="0"/>
    <x v="0"/>
    <n v="10"/>
    <s v="Medical"/>
    <s v="1650"/>
    <x v="1"/>
    <x v="1"/>
    <n v="2"/>
    <n v="2"/>
    <x v="0"/>
    <x v="2"/>
    <x v="0"/>
    <n v="5869"/>
    <x v="0"/>
    <x v="1"/>
    <n v="3"/>
    <n v="8"/>
    <n v="3"/>
    <x v="8"/>
    <n v="2"/>
    <n v="1"/>
    <n v="4"/>
    <x v="2"/>
    <x v="0"/>
    <x v="1"/>
  </r>
  <r>
    <n v="36"/>
    <s v="No"/>
    <n v="0"/>
    <x v="0"/>
    <x v="1"/>
    <n v="5"/>
    <s v="Life Sciences"/>
    <s v="1651"/>
    <x v="0"/>
    <x v="0"/>
    <n v="3"/>
    <n v="3"/>
    <x v="4"/>
    <x v="3"/>
    <x v="1"/>
    <n v="8008"/>
    <x v="0"/>
    <x v="1"/>
    <n v="3"/>
    <n v="9"/>
    <n v="3"/>
    <x v="11"/>
    <n v="2"/>
    <n v="0"/>
    <n v="2"/>
    <x v="0"/>
    <x v="0"/>
    <x v="1"/>
  </r>
  <r>
    <n v="25"/>
    <s v="No"/>
    <n v="0"/>
    <x v="1"/>
    <x v="1"/>
    <n v="2"/>
    <s v="Life Sciences"/>
    <s v="1653"/>
    <x v="2"/>
    <x v="1"/>
    <n v="4"/>
    <n v="2"/>
    <x v="3"/>
    <x v="2"/>
    <x v="2"/>
    <n v="5206"/>
    <x v="0"/>
    <x v="1"/>
    <n v="3"/>
    <n v="7"/>
    <n v="3"/>
    <x v="5"/>
    <n v="7"/>
    <n v="0"/>
    <n v="7"/>
    <x v="3"/>
    <x v="0"/>
    <x v="0"/>
  </r>
  <r>
    <n v="39"/>
    <s v="No"/>
    <n v="0"/>
    <x v="0"/>
    <x v="1"/>
    <n v="12"/>
    <s v="Medical"/>
    <s v="1654"/>
    <x v="2"/>
    <x v="1"/>
    <n v="3"/>
    <n v="2"/>
    <x v="3"/>
    <x v="1"/>
    <x v="1"/>
    <n v="5295"/>
    <x v="0"/>
    <x v="1"/>
    <n v="4"/>
    <n v="7"/>
    <n v="3"/>
    <x v="8"/>
    <n v="4"/>
    <n v="1"/>
    <n v="0"/>
    <x v="0"/>
    <x v="0"/>
    <x v="1"/>
  </r>
  <r>
    <n v="49"/>
    <s v="No"/>
    <n v="0"/>
    <x v="0"/>
    <x v="1"/>
    <n v="22"/>
    <s v="Other"/>
    <s v="1655"/>
    <x v="3"/>
    <x v="0"/>
    <n v="3"/>
    <n v="4"/>
    <x v="7"/>
    <x v="1"/>
    <x v="1"/>
    <n v="16413"/>
    <x v="2"/>
    <x v="1"/>
    <n v="3"/>
    <n v="27"/>
    <n v="3"/>
    <x v="9"/>
    <n v="2"/>
    <n v="1"/>
    <n v="2"/>
    <x v="1"/>
    <x v="2"/>
    <x v="1"/>
  </r>
  <r>
    <n v="50"/>
    <s v="No"/>
    <n v="0"/>
    <x v="0"/>
    <x v="1"/>
    <n v="17"/>
    <s v="Life Sciences"/>
    <s v="1656"/>
    <x v="2"/>
    <x v="0"/>
    <n v="2"/>
    <n v="3"/>
    <x v="7"/>
    <x v="3"/>
    <x v="2"/>
    <n v="13269"/>
    <x v="2"/>
    <x v="1"/>
    <n v="3"/>
    <n v="19"/>
    <n v="3"/>
    <x v="13"/>
    <n v="11"/>
    <n v="1"/>
    <n v="11"/>
    <x v="1"/>
    <x v="2"/>
    <x v="2"/>
  </r>
  <r>
    <n v="20"/>
    <s v="No"/>
    <n v="0"/>
    <x v="0"/>
    <x v="0"/>
    <n v="2"/>
    <s v="Medical"/>
    <s v="1657"/>
    <x v="1"/>
    <x v="0"/>
    <n v="3"/>
    <n v="1"/>
    <x v="6"/>
    <x v="2"/>
    <x v="0"/>
    <n v="2783"/>
    <x v="1"/>
    <x v="1"/>
    <n v="3"/>
    <n v="2"/>
    <n v="3"/>
    <x v="4"/>
    <n v="2"/>
    <n v="2"/>
    <n v="2"/>
    <x v="3"/>
    <x v="1"/>
    <x v="1"/>
  </r>
  <r>
    <n v="34"/>
    <s v="No"/>
    <n v="0"/>
    <x v="0"/>
    <x v="1"/>
    <n v="3"/>
    <s v="Life Sciences"/>
    <s v="1658"/>
    <x v="2"/>
    <x v="0"/>
    <n v="3"/>
    <n v="2"/>
    <x v="1"/>
    <x v="1"/>
    <x v="2"/>
    <n v="5433"/>
    <x v="0"/>
    <x v="1"/>
    <n v="3"/>
    <n v="11"/>
    <n v="3"/>
    <x v="19"/>
    <n v="8"/>
    <n v="7"/>
    <n v="9"/>
    <x v="2"/>
    <x v="0"/>
    <x v="2"/>
  </r>
  <r>
    <n v="36"/>
    <s v="No"/>
    <n v="0"/>
    <x v="0"/>
    <x v="1"/>
    <n v="7"/>
    <s v="Life Sciences"/>
    <s v="1659"/>
    <x v="3"/>
    <x v="1"/>
    <n v="3"/>
    <n v="1"/>
    <x v="2"/>
    <x v="1"/>
    <x v="0"/>
    <n v="2013"/>
    <x v="1"/>
    <x v="1"/>
    <n v="3"/>
    <n v="15"/>
    <n v="3"/>
    <x v="9"/>
    <n v="3"/>
    <n v="1"/>
    <n v="3"/>
    <x v="0"/>
    <x v="0"/>
    <x v="1"/>
  </r>
  <r>
    <n v="49"/>
    <s v="No"/>
    <n v="0"/>
    <x v="0"/>
    <x v="1"/>
    <n v="6"/>
    <s v="Life Sciences"/>
    <s v="1661"/>
    <x v="1"/>
    <x v="0"/>
    <n v="2"/>
    <n v="4"/>
    <x v="4"/>
    <x v="2"/>
    <x v="1"/>
    <n v="13966"/>
    <x v="2"/>
    <x v="0"/>
    <n v="3"/>
    <n v="30"/>
    <n v="3"/>
    <x v="15"/>
    <n v="11"/>
    <n v="2"/>
    <n v="12"/>
    <x v="1"/>
    <x v="2"/>
    <x v="2"/>
  </r>
  <r>
    <n v="36"/>
    <s v="No"/>
    <n v="0"/>
    <x v="2"/>
    <x v="1"/>
    <n v="1"/>
    <s v="Medical"/>
    <s v="1662"/>
    <x v="2"/>
    <x v="0"/>
    <n v="2"/>
    <n v="2"/>
    <x v="3"/>
    <x v="2"/>
    <x v="1"/>
    <n v="4374"/>
    <x v="1"/>
    <x v="1"/>
    <n v="3"/>
    <n v="4"/>
    <n v="3"/>
    <x v="11"/>
    <n v="2"/>
    <n v="1"/>
    <n v="2"/>
    <x v="0"/>
    <x v="1"/>
    <x v="1"/>
  </r>
  <r>
    <n v="36"/>
    <s v="No"/>
    <n v="0"/>
    <x v="0"/>
    <x v="1"/>
    <n v="3"/>
    <s v="Life Sciences"/>
    <s v="1664"/>
    <x v="2"/>
    <x v="1"/>
    <n v="4"/>
    <n v="2"/>
    <x v="4"/>
    <x v="3"/>
    <x v="2"/>
    <n v="6842"/>
    <x v="0"/>
    <x v="1"/>
    <n v="4"/>
    <n v="13"/>
    <n v="3"/>
    <x v="8"/>
    <n v="4"/>
    <n v="0"/>
    <n v="4"/>
    <x v="0"/>
    <x v="0"/>
    <x v="1"/>
  </r>
  <r>
    <n v="54"/>
    <s v="No"/>
    <n v="0"/>
    <x v="0"/>
    <x v="1"/>
    <n v="22"/>
    <s v="Medical"/>
    <s v="1665"/>
    <x v="0"/>
    <x v="0"/>
    <n v="3"/>
    <n v="4"/>
    <x v="5"/>
    <x v="2"/>
    <x v="1"/>
    <n v="17426"/>
    <x v="2"/>
    <x v="1"/>
    <n v="4"/>
    <n v="36"/>
    <n v="3"/>
    <x v="1"/>
    <n v="8"/>
    <n v="4"/>
    <n v="7"/>
    <x v="1"/>
    <x v="2"/>
    <x v="0"/>
  </r>
  <r>
    <n v="43"/>
    <s v="No"/>
    <n v="0"/>
    <x v="0"/>
    <x v="1"/>
    <n v="15"/>
    <s v="Life Sciences"/>
    <s v="1666"/>
    <x v="1"/>
    <x v="1"/>
    <n v="2"/>
    <n v="4"/>
    <x v="7"/>
    <x v="2"/>
    <x v="1"/>
    <n v="17603"/>
    <x v="2"/>
    <x v="1"/>
    <n v="4"/>
    <n v="14"/>
    <n v="3"/>
    <x v="13"/>
    <n v="10"/>
    <n v="6"/>
    <n v="11"/>
    <x v="0"/>
    <x v="0"/>
    <x v="2"/>
  </r>
  <r>
    <n v="35"/>
    <s v="Yes"/>
    <n v="1"/>
    <x v="1"/>
    <x v="0"/>
    <n v="12"/>
    <s v="Other"/>
    <s v="1667"/>
    <x v="2"/>
    <x v="1"/>
    <n v="3"/>
    <n v="2"/>
    <x v="0"/>
    <x v="0"/>
    <x v="0"/>
    <n v="4581"/>
    <x v="1"/>
    <x v="0"/>
    <n v="4"/>
    <n v="13"/>
    <n v="4"/>
    <x v="19"/>
    <n v="9"/>
    <n v="6"/>
    <n v="7"/>
    <x v="2"/>
    <x v="0"/>
    <x v="2"/>
  </r>
  <r>
    <n v="38"/>
    <s v="No"/>
    <n v="0"/>
    <x v="1"/>
    <x v="1"/>
    <n v="1"/>
    <s v="Life Sciences"/>
    <s v="1668"/>
    <x v="2"/>
    <x v="1"/>
    <n v="3"/>
    <n v="2"/>
    <x v="1"/>
    <x v="0"/>
    <x v="1"/>
    <n v="4735"/>
    <x v="1"/>
    <x v="1"/>
    <n v="3"/>
    <n v="19"/>
    <n v="4"/>
    <x v="20"/>
    <n v="11"/>
    <n v="2"/>
    <n v="9"/>
    <x v="0"/>
    <x v="2"/>
    <x v="2"/>
  </r>
  <r>
    <n v="29"/>
    <s v="No"/>
    <n v="0"/>
    <x v="0"/>
    <x v="0"/>
    <n v="5"/>
    <s v="Medical"/>
    <s v="1669"/>
    <x v="3"/>
    <x v="1"/>
    <n v="2"/>
    <n v="2"/>
    <x v="0"/>
    <x v="1"/>
    <x v="2"/>
    <n v="4187"/>
    <x v="1"/>
    <x v="0"/>
    <n v="3"/>
    <n v="10"/>
    <n v="2"/>
    <x v="1"/>
    <n v="0"/>
    <n v="0"/>
    <n v="9"/>
    <x v="2"/>
    <x v="0"/>
    <x v="0"/>
  </r>
  <r>
    <n v="33"/>
    <s v="No"/>
    <n v="0"/>
    <x v="0"/>
    <x v="0"/>
    <n v="2"/>
    <s v="Medical"/>
    <s v="1670"/>
    <x v="2"/>
    <x v="1"/>
    <n v="3"/>
    <n v="2"/>
    <x v="0"/>
    <x v="0"/>
    <x v="2"/>
    <n v="5505"/>
    <x v="0"/>
    <x v="1"/>
    <n v="3"/>
    <n v="6"/>
    <n v="3"/>
    <x v="0"/>
    <n v="2"/>
    <n v="0"/>
    <n v="4"/>
    <x v="2"/>
    <x v="0"/>
    <x v="0"/>
  </r>
  <r>
    <n v="32"/>
    <s v="No"/>
    <n v="0"/>
    <x v="0"/>
    <x v="1"/>
    <n v="2"/>
    <s v="Medical"/>
    <s v="1671"/>
    <x v="2"/>
    <x v="1"/>
    <n v="3"/>
    <n v="2"/>
    <x v="1"/>
    <x v="1"/>
    <x v="2"/>
    <n v="5470"/>
    <x v="0"/>
    <x v="1"/>
    <n v="3"/>
    <n v="10"/>
    <n v="2"/>
    <x v="7"/>
    <n v="5"/>
    <n v="1"/>
    <n v="6"/>
    <x v="2"/>
    <x v="0"/>
    <x v="0"/>
  </r>
  <r>
    <n v="31"/>
    <s v="No"/>
    <n v="0"/>
    <x v="0"/>
    <x v="0"/>
    <n v="5"/>
    <s v="Life Sciences"/>
    <s v="1673"/>
    <x v="3"/>
    <x v="0"/>
    <n v="3"/>
    <n v="2"/>
    <x v="0"/>
    <x v="0"/>
    <x v="1"/>
    <n v="5476"/>
    <x v="0"/>
    <x v="1"/>
    <n v="3"/>
    <n v="10"/>
    <n v="3"/>
    <x v="1"/>
    <n v="0"/>
    <n v="0"/>
    <n v="2"/>
    <x v="2"/>
    <x v="0"/>
    <x v="0"/>
  </r>
  <r>
    <n v="49"/>
    <s v="No"/>
    <n v="0"/>
    <x v="0"/>
    <x v="1"/>
    <n v="16"/>
    <s v="Medical"/>
    <s v="1674"/>
    <x v="2"/>
    <x v="0"/>
    <n v="3"/>
    <n v="1"/>
    <x v="2"/>
    <x v="3"/>
    <x v="2"/>
    <n v="2587"/>
    <x v="1"/>
    <x v="0"/>
    <n v="3"/>
    <n v="17"/>
    <n v="2"/>
    <x v="4"/>
    <n v="2"/>
    <n v="2"/>
    <n v="2"/>
    <x v="1"/>
    <x v="2"/>
    <x v="1"/>
  </r>
  <r>
    <n v="38"/>
    <s v="No"/>
    <n v="0"/>
    <x v="1"/>
    <x v="1"/>
    <n v="2"/>
    <s v="Medical"/>
    <s v="1675"/>
    <x v="2"/>
    <x v="0"/>
    <n v="2"/>
    <n v="1"/>
    <x v="2"/>
    <x v="1"/>
    <x v="0"/>
    <n v="2440"/>
    <x v="1"/>
    <x v="1"/>
    <n v="4"/>
    <n v="4"/>
    <n v="3"/>
    <x v="9"/>
    <n v="3"/>
    <n v="3"/>
    <n v="3"/>
    <x v="0"/>
    <x v="1"/>
    <x v="1"/>
  </r>
  <r>
    <n v="47"/>
    <s v="No"/>
    <n v="0"/>
    <x v="0"/>
    <x v="0"/>
    <n v="2"/>
    <s v="Life Sciences"/>
    <s v="1676"/>
    <x v="0"/>
    <x v="0"/>
    <n v="4"/>
    <n v="4"/>
    <x v="5"/>
    <x v="1"/>
    <x v="2"/>
    <n v="15972"/>
    <x v="2"/>
    <x v="1"/>
    <n v="3"/>
    <n v="29"/>
    <n v="3"/>
    <x v="11"/>
    <n v="2"/>
    <n v="1"/>
    <n v="2"/>
    <x v="1"/>
    <x v="2"/>
    <x v="1"/>
  </r>
  <r>
    <n v="49"/>
    <s v="No"/>
    <n v="0"/>
    <x v="0"/>
    <x v="1"/>
    <n v="1"/>
    <s v="Life Sciences"/>
    <s v="1677"/>
    <x v="1"/>
    <x v="1"/>
    <n v="3"/>
    <n v="4"/>
    <x v="5"/>
    <x v="2"/>
    <x v="0"/>
    <n v="15379"/>
    <x v="2"/>
    <x v="1"/>
    <n v="3"/>
    <n v="23"/>
    <n v="3"/>
    <x v="3"/>
    <n v="7"/>
    <n v="0"/>
    <n v="0"/>
    <x v="1"/>
    <x v="2"/>
    <x v="0"/>
  </r>
  <r>
    <n v="41"/>
    <s v="No"/>
    <n v="0"/>
    <x v="0"/>
    <x v="0"/>
    <n v="23"/>
    <s v="Life Sciences"/>
    <s v="1678"/>
    <x v="2"/>
    <x v="1"/>
    <n v="3"/>
    <n v="3"/>
    <x v="0"/>
    <x v="2"/>
    <x v="0"/>
    <n v="7082"/>
    <x v="0"/>
    <x v="0"/>
    <n v="3"/>
    <n v="21"/>
    <n v="3"/>
    <x v="4"/>
    <n v="0"/>
    <n v="0"/>
    <n v="2"/>
    <x v="0"/>
    <x v="2"/>
    <x v="1"/>
  </r>
  <r>
    <n v="20"/>
    <s v="No"/>
    <n v="0"/>
    <x v="0"/>
    <x v="0"/>
    <n v="9"/>
    <s v="Life Sciences"/>
    <s v="1680"/>
    <x v="2"/>
    <x v="1"/>
    <n v="3"/>
    <n v="1"/>
    <x v="6"/>
    <x v="3"/>
    <x v="0"/>
    <n v="2728"/>
    <x v="1"/>
    <x v="1"/>
    <n v="3"/>
    <n v="2"/>
    <n v="3"/>
    <x v="4"/>
    <n v="2"/>
    <n v="0"/>
    <n v="2"/>
    <x v="3"/>
    <x v="1"/>
    <x v="1"/>
  </r>
  <r>
    <n v="33"/>
    <s v="No"/>
    <n v="0"/>
    <x v="2"/>
    <x v="0"/>
    <n v="16"/>
    <s v="Life Sciences"/>
    <s v="1681"/>
    <x v="1"/>
    <x v="0"/>
    <n v="3"/>
    <n v="2"/>
    <x v="0"/>
    <x v="0"/>
    <x v="2"/>
    <n v="5368"/>
    <x v="0"/>
    <x v="0"/>
    <n v="4"/>
    <n v="7"/>
    <n v="3"/>
    <x v="0"/>
    <n v="5"/>
    <n v="1"/>
    <n v="2"/>
    <x v="2"/>
    <x v="0"/>
    <x v="0"/>
  </r>
  <r>
    <n v="36"/>
    <s v="No"/>
    <n v="0"/>
    <x v="0"/>
    <x v="1"/>
    <n v="26"/>
    <s v="Life Sciences"/>
    <s v="1682"/>
    <x v="3"/>
    <x v="1"/>
    <n v="3"/>
    <n v="2"/>
    <x v="4"/>
    <x v="2"/>
    <x v="1"/>
    <n v="5347"/>
    <x v="0"/>
    <x v="1"/>
    <n v="3"/>
    <n v="10"/>
    <n v="2"/>
    <x v="11"/>
    <n v="2"/>
    <n v="0"/>
    <n v="2"/>
    <x v="0"/>
    <x v="0"/>
    <x v="1"/>
  </r>
  <r>
    <n v="44"/>
    <s v="No"/>
    <n v="0"/>
    <x v="0"/>
    <x v="2"/>
    <n v="1"/>
    <s v="Life Sciences"/>
    <s v="1683"/>
    <x v="1"/>
    <x v="0"/>
    <n v="3"/>
    <n v="1"/>
    <x v="8"/>
    <x v="0"/>
    <x v="2"/>
    <n v="3195"/>
    <x v="1"/>
    <x v="0"/>
    <n v="3"/>
    <n v="8"/>
    <n v="3"/>
    <x v="4"/>
    <n v="2"/>
    <n v="2"/>
    <n v="2"/>
    <x v="0"/>
    <x v="0"/>
    <x v="1"/>
  </r>
  <r>
    <n v="23"/>
    <s v="Yes"/>
    <n v="1"/>
    <x v="0"/>
    <x v="1"/>
    <n v="8"/>
    <s v="Medical"/>
    <s v="1684"/>
    <x v="2"/>
    <x v="1"/>
    <n v="2"/>
    <n v="1"/>
    <x v="2"/>
    <x v="2"/>
    <x v="0"/>
    <n v="3989"/>
    <x v="1"/>
    <x v="0"/>
    <n v="3"/>
    <n v="5"/>
    <n v="3"/>
    <x v="8"/>
    <n v="4"/>
    <n v="1"/>
    <n v="2"/>
    <x v="3"/>
    <x v="1"/>
    <x v="1"/>
  </r>
  <r>
    <n v="38"/>
    <s v="No"/>
    <n v="0"/>
    <x v="0"/>
    <x v="1"/>
    <n v="4"/>
    <s v="Medical"/>
    <s v="1687"/>
    <x v="2"/>
    <x v="0"/>
    <n v="3"/>
    <n v="1"/>
    <x v="2"/>
    <x v="2"/>
    <x v="1"/>
    <n v="3306"/>
    <x v="1"/>
    <x v="1"/>
    <n v="3"/>
    <n v="7"/>
    <n v="2"/>
    <x v="2"/>
    <n v="0"/>
    <n v="0"/>
    <n v="0"/>
    <x v="0"/>
    <x v="0"/>
    <x v="1"/>
  </r>
  <r>
    <n v="53"/>
    <s v="No"/>
    <n v="0"/>
    <x v="0"/>
    <x v="1"/>
    <n v="24"/>
    <s v="Medical"/>
    <s v="1689"/>
    <x v="0"/>
    <x v="1"/>
    <n v="4"/>
    <n v="3"/>
    <x v="4"/>
    <x v="0"/>
    <x v="1"/>
    <n v="7005"/>
    <x v="0"/>
    <x v="1"/>
    <n v="3"/>
    <n v="11"/>
    <n v="3"/>
    <x v="9"/>
    <n v="3"/>
    <n v="1"/>
    <n v="2"/>
    <x v="1"/>
    <x v="0"/>
    <x v="1"/>
  </r>
  <r>
    <n v="48"/>
    <s v="Yes"/>
    <n v="1"/>
    <x v="1"/>
    <x v="0"/>
    <n v="7"/>
    <s v="Medical"/>
    <s v="1691"/>
    <x v="2"/>
    <x v="0"/>
    <n v="3"/>
    <n v="1"/>
    <x v="6"/>
    <x v="2"/>
    <x v="1"/>
    <n v="2655"/>
    <x v="1"/>
    <x v="0"/>
    <n v="3"/>
    <n v="19"/>
    <n v="3"/>
    <x v="7"/>
    <n v="7"/>
    <n v="7"/>
    <n v="7"/>
    <x v="1"/>
    <x v="2"/>
    <x v="0"/>
  </r>
  <r>
    <n v="32"/>
    <s v="Yes"/>
    <n v="1"/>
    <x v="0"/>
    <x v="1"/>
    <n v="2"/>
    <s v="Life Sciences"/>
    <s v="1692"/>
    <x v="2"/>
    <x v="1"/>
    <n v="3"/>
    <n v="1"/>
    <x v="2"/>
    <x v="1"/>
    <x v="0"/>
    <n v="1393"/>
    <x v="1"/>
    <x v="1"/>
    <n v="3"/>
    <n v="1"/>
    <n v="3"/>
    <x v="6"/>
    <n v="0"/>
    <n v="0"/>
    <n v="0"/>
    <x v="2"/>
    <x v="1"/>
    <x v="1"/>
  </r>
  <r>
    <n v="26"/>
    <s v="No"/>
    <n v="0"/>
    <x v="2"/>
    <x v="1"/>
    <n v="7"/>
    <s v="Medical"/>
    <s v="1693"/>
    <x v="2"/>
    <x v="1"/>
    <n v="3"/>
    <n v="1"/>
    <x v="2"/>
    <x v="0"/>
    <x v="0"/>
    <n v="2570"/>
    <x v="1"/>
    <x v="1"/>
    <n v="4"/>
    <n v="7"/>
    <n v="3"/>
    <x v="5"/>
    <n v="7"/>
    <n v="5"/>
    <n v="7"/>
    <x v="2"/>
    <x v="0"/>
    <x v="0"/>
  </r>
  <r>
    <n v="55"/>
    <s v="No"/>
    <n v="0"/>
    <x v="0"/>
    <x v="1"/>
    <n v="22"/>
    <s v="Technical Degree"/>
    <s v="1694"/>
    <x v="3"/>
    <x v="1"/>
    <n v="2"/>
    <n v="1"/>
    <x v="1"/>
    <x v="1"/>
    <x v="2"/>
    <n v="3537"/>
    <x v="1"/>
    <x v="1"/>
    <n v="3"/>
    <n v="8"/>
    <n v="3"/>
    <x v="9"/>
    <n v="2"/>
    <n v="1"/>
    <n v="2"/>
    <x v="1"/>
    <x v="0"/>
    <x v="1"/>
  </r>
  <r>
    <n v="34"/>
    <s v="No"/>
    <n v="0"/>
    <x v="0"/>
    <x v="1"/>
    <n v="5"/>
    <s v="Medical"/>
    <s v="1696"/>
    <x v="0"/>
    <x v="1"/>
    <n v="2"/>
    <n v="2"/>
    <x v="2"/>
    <x v="0"/>
    <x v="1"/>
    <n v="3986"/>
    <x v="1"/>
    <x v="1"/>
    <n v="3"/>
    <n v="15"/>
    <n v="4"/>
    <x v="15"/>
    <n v="10"/>
    <n v="4"/>
    <n v="13"/>
    <x v="2"/>
    <x v="0"/>
    <x v="2"/>
  </r>
  <r>
    <n v="60"/>
    <s v="No"/>
    <n v="0"/>
    <x v="0"/>
    <x v="1"/>
    <n v="1"/>
    <s v="Medical"/>
    <s v="1697"/>
    <x v="1"/>
    <x v="1"/>
    <n v="1"/>
    <n v="3"/>
    <x v="4"/>
    <x v="0"/>
    <x v="2"/>
    <n v="10883"/>
    <x v="0"/>
    <x v="1"/>
    <n v="4"/>
    <n v="19"/>
    <n v="4"/>
    <x v="6"/>
    <n v="0"/>
    <n v="0"/>
    <n v="0"/>
    <x v="1"/>
    <x v="2"/>
    <x v="1"/>
  </r>
  <r>
    <n v="33"/>
    <s v="No"/>
    <n v="0"/>
    <x v="0"/>
    <x v="1"/>
    <n v="21"/>
    <s v="Medical"/>
    <s v="1698"/>
    <x v="0"/>
    <x v="1"/>
    <n v="4"/>
    <n v="1"/>
    <x v="2"/>
    <x v="1"/>
    <x v="1"/>
    <n v="2028"/>
    <x v="1"/>
    <x v="1"/>
    <n v="3"/>
    <n v="14"/>
    <n v="3"/>
    <x v="13"/>
    <n v="11"/>
    <n v="2"/>
    <n v="13"/>
    <x v="2"/>
    <x v="0"/>
    <x v="2"/>
  </r>
  <r>
    <n v="37"/>
    <s v="No"/>
    <n v="0"/>
    <x v="1"/>
    <x v="0"/>
    <n v="1"/>
    <s v="Medical"/>
    <s v="1700"/>
    <x v="1"/>
    <x v="1"/>
    <n v="1"/>
    <n v="2"/>
    <x v="0"/>
    <x v="0"/>
    <x v="2"/>
    <n v="9525"/>
    <x v="0"/>
    <x v="1"/>
    <n v="3"/>
    <n v="6"/>
    <n v="2"/>
    <x v="0"/>
    <n v="3"/>
    <n v="1"/>
    <n v="3"/>
    <x v="0"/>
    <x v="0"/>
    <x v="0"/>
  </r>
  <r>
    <n v="34"/>
    <s v="No"/>
    <n v="0"/>
    <x v="0"/>
    <x v="1"/>
    <n v="19"/>
    <s v="Life Sciences"/>
    <s v="1701"/>
    <x v="0"/>
    <x v="0"/>
    <n v="2"/>
    <n v="1"/>
    <x v="1"/>
    <x v="0"/>
    <x v="1"/>
    <n v="2929"/>
    <x v="1"/>
    <x v="1"/>
    <n v="3"/>
    <n v="10"/>
    <n v="3"/>
    <x v="1"/>
    <n v="9"/>
    <n v="8"/>
    <n v="7"/>
    <x v="2"/>
    <x v="0"/>
    <x v="0"/>
  </r>
  <r>
    <n v="23"/>
    <s v="Yes"/>
    <n v="1"/>
    <x v="0"/>
    <x v="0"/>
    <n v="7"/>
    <s v="Life Sciences"/>
    <s v="1702"/>
    <x v="1"/>
    <x v="1"/>
    <n v="3"/>
    <n v="1"/>
    <x v="6"/>
    <x v="0"/>
    <x v="2"/>
    <n v="2275"/>
    <x v="1"/>
    <x v="0"/>
    <n v="4"/>
    <n v="3"/>
    <n v="3"/>
    <x v="11"/>
    <n v="2"/>
    <n v="0"/>
    <n v="2"/>
    <x v="3"/>
    <x v="1"/>
    <x v="1"/>
  </r>
  <r>
    <n v="44"/>
    <s v="No"/>
    <n v="0"/>
    <x v="0"/>
    <x v="1"/>
    <n v="2"/>
    <s v="Life Sciences"/>
    <s v="1703"/>
    <x v="1"/>
    <x v="0"/>
    <n v="4"/>
    <n v="3"/>
    <x v="4"/>
    <x v="0"/>
    <x v="1"/>
    <n v="7879"/>
    <x v="0"/>
    <x v="0"/>
    <n v="3"/>
    <n v="9"/>
    <n v="3"/>
    <x v="3"/>
    <n v="7"/>
    <n v="6"/>
    <n v="7"/>
    <x v="0"/>
    <x v="0"/>
    <x v="0"/>
  </r>
  <r>
    <n v="35"/>
    <s v="No"/>
    <n v="0"/>
    <x v="1"/>
    <x v="1"/>
    <n v="2"/>
    <s v="Medical"/>
    <s v="1704"/>
    <x v="3"/>
    <x v="1"/>
    <n v="2"/>
    <n v="1"/>
    <x v="1"/>
    <x v="0"/>
    <x v="0"/>
    <n v="4930"/>
    <x v="1"/>
    <x v="0"/>
    <n v="3"/>
    <n v="6"/>
    <n v="4"/>
    <x v="8"/>
    <n v="4"/>
    <n v="1"/>
    <n v="4"/>
    <x v="2"/>
    <x v="0"/>
    <x v="1"/>
  </r>
  <r>
    <n v="43"/>
    <s v="No"/>
    <n v="0"/>
    <x v="0"/>
    <x v="0"/>
    <n v="2"/>
    <s v="Medical"/>
    <s v="1706"/>
    <x v="2"/>
    <x v="1"/>
    <n v="3"/>
    <n v="2"/>
    <x v="0"/>
    <x v="0"/>
    <x v="1"/>
    <n v="7847"/>
    <x v="0"/>
    <x v="0"/>
    <n v="3"/>
    <n v="10"/>
    <n v="3"/>
    <x v="1"/>
    <n v="9"/>
    <n v="8"/>
    <n v="8"/>
    <x v="0"/>
    <x v="0"/>
    <x v="0"/>
  </r>
  <r>
    <n v="24"/>
    <s v="No"/>
    <n v="0"/>
    <x v="0"/>
    <x v="1"/>
    <n v="9"/>
    <s v="Medical"/>
    <s v="1707"/>
    <x v="1"/>
    <x v="1"/>
    <n v="4"/>
    <n v="1"/>
    <x v="1"/>
    <x v="2"/>
    <x v="1"/>
    <n v="4401"/>
    <x v="1"/>
    <x v="1"/>
    <n v="3"/>
    <n v="5"/>
    <n v="3"/>
    <x v="8"/>
    <n v="3"/>
    <n v="0"/>
    <n v="4"/>
    <x v="3"/>
    <x v="1"/>
    <x v="1"/>
  </r>
  <r>
    <n v="41"/>
    <s v="No"/>
    <n v="0"/>
    <x v="0"/>
    <x v="0"/>
    <n v="6"/>
    <s v="Marketing"/>
    <s v="1708"/>
    <x v="2"/>
    <x v="1"/>
    <n v="3"/>
    <n v="3"/>
    <x v="0"/>
    <x v="2"/>
    <x v="0"/>
    <n v="9241"/>
    <x v="0"/>
    <x v="1"/>
    <n v="3"/>
    <n v="10"/>
    <n v="3"/>
    <x v="1"/>
    <n v="8"/>
    <n v="8"/>
    <n v="7"/>
    <x v="0"/>
    <x v="0"/>
    <x v="0"/>
  </r>
  <r>
    <n v="29"/>
    <s v="No"/>
    <n v="0"/>
    <x v="0"/>
    <x v="1"/>
    <n v="9"/>
    <s v="Medical"/>
    <s v="1709"/>
    <x v="2"/>
    <x v="0"/>
    <n v="3"/>
    <n v="1"/>
    <x v="2"/>
    <x v="2"/>
    <x v="1"/>
    <n v="2974"/>
    <x v="1"/>
    <x v="1"/>
    <n v="3"/>
    <n v="9"/>
    <n v="3"/>
    <x v="8"/>
    <n v="3"/>
    <n v="1"/>
    <n v="2"/>
    <x v="2"/>
    <x v="0"/>
    <x v="1"/>
  </r>
  <r>
    <n v="36"/>
    <s v="No"/>
    <n v="0"/>
    <x v="0"/>
    <x v="0"/>
    <n v="2"/>
    <s v="Life Sciences"/>
    <s v="1710"/>
    <x v="1"/>
    <x v="0"/>
    <n v="3"/>
    <n v="2"/>
    <x v="6"/>
    <x v="0"/>
    <x v="0"/>
    <n v="4502"/>
    <x v="1"/>
    <x v="1"/>
    <n v="3"/>
    <n v="17"/>
    <n v="2"/>
    <x v="20"/>
    <n v="7"/>
    <n v="6"/>
    <n v="7"/>
    <x v="0"/>
    <x v="2"/>
    <x v="2"/>
  </r>
  <r>
    <n v="45"/>
    <s v="No"/>
    <n v="0"/>
    <x v="2"/>
    <x v="1"/>
    <n v="1"/>
    <s v="Life Sciences"/>
    <s v="1712"/>
    <x v="1"/>
    <x v="1"/>
    <n v="2"/>
    <n v="3"/>
    <x v="4"/>
    <x v="2"/>
    <x v="1"/>
    <n v="10748"/>
    <x v="0"/>
    <x v="1"/>
    <n v="4"/>
    <n v="25"/>
    <n v="2"/>
    <x v="36"/>
    <n v="15"/>
    <n v="14"/>
    <n v="4"/>
    <x v="0"/>
    <x v="2"/>
    <x v="2"/>
  </r>
  <r>
    <n v="24"/>
    <s v="Yes"/>
    <n v="1"/>
    <x v="0"/>
    <x v="2"/>
    <n v="22"/>
    <s v="Human Resources"/>
    <s v="1714"/>
    <x v="2"/>
    <x v="1"/>
    <n v="1"/>
    <n v="1"/>
    <x v="8"/>
    <x v="2"/>
    <x v="1"/>
    <n v="1555"/>
    <x v="1"/>
    <x v="1"/>
    <n v="3"/>
    <n v="1"/>
    <n v="3"/>
    <x v="6"/>
    <n v="0"/>
    <n v="0"/>
    <n v="0"/>
    <x v="3"/>
    <x v="1"/>
    <x v="1"/>
  </r>
  <r>
    <n v="47"/>
    <s v="Yes"/>
    <n v="1"/>
    <x v="1"/>
    <x v="0"/>
    <n v="9"/>
    <s v="Life Sciences"/>
    <s v="1716"/>
    <x v="1"/>
    <x v="1"/>
    <n v="1"/>
    <n v="4"/>
    <x v="0"/>
    <x v="2"/>
    <x v="1"/>
    <n v="12936"/>
    <x v="2"/>
    <x v="1"/>
    <n v="3"/>
    <n v="25"/>
    <n v="1"/>
    <x v="36"/>
    <n v="5"/>
    <n v="14"/>
    <n v="10"/>
    <x v="1"/>
    <x v="2"/>
    <x v="2"/>
  </r>
  <r>
    <n v="26"/>
    <s v="No"/>
    <n v="0"/>
    <x v="0"/>
    <x v="1"/>
    <n v="17"/>
    <s v="Medical"/>
    <s v="1718"/>
    <x v="2"/>
    <x v="1"/>
    <n v="1"/>
    <n v="1"/>
    <x v="2"/>
    <x v="2"/>
    <x v="1"/>
    <n v="2305"/>
    <x v="1"/>
    <x v="1"/>
    <n v="3"/>
    <n v="3"/>
    <n v="4"/>
    <x v="11"/>
    <n v="2"/>
    <n v="0"/>
    <n v="2"/>
    <x v="2"/>
    <x v="1"/>
    <x v="1"/>
  </r>
  <r>
    <n v="45"/>
    <s v="No"/>
    <n v="0"/>
    <x v="0"/>
    <x v="1"/>
    <n v="28"/>
    <s v="Technical Degree"/>
    <s v="1719"/>
    <x v="2"/>
    <x v="0"/>
    <n v="2"/>
    <n v="4"/>
    <x v="7"/>
    <x v="1"/>
    <x v="0"/>
    <n v="16704"/>
    <x v="2"/>
    <x v="1"/>
    <n v="3"/>
    <n v="21"/>
    <n v="3"/>
    <x v="17"/>
    <n v="6"/>
    <n v="8"/>
    <n v="6"/>
    <x v="0"/>
    <x v="2"/>
    <x v="2"/>
  </r>
  <r>
    <n v="32"/>
    <s v="No"/>
    <n v="0"/>
    <x v="1"/>
    <x v="1"/>
    <n v="10"/>
    <s v="Life Sciences"/>
    <s v="1720"/>
    <x v="3"/>
    <x v="1"/>
    <n v="3"/>
    <n v="1"/>
    <x v="1"/>
    <x v="2"/>
    <x v="1"/>
    <n v="3433"/>
    <x v="1"/>
    <x v="1"/>
    <n v="3"/>
    <n v="10"/>
    <n v="2"/>
    <x v="8"/>
    <n v="2"/>
    <n v="1"/>
    <n v="3"/>
    <x v="2"/>
    <x v="0"/>
    <x v="1"/>
  </r>
  <r>
    <n v="31"/>
    <s v="No"/>
    <n v="0"/>
    <x v="0"/>
    <x v="1"/>
    <n v="2"/>
    <s v="Life Sciences"/>
    <s v="1721"/>
    <x v="0"/>
    <x v="1"/>
    <n v="3"/>
    <n v="1"/>
    <x v="2"/>
    <x v="2"/>
    <x v="1"/>
    <n v="3477"/>
    <x v="1"/>
    <x v="1"/>
    <n v="3"/>
    <n v="6"/>
    <n v="4"/>
    <x v="8"/>
    <n v="2"/>
    <n v="0"/>
    <n v="3"/>
    <x v="2"/>
    <x v="0"/>
    <x v="1"/>
  </r>
  <r>
    <n v="41"/>
    <s v="No"/>
    <n v="0"/>
    <x v="2"/>
    <x v="2"/>
    <n v="4"/>
    <s v="Human Resources"/>
    <s v="1722"/>
    <x v="1"/>
    <x v="1"/>
    <n v="1"/>
    <n v="2"/>
    <x v="8"/>
    <x v="1"/>
    <x v="1"/>
    <n v="6430"/>
    <x v="0"/>
    <x v="1"/>
    <n v="3"/>
    <n v="10"/>
    <n v="3"/>
    <x v="11"/>
    <n v="2"/>
    <n v="1"/>
    <n v="2"/>
    <x v="0"/>
    <x v="0"/>
    <x v="1"/>
  </r>
  <r>
    <n v="40"/>
    <s v="No"/>
    <n v="0"/>
    <x v="0"/>
    <x v="1"/>
    <n v="8"/>
    <s v="Life Sciences"/>
    <s v="1724"/>
    <x v="0"/>
    <x v="0"/>
    <n v="3"/>
    <n v="2"/>
    <x v="3"/>
    <x v="3"/>
    <x v="1"/>
    <n v="6516"/>
    <x v="0"/>
    <x v="0"/>
    <n v="3"/>
    <n v="18"/>
    <n v="3"/>
    <x v="6"/>
    <n v="0"/>
    <n v="0"/>
    <n v="0"/>
    <x v="0"/>
    <x v="2"/>
    <x v="1"/>
  </r>
  <r>
    <n v="24"/>
    <s v="No"/>
    <n v="0"/>
    <x v="0"/>
    <x v="1"/>
    <n v="29"/>
    <s v="Medical"/>
    <s v="1725"/>
    <x v="0"/>
    <x v="1"/>
    <n v="3"/>
    <n v="1"/>
    <x v="2"/>
    <x v="3"/>
    <x v="2"/>
    <n v="3907"/>
    <x v="1"/>
    <x v="1"/>
    <n v="3"/>
    <n v="6"/>
    <n v="4"/>
    <x v="0"/>
    <n v="2"/>
    <n v="1"/>
    <n v="2"/>
    <x v="3"/>
    <x v="0"/>
    <x v="0"/>
  </r>
  <r>
    <n v="46"/>
    <s v="No"/>
    <n v="0"/>
    <x v="0"/>
    <x v="1"/>
    <n v="13"/>
    <s v="Life Sciences"/>
    <s v="1727"/>
    <x v="1"/>
    <x v="1"/>
    <n v="3"/>
    <n v="2"/>
    <x v="4"/>
    <x v="1"/>
    <x v="0"/>
    <n v="5562"/>
    <x v="0"/>
    <x v="1"/>
    <n v="3"/>
    <n v="19"/>
    <n v="3"/>
    <x v="1"/>
    <n v="7"/>
    <n v="0"/>
    <n v="9"/>
    <x v="1"/>
    <x v="2"/>
    <x v="0"/>
  </r>
  <r>
    <n v="35"/>
    <s v="No"/>
    <n v="0"/>
    <x v="0"/>
    <x v="1"/>
    <n v="27"/>
    <s v="Life Sciences"/>
    <s v="1728"/>
    <x v="2"/>
    <x v="1"/>
    <n v="3"/>
    <n v="2"/>
    <x v="3"/>
    <x v="2"/>
    <x v="1"/>
    <n v="6883"/>
    <x v="0"/>
    <x v="1"/>
    <n v="3"/>
    <n v="17"/>
    <n v="3"/>
    <x v="5"/>
    <n v="7"/>
    <n v="0"/>
    <n v="7"/>
    <x v="2"/>
    <x v="2"/>
    <x v="0"/>
  </r>
  <r>
    <n v="30"/>
    <s v="No"/>
    <n v="0"/>
    <x v="0"/>
    <x v="1"/>
    <n v="16"/>
    <s v="Life Sciences"/>
    <s v="1729"/>
    <x v="0"/>
    <x v="1"/>
    <n v="3"/>
    <n v="1"/>
    <x v="1"/>
    <x v="0"/>
    <x v="1"/>
    <n v="2862"/>
    <x v="1"/>
    <x v="1"/>
    <n v="3"/>
    <n v="10"/>
    <n v="2"/>
    <x v="1"/>
    <n v="0"/>
    <n v="0"/>
    <n v="8"/>
    <x v="2"/>
    <x v="0"/>
    <x v="0"/>
  </r>
  <r>
    <n v="47"/>
    <s v="No"/>
    <n v="0"/>
    <x v="2"/>
    <x v="0"/>
    <n v="2"/>
    <s v="Marketing"/>
    <s v="1731"/>
    <x v="1"/>
    <x v="1"/>
    <n v="3"/>
    <n v="2"/>
    <x v="0"/>
    <x v="1"/>
    <x v="1"/>
    <n v="4978"/>
    <x v="1"/>
    <x v="1"/>
    <n v="3"/>
    <n v="4"/>
    <n v="1"/>
    <x v="6"/>
    <n v="0"/>
    <n v="0"/>
    <n v="0"/>
    <x v="1"/>
    <x v="1"/>
    <x v="1"/>
  </r>
  <r>
    <n v="46"/>
    <s v="No"/>
    <n v="0"/>
    <x v="0"/>
    <x v="0"/>
    <n v="2"/>
    <s v="Life Sciences"/>
    <s v="1732"/>
    <x v="1"/>
    <x v="1"/>
    <n v="3"/>
    <n v="3"/>
    <x v="0"/>
    <x v="0"/>
    <x v="2"/>
    <n v="10368"/>
    <x v="0"/>
    <x v="0"/>
    <n v="3"/>
    <n v="13"/>
    <n v="2"/>
    <x v="1"/>
    <n v="6"/>
    <n v="0"/>
    <n v="3"/>
    <x v="1"/>
    <x v="0"/>
    <x v="0"/>
  </r>
  <r>
    <n v="36"/>
    <s v="Yes"/>
    <n v="1"/>
    <x v="0"/>
    <x v="0"/>
    <n v="13"/>
    <s v="Marketing"/>
    <s v="1733"/>
    <x v="0"/>
    <x v="1"/>
    <n v="2"/>
    <n v="2"/>
    <x v="0"/>
    <x v="3"/>
    <x v="2"/>
    <n v="6134"/>
    <x v="0"/>
    <x v="0"/>
    <n v="3"/>
    <n v="16"/>
    <n v="3"/>
    <x v="4"/>
    <n v="2"/>
    <n v="2"/>
    <n v="2"/>
    <x v="0"/>
    <x v="2"/>
    <x v="1"/>
  </r>
  <r>
    <n v="32"/>
    <s v="Yes"/>
    <n v="1"/>
    <x v="0"/>
    <x v="0"/>
    <n v="1"/>
    <s v="Life Sciences"/>
    <s v="1734"/>
    <x v="3"/>
    <x v="1"/>
    <n v="1"/>
    <n v="2"/>
    <x v="0"/>
    <x v="1"/>
    <x v="0"/>
    <n v="6735"/>
    <x v="0"/>
    <x v="1"/>
    <n v="3"/>
    <n v="10"/>
    <n v="3"/>
    <x v="2"/>
    <n v="0"/>
    <n v="0"/>
    <n v="0"/>
    <x v="2"/>
    <x v="0"/>
    <x v="1"/>
  </r>
  <r>
    <n v="23"/>
    <s v="No"/>
    <n v="0"/>
    <x v="0"/>
    <x v="1"/>
    <n v="4"/>
    <s v="Medical"/>
    <s v="1735"/>
    <x v="1"/>
    <x v="0"/>
    <n v="3"/>
    <n v="1"/>
    <x v="2"/>
    <x v="1"/>
    <x v="0"/>
    <n v="3295"/>
    <x v="1"/>
    <x v="1"/>
    <n v="3"/>
    <n v="3"/>
    <n v="1"/>
    <x v="11"/>
    <n v="2"/>
    <n v="1"/>
    <n v="2"/>
    <x v="3"/>
    <x v="1"/>
    <x v="1"/>
  </r>
  <r>
    <n v="31"/>
    <s v="No"/>
    <n v="0"/>
    <x v="1"/>
    <x v="1"/>
    <n v="24"/>
    <s v="Technical Degree"/>
    <s v="1736"/>
    <x v="2"/>
    <x v="0"/>
    <n v="3"/>
    <n v="2"/>
    <x v="3"/>
    <x v="0"/>
    <x v="0"/>
    <n v="5238"/>
    <x v="0"/>
    <x v="1"/>
    <n v="4"/>
    <n v="9"/>
    <n v="2"/>
    <x v="8"/>
    <n v="4"/>
    <n v="1"/>
    <n v="4"/>
    <x v="2"/>
    <x v="0"/>
    <x v="1"/>
  </r>
  <r>
    <n v="39"/>
    <s v="No"/>
    <n v="0"/>
    <x v="2"/>
    <x v="1"/>
    <n v="1"/>
    <s v="Life Sciences"/>
    <s v="1737"/>
    <x v="2"/>
    <x v="1"/>
    <n v="3"/>
    <n v="2"/>
    <x v="2"/>
    <x v="0"/>
    <x v="1"/>
    <n v="6472"/>
    <x v="0"/>
    <x v="0"/>
    <n v="3"/>
    <n v="9"/>
    <n v="3"/>
    <x v="7"/>
    <n v="8"/>
    <n v="5"/>
    <n v="8"/>
    <x v="0"/>
    <x v="0"/>
    <x v="0"/>
  </r>
  <r>
    <n v="32"/>
    <s v="No"/>
    <n v="0"/>
    <x v="0"/>
    <x v="0"/>
    <n v="19"/>
    <s v="Life Sciences"/>
    <s v="1739"/>
    <x v="2"/>
    <x v="1"/>
    <n v="1"/>
    <n v="3"/>
    <x v="0"/>
    <x v="2"/>
    <x v="1"/>
    <n v="9610"/>
    <x v="0"/>
    <x v="1"/>
    <n v="3"/>
    <n v="10"/>
    <n v="1"/>
    <x v="9"/>
    <n v="3"/>
    <n v="0"/>
    <n v="2"/>
    <x v="2"/>
    <x v="0"/>
    <x v="1"/>
  </r>
  <r>
    <n v="40"/>
    <s v="No"/>
    <n v="0"/>
    <x v="0"/>
    <x v="0"/>
    <n v="7"/>
    <s v="Medical"/>
    <s v="1740"/>
    <x v="0"/>
    <x v="1"/>
    <n v="3"/>
    <n v="5"/>
    <x v="5"/>
    <x v="1"/>
    <x v="0"/>
    <n v="19833"/>
    <x v="2"/>
    <x v="1"/>
    <n v="3"/>
    <n v="21"/>
    <n v="2"/>
    <x v="17"/>
    <n v="8"/>
    <n v="12"/>
    <n v="8"/>
    <x v="0"/>
    <x v="2"/>
    <x v="2"/>
  </r>
  <r>
    <n v="45"/>
    <s v="No"/>
    <n v="0"/>
    <x v="0"/>
    <x v="2"/>
    <n v="4"/>
    <s v="Life Sciences"/>
    <s v="1744"/>
    <x v="1"/>
    <x v="0"/>
    <n v="1"/>
    <n v="3"/>
    <x v="8"/>
    <x v="2"/>
    <x v="1"/>
    <n v="9756"/>
    <x v="0"/>
    <x v="1"/>
    <n v="4"/>
    <n v="9"/>
    <n v="4"/>
    <x v="8"/>
    <n v="0"/>
    <n v="0"/>
    <n v="3"/>
    <x v="0"/>
    <x v="0"/>
    <x v="1"/>
  </r>
  <r>
    <n v="30"/>
    <s v="No"/>
    <n v="0"/>
    <x v="1"/>
    <x v="1"/>
    <n v="2"/>
    <s v="Technical Degree"/>
    <s v="1745"/>
    <x v="2"/>
    <x v="0"/>
    <n v="2"/>
    <n v="1"/>
    <x v="1"/>
    <x v="3"/>
    <x v="0"/>
    <n v="4968"/>
    <x v="1"/>
    <x v="1"/>
    <n v="3"/>
    <n v="10"/>
    <n v="3"/>
    <x v="7"/>
    <n v="7"/>
    <n v="0"/>
    <n v="7"/>
    <x v="2"/>
    <x v="0"/>
    <x v="0"/>
  </r>
  <r>
    <n v="24"/>
    <s v="No"/>
    <n v="0"/>
    <x v="1"/>
    <x v="2"/>
    <n v="10"/>
    <s v="Medical"/>
    <s v="1746"/>
    <x v="3"/>
    <x v="1"/>
    <n v="3"/>
    <n v="1"/>
    <x v="8"/>
    <x v="0"/>
    <x v="1"/>
    <n v="2145"/>
    <x v="1"/>
    <x v="1"/>
    <n v="3"/>
    <n v="3"/>
    <n v="3"/>
    <x v="4"/>
    <n v="2"/>
    <n v="2"/>
    <n v="1"/>
    <x v="3"/>
    <x v="1"/>
    <x v="1"/>
  </r>
  <r>
    <n v="30"/>
    <s v="Yes"/>
    <n v="1"/>
    <x v="1"/>
    <x v="2"/>
    <n v="8"/>
    <s v="Human Resources"/>
    <s v="1747"/>
    <x v="1"/>
    <x v="0"/>
    <n v="2"/>
    <n v="1"/>
    <x v="8"/>
    <x v="0"/>
    <x v="2"/>
    <n v="2180"/>
    <x v="1"/>
    <x v="1"/>
    <n v="3"/>
    <n v="6"/>
    <n v="2"/>
    <x v="9"/>
    <n v="2"/>
    <n v="1"/>
    <n v="2"/>
    <x v="2"/>
    <x v="0"/>
    <x v="1"/>
  </r>
  <r>
    <n v="31"/>
    <s v="No"/>
    <n v="0"/>
    <x v="0"/>
    <x v="0"/>
    <n v="5"/>
    <s v="Technical Degree"/>
    <s v="1749"/>
    <x v="3"/>
    <x v="1"/>
    <n v="3"/>
    <n v="2"/>
    <x v="0"/>
    <x v="2"/>
    <x v="1"/>
    <n v="8346"/>
    <x v="0"/>
    <x v="1"/>
    <n v="3"/>
    <n v="6"/>
    <n v="3"/>
    <x v="8"/>
    <n v="2"/>
    <n v="0"/>
    <n v="2"/>
    <x v="2"/>
    <x v="0"/>
    <x v="1"/>
  </r>
  <r>
    <n v="27"/>
    <s v="No"/>
    <n v="0"/>
    <x v="0"/>
    <x v="1"/>
    <n v="8"/>
    <s v="Medical"/>
    <s v="1751"/>
    <x v="1"/>
    <x v="0"/>
    <n v="3"/>
    <n v="1"/>
    <x v="1"/>
    <x v="0"/>
    <x v="0"/>
    <n v="3445"/>
    <x v="1"/>
    <x v="1"/>
    <n v="3"/>
    <n v="6"/>
    <n v="2"/>
    <x v="0"/>
    <n v="2"/>
    <n v="1"/>
    <n v="4"/>
    <x v="2"/>
    <x v="0"/>
    <x v="0"/>
  </r>
  <r>
    <n v="29"/>
    <s v="Yes"/>
    <n v="1"/>
    <x v="0"/>
    <x v="0"/>
    <n v="9"/>
    <s v="Marketing"/>
    <s v="1752"/>
    <x v="0"/>
    <x v="0"/>
    <n v="1"/>
    <n v="1"/>
    <x v="6"/>
    <x v="1"/>
    <x v="0"/>
    <n v="2760"/>
    <x v="1"/>
    <x v="1"/>
    <n v="3"/>
    <n v="2"/>
    <n v="3"/>
    <x v="4"/>
    <n v="2"/>
    <n v="2"/>
    <n v="2"/>
    <x v="2"/>
    <x v="1"/>
    <x v="1"/>
  </r>
  <r>
    <n v="29"/>
    <s v="No"/>
    <n v="0"/>
    <x v="1"/>
    <x v="1"/>
    <n v="1"/>
    <s v="Life Sciences"/>
    <s v="1753"/>
    <x v="2"/>
    <x v="1"/>
    <n v="4"/>
    <n v="2"/>
    <x v="4"/>
    <x v="2"/>
    <x v="0"/>
    <n v="6294"/>
    <x v="0"/>
    <x v="0"/>
    <n v="3"/>
    <n v="10"/>
    <n v="4"/>
    <x v="11"/>
    <n v="2"/>
    <n v="0"/>
    <n v="2"/>
    <x v="2"/>
    <x v="0"/>
    <x v="1"/>
  </r>
  <r>
    <n v="30"/>
    <s v="No"/>
    <n v="0"/>
    <x v="0"/>
    <x v="0"/>
    <n v="15"/>
    <s v="Marketing"/>
    <s v="1754"/>
    <x v="1"/>
    <x v="1"/>
    <n v="2"/>
    <n v="3"/>
    <x v="0"/>
    <x v="3"/>
    <x v="2"/>
    <n v="7140"/>
    <x v="0"/>
    <x v="1"/>
    <n v="3"/>
    <n v="12"/>
    <n v="3"/>
    <x v="5"/>
    <n v="7"/>
    <n v="1"/>
    <n v="7"/>
    <x v="2"/>
    <x v="0"/>
    <x v="0"/>
  </r>
  <r>
    <n v="34"/>
    <s v="No"/>
    <n v="0"/>
    <x v="0"/>
    <x v="1"/>
    <n v="2"/>
    <s v="Medical"/>
    <s v="1755"/>
    <x v="2"/>
    <x v="1"/>
    <n v="4"/>
    <n v="1"/>
    <x v="1"/>
    <x v="0"/>
    <x v="1"/>
    <n v="2932"/>
    <x v="1"/>
    <x v="0"/>
    <n v="3"/>
    <n v="6"/>
    <n v="3"/>
    <x v="8"/>
    <n v="0"/>
    <n v="1"/>
    <n v="2"/>
    <x v="2"/>
    <x v="0"/>
    <x v="1"/>
  </r>
  <r>
    <n v="33"/>
    <s v="No"/>
    <n v="0"/>
    <x v="2"/>
    <x v="0"/>
    <n v="2"/>
    <s v="Marketing"/>
    <s v="1756"/>
    <x v="2"/>
    <x v="0"/>
    <n v="3"/>
    <n v="2"/>
    <x v="0"/>
    <x v="1"/>
    <x v="0"/>
    <n v="5147"/>
    <x v="0"/>
    <x v="1"/>
    <n v="3"/>
    <n v="13"/>
    <n v="2"/>
    <x v="19"/>
    <n v="7"/>
    <n v="1"/>
    <n v="7"/>
    <x v="2"/>
    <x v="0"/>
    <x v="2"/>
  </r>
  <r>
    <n v="49"/>
    <s v="No"/>
    <n v="0"/>
    <x v="0"/>
    <x v="0"/>
    <n v="11"/>
    <s v="Marketing"/>
    <s v="1757"/>
    <x v="2"/>
    <x v="0"/>
    <n v="3"/>
    <n v="2"/>
    <x v="0"/>
    <x v="0"/>
    <x v="0"/>
    <n v="4507"/>
    <x v="1"/>
    <x v="1"/>
    <n v="3"/>
    <n v="8"/>
    <n v="4"/>
    <x v="8"/>
    <n v="1"/>
    <n v="0"/>
    <n v="4"/>
    <x v="1"/>
    <x v="0"/>
    <x v="1"/>
  </r>
  <r>
    <n v="33"/>
    <s v="Yes"/>
    <n v="1"/>
    <x v="0"/>
    <x v="0"/>
    <n v="16"/>
    <s v="Life Sciences"/>
    <s v="1758"/>
    <x v="3"/>
    <x v="0"/>
    <n v="3"/>
    <n v="3"/>
    <x v="0"/>
    <x v="3"/>
    <x v="0"/>
    <n v="8564"/>
    <x v="0"/>
    <x v="0"/>
    <n v="4"/>
    <n v="11"/>
    <n v="2"/>
    <x v="2"/>
    <n v="0"/>
    <n v="0"/>
    <n v="0"/>
    <x v="2"/>
    <x v="0"/>
    <x v="1"/>
  </r>
  <r>
    <n v="38"/>
    <s v="No"/>
    <n v="0"/>
    <x v="1"/>
    <x v="1"/>
    <n v="2"/>
    <s v="Medical"/>
    <s v="1760"/>
    <x v="1"/>
    <x v="0"/>
    <n v="2"/>
    <n v="1"/>
    <x v="2"/>
    <x v="1"/>
    <x v="1"/>
    <n v="2468"/>
    <x v="1"/>
    <x v="1"/>
    <n v="3"/>
    <n v="9"/>
    <n v="2"/>
    <x v="0"/>
    <n v="1"/>
    <n v="0"/>
    <n v="5"/>
    <x v="0"/>
    <x v="0"/>
    <x v="0"/>
  </r>
  <r>
    <n v="31"/>
    <s v="Yes"/>
    <n v="1"/>
    <x v="0"/>
    <x v="0"/>
    <n v="16"/>
    <s v="Marketing"/>
    <s v="1761"/>
    <x v="3"/>
    <x v="1"/>
    <n v="3"/>
    <n v="3"/>
    <x v="0"/>
    <x v="2"/>
    <x v="1"/>
    <n v="8161"/>
    <x v="0"/>
    <x v="1"/>
    <n v="3"/>
    <n v="10"/>
    <n v="3"/>
    <x v="6"/>
    <n v="0"/>
    <n v="0"/>
    <n v="0"/>
    <x v="2"/>
    <x v="0"/>
    <x v="1"/>
  </r>
  <r>
    <n v="29"/>
    <s v="No"/>
    <n v="0"/>
    <x v="0"/>
    <x v="1"/>
    <n v="4"/>
    <s v="Technical Degree"/>
    <s v="1762"/>
    <x v="2"/>
    <x v="0"/>
    <n v="2"/>
    <n v="1"/>
    <x v="1"/>
    <x v="3"/>
    <x v="2"/>
    <n v="2109"/>
    <x v="1"/>
    <x v="1"/>
    <n v="3"/>
    <n v="1"/>
    <n v="3"/>
    <x v="6"/>
    <n v="0"/>
    <n v="0"/>
    <n v="0"/>
    <x v="2"/>
    <x v="1"/>
    <x v="1"/>
  </r>
  <r>
    <n v="30"/>
    <s v="No"/>
    <n v="0"/>
    <x v="0"/>
    <x v="1"/>
    <n v="16"/>
    <s v="Life Sciences"/>
    <s v="1763"/>
    <x v="1"/>
    <x v="1"/>
    <n v="4"/>
    <n v="2"/>
    <x v="4"/>
    <x v="2"/>
    <x v="1"/>
    <n v="5294"/>
    <x v="0"/>
    <x v="1"/>
    <n v="3"/>
    <n v="10"/>
    <n v="3"/>
    <x v="5"/>
    <n v="0"/>
    <n v="1"/>
    <n v="7"/>
    <x v="2"/>
    <x v="0"/>
    <x v="0"/>
  </r>
  <r>
    <n v="32"/>
    <s v="No"/>
    <n v="0"/>
    <x v="2"/>
    <x v="1"/>
    <n v="5"/>
    <s v="Technical Degree"/>
    <s v="1764"/>
    <x v="0"/>
    <x v="1"/>
    <n v="3"/>
    <n v="1"/>
    <x v="1"/>
    <x v="1"/>
    <x v="0"/>
    <n v="2718"/>
    <x v="1"/>
    <x v="1"/>
    <n v="3"/>
    <n v="12"/>
    <n v="3"/>
    <x v="5"/>
    <n v="7"/>
    <n v="0"/>
    <n v="7"/>
    <x v="2"/>
    <x v="0"/>
    <x v="0"/>
  </r>
  <r>
    <n v="38"/>
    <s v="No"/>
    <n v="0"/>
    <x v="0"/>
    <x v="1"/>
    <n v="18"/>
    <s v="Medical"/>
    <s v="1766"/>
    <x v="0"/>
    <x v="1"/>
    <n v="1"/>
    <n v="2"/>
    <x v="4"/>
    <x v="0"/>
    <x v="1"/>
    <n v="5811"/>
    <x v="0"/>
    <x v="0"/>
    <n v="3"/>
    <n v="15"/>
    <n v="3"/>
    <x v="6"/>
    <n v="0"/>
    <n v="1"/>
    <n v="0"/>
    <x v="0"/>
    <x v="0"/>
    <x v="1"/>
  </r>
  <r>
    <n v="43"/>
    <s v="Yes"/>
    <n v="1"/>
    <x v="1"/>
    <x v="1"/>
    <n v="17"/>
    <s v="Technical Degree"/>
    <s v="1767"/>
    <x v="1"/>
    <x v="1"/>
    <n v="2"/>
    <n v="1"/>
    <x v="1"/>
    <x v="2"/>
    <x v="1"/>
    <n v="2437"/>
    <x v="1"/>
    <x v="0"/>
    <n v="3"/>
    <n v="6"/>
    <n v="3"/>
    <x v="6"/>
    <n v="0"/>
    <n v="0"/>
    <n v="0"/>
    <x v="0"/>
    <x v="0"/>
    <x v="1"/>
  </r>
  <r>
    <n v="42"/>
    <s v="No"/>
    <n v="0"/>
    <x v="0"/>
    <x v="1"/>
    <n v="12"/>
    <s v="Medical"/>
    <s v="1768"/>
    <x v="0"/>
    <x v="1"/>
    <n v="3"/>
    <n v="1"/>
    <x v="2"/>
    <x v="1"/>
    <x v="2"/>
    <n v="2766"/>
    <x v="1"/>
    <x v="1"/>
    <n v="4"/>
    <n v="7"/>
    <n v="2"/>
    <x v="8"/>
    <n v="3"/>
    <n v="0"/>
    <n v="4"/>
    <x v="0"/>
    <x v="0"/>
    <x v="1"/>
  </r>
  <r>
    <n v="55"/>
    <s v="No"/>
    <n v="0"/>
    <x v="0"/>
    <x v="1"/>
    <n v="2"/>
    <s v="Medical"/>
    <s v="1770"/>
    <x v="1"/>
    <x v="1"/>
    <n v="2"/>
    <n v="5"/>
    <x v="7"/>
    <x v="3"/>
    <x v="1"/>
    <n v="19038"/>
    <x v="2"/>
    <x v="1"/>
    <n v="3"/>
    <n v="34"/>
    <n v="3"/>
    <x v="6"/>
    <n v="0"/>
    <n v="0"/>
    <n v="0"/>
    <x v="1"/>
    <x v="2"/>
    <x v="1"/>
  </r>
  <r>
    <n v="33"/>
    <s v="No"/>
    <n v="0"/>
    <x v="2"/>
    <x v="1"/>
    <n v="4"/>
    <s v="Technical Degree"/>
    <s v="1771"/>
    <x v="2"/>
    <x v="1"/>
    <n v="3"/>
    <n v="2"/>
    <x v="1"/>
    <x v="1"/>
    <x v="2"/>
    <n v="3055"/>
    <x v="1"/>
    <x v="1"/>
    <n v="3"/>
    <n v="11"/>
    <n v="2"/>
    <x v="7"/>
    <n v="8"/>
    <n v="1"/>
    <n v="7"/>
    <x v="2"/>
    <x v="0"/>
    <x v="0"/>
  </r>
  <r>
    <n v="41"/>
    <s v="No"/>
    <n v="0"/>
    <x v="0"/>
    <x v="1"/>
    <n v="9"/>
    <s v="Life Sciences"/>
    <s v="1772"/>
    <x v="1"/>
    <x v="1"/>
    <n v="3"/>
    <n v="1"/>
    <x v="2"/>
    <x v="3"/>
    <x v="2"/>
    <n v="2289"/>
    <x v="1"/>
    <x v="1"/>
    <n v="4"/>
    <n v="5"/>
    <n v="3"/>
    <x v="8"/>
    <n v="3"/>
    <n v="0"/>
    <n v="4"/>
    <x v="0"/>
    <x v="1"/>
    <x v="1"/>
  </r>
  <r>
    <n v="34"/>
    <s v="No"/>
    <n v="0"/>
    <x v="2"/>
    <x v="0"/>
    <n v="10"/>
    <s v="Life Sciences"/>
    <s v="1774"/>
    <x v="2"/>
    <x v="1"/>
    <n v="3"/>
    <n v="2"/>
    <x v="0"/>
    <x v="2"/>
    <x v="2"/>
    <n v="4001"/>
    <x v="1"/>
    <x v="0"/>
    <n v="3"/>
    <n v="15"/>
    <n v="3"/>
    <x v="15"/>
    <n v="14"/>
    <n v="0"/>
    <n v="7"/>
    <x v="2"/>
    <x v="0"/>
    <x v="2"/>
  </r>
  <r>
    <n v="53"/>
    <s v="No"/>
    <n v="0"/>
    <x v="2"/>
    <x v="1"/>
    <n v="1"/>
    <s v="Medical"/>
    <s v="1775"/>
    <x v="3"/>
    <x v="0"/>
    <n v="2"/>
    <n v="4"/>
    <x v="3"/>
    <x v="2"/>
    <x v="1"/>
    <n v="12965"/>
    <x v="2"/>
    <x v="0"/>
    <n v="4"/>
    <n v="27"/>
    <n v="2"/>
    <x v="11"/>
    <n v="2"/>
    <n v="0"/>
    <n v="2"/>
    <x v="1"/>
    <x v="2"/>
    <x v="1"/>
  </r>
  <r>
    <n v="43"/>
    <s v="No"/>
    <n v="0"/>
    <x v="0"/>
    <x v="2"/>
    <n v="2"/>
    <s v="Life Sciences"/>
    <s v="1778"/>
    <x v="0"/>
    <x v="1"/>
    <n v="3"/>
    <n v="1"/>
    <x v="8"/>
    <x v="0"/>
    <x v="0"/>
    <n v="3539"/>
    <x v="1"/>
    <x v="1"/>
    <n v="3"/>
    <n v="10"/>
    <n v="3"/>
    <x v="7"/>
    <n v="7"/>
    <n v="1"/>
    <n v="8"/>
    <x v="0"/>
    <x v="0"/>
    <x v="0"/>
  </r>
  <r>
    <n v="34"/>
    <s v="No"/>
    <n v="0"/>
    <x v="0"/>
    <x v="0"/>
    <n v="3"/>
    <s v="Life Sciences"/>
    <s v="1779"/>
    <x v="2"/>
    <x v="0"/>
    <n v="1"/>
    <n v="2"/>
    <x v="0"/>
    <x v="0"/>
    <x v="0"/>
    <n v="6029"/>
    <x v="0"/>
    <x v="1"/>
    <n v="3"/>
    <n v="6"/>
    <n v="3"/>
    <x v="4"/>
    <n v="2"/>
    <n v="2"/>
    <n v="2"/>
    <x v="2"/>
    <x v="0"/>
    <x v="1"/>
  </r>
  <r>
    <n v="21"/>
    <s v="Yes"/>
    <n v="1"/>
    <x v="0"/>
    <x v="0"/>
    <n v="7"/>
    <s v="Marketing"/>
    <s v="1780"/>
    <x v="0"/>
    <x v="1"/>
    <n v="3"/>
    <n v="1"/>
    <x v="6"/>
    <x v="1"/>
    <x v="0"/>
    <n v="2679"/>
    <x v="1"/>
    <x v="1"/>
    <n v="3"/>
    <n v="1"/>
    <n v="3"/>
    <x v="6"/>
    <n v="0"/>
    <n v="1"/>
    <n v="0"/>
    <x v="3"/>
    <x v="1"/>
    <x v="1"/>
  </r>
  <r>
    <n v="38"/>
    <s v="No"/>
    <n v="0"/>
    <x v="0"/>
    <x v="1"/>
    <n v="6"/>
    <s v="Other"/>
    <s v="1782"/>
    <x v="2"/>
    <x v="0"/>
    <n v="2"/>
    <n v="1"/>
    <x v="2"/>
    <x v="2"/>
    <x v="1"/>
    <n v="3702"/>
    <x v="1"/>
    <x v="1"/>
    <n v="3"/>
    <n v="5"/>
    <n v="3"/>
    <x v="8"/>
    <n v="4"/>
    <n v="0"/>
    <n v="4"/>
    <x v="0"/>
    <x v="1"/>
    <x v="1"/>
  </r>
  <r>
    <n v="22"/>
    <s v="Yes"/>
    <n v="1"/>
    <x v="0"/>
    <x v="1"/>
    <n v="8"/>
    <s v="Medical"/>
    <s v="1783"/>
    <x v="1"/>
    <x v="0"/>
    <n v="3"/>
    <n v="1"/>
    <x v="2"/>
    <x v="3"/>
    <x v="1"/>
    <n v="2398"/>
    <x v="1"/>
    <x v="0"/>
    <n v="3"/>
    <n v="1"/>
    <n v="3"/>
    <x v="6"/>
    <n v="0"/>
    <n v="0"/>
    <n v="0"/>
    <x v="3"/>
    <x v="1"/>
    <x v="1"/>
  </r>
  <r>
    <n v="31"/>
    <s v="No"/>
    <n v="0"/>
    <x v="0"/>
    <x v="0"/>
    <n v="29"/>
    <s v="Marketing"/>
    <s v="1784"/>
    <x v="3"/>
    <x v="0"/>
    <n v="2"/>
    <n v="2"/>
    <x v="0"/>
    <x v="0"/>
    <x v="1"/>
    <n v="5468"/>
    <x v="0"/>
    <x v="1"/>
    <n v="3"/>
    <n v="13"/>
    <n v="3"/>
    <x v="12"/>
    <n v="7"/>
    <n v="5"/>
    <n v="7"/>
    <x v="2"/>
    <x v="0"/>
    <x v="2"/>
  </r>
  <r>
    <n v="51"/>
    <s v="No"/>
    <n v="0"/>
    <x v="0"/>
    <x v="1"/>
    <n v="3"/>
    <s v="Technical Degree"/>
    <s v="1786"/>
    <x v="3"/>
    <x v="0"/>
    <n v="3"/>
    <n v="3"/>
    <x v="5"/>
    <x v="2"/>
    <x v="1"/>
    <n v="13116"/>
    <x v="2"/>
    <x v="1"/>
    <n v="3"/>
    <n v="15"/>
    <n v="3"/>
    <x v="4"/>
    <n v="2"/>
    <n v="2"/>
    <n v="2"/>
    <x v="1"/>
    <x v="0"/>
    <x v="1"/>
  </r>
  <r>
    <n v="37"/>
    <s v="No"/>
    <n v="0"/>
    <x v="0"/>
    <x v="0"/>
    <n v="9"/>
    <s v="Marketing"/>
    <s v="1787"/>
    <x v="0"/>
    <x v="1"/>
    <n v="2"/>
    <n v="2"/>
    <x v="0"/>
    <x v="1"/>
    <x v="1"/>
    <n v="4189"/>
    <x v="1"/>
    <x v="1"/>
    <n v="3"/>
    <n v="5"/>
    <n v="3"/>
    <x v="8"/>
    <n v="2"/>
    <n v="0"/>
    <n v="3"/>
    <x v="0"/>
    <x v="1"/>
    <x v="1"/>
  </r>
  <r>
    <n v="46"/>
    <s v="No"/>
    <n v="0"/>
    <x v="0"/>
    <x v="1"/>
    <n v="2"/>
    <s v="Medical"/>
    <s v="1789"/>
    <x v="1"/>
    <x v="1"/>
    <n v="3"/>
    <n v="5"/>
    <x v="7"/>
    <x v="0"/>
    <x v="2"/>
    <n v="19328"/>
    <x v="2"/>
    <x v="0"/>
    <n v="3"/>
    <n v="24"/>
    <n v="3"/>
    <x v="4"/>
    <n v="1"/>
    <n v="2"/>
    <n v="2"/>
    <x v="1"/>
    <x v="2"/>
    <x v="1"/>
  </r>
  <r>
    <n v="36"/>
    <s v="No"/>
    <n v="0"/>
    <x v="0"/>
    <x v="1"/>
    <n v="10"/>
    <s v="Life Sciences"/>
    <s v="1790"/>
    <x v="2"/>
    <x v="1"/>
    <n v="3"/>
    <n v="3"/>
    <x v="4"/>
    <x v="3"/>
    <x v="1"/>
    <n v="8321"/>
    <x v="0"/>
    <x v="0"/>
    <n v="3"/>
    <n v="15"/>
    <n v="3"/>
    <x v="12"/>
    <n v="8"/>
    <n v="5"/>
    <n v="7"/>
    <x v="0"/>
    <x v="0"/>
    <x v="2"/>
  </r>
  <r>
    <n v="44"/>
    <s v="Yes"/>
    <n v="1"/>
    <x v="1"/>
    <x v="1"/>
    <n v="1"/>
    <s v="Medical"/>
    <s v="1792"/>
    <x v="1"/>
    <x v="1"/>
    <n v="3"/>
    <n v="1"/>
    <x v="1"/>
    <x v="1"/>
    <x v="2"/>
    <n v="2342"/>
    <x v="1"/>
    <x v="0"/>
    <n v="3"/>
    <n v="6"/>
    <n v="2"/>
    <x v="8"/>
    <n v="3"/>
    <n v="2"/>
    <n v="3"/>
    <x v="0"/>
    <x v="0"/>
    <x v="1"/>
  </r>
  <r>
    <n v="37"/>
    <s v="No"/>
    <n v="0"/>
    <x v="0"/>
    <x v="2"/>
    <n v="8"/>
    <s v="Other"/>
    <s v="1794"/>
    <x v="1"/>
    <x v="1"/>
    <n v="3"/>
    <n v="2"/>
    <x v="8"/>
    <x v="1"/>
    <x v="2"/>
    <n v="4071"/>
    <x v="1"/>
    <x v="1"/>
    <n v="3"/>
    <n v="19"/>
    <n v="2"/>
    <x v="1"/>
    <n v="0"/>
    <n v="4"/>
    <n v="7"/>
    <x v="0"/>
    <x v="2"/>
    <x v="0"/>
  </r>
  <r>
    <n v="35"/>
    <s v="Yes"/>
    <n v="1"/>
    <x v="0"/>
    <x v="0"/>
    <n v="27"/>
    <s v="Life Sciences"/>
    <s v="1797"/>
    <x v="1"/>
    <x v="1"/>
    <n v="3"/>
    <n v="2"/>
    <x v="0"/>
    <x v="0"/>
    <x v="0"/>
    <n v="5813"/>
    <x v="0"/>
    <x v="0"/>
    <n v="3"/>
    <n v="10"/>
    <n v="3"/>
    <x v="1"/>
    <n v="7"/>
    <n v="7"/>
    <n v="7"/>
    <x v="2"/>
    <x v="0"/>
    <x v="0"/>
  </r>
  <r>
    <n v="33"/>
    <s v="No"/>
    <n v="0"/>
    <x v="0"/>
    <x v="1"/>
    <n v="8"/>
    <s v="Life Sciences"/>
    <s v="1798"/>
    <x v="2"/>
    <x v="1"/>
    <n v="4"/>
    <n v="1"/>
    <x v="1"/>
    <x v="3"/>
    <x v="1"/>
    <n v="3143"/>
    <x v="1"/>
    <x v="1"/>
    <n v="3"/>
    <n v="14"/>
    <n v="3"/>
    <x v="1"/>
    <n v="8"/>
    <n v="7"/>
    <n v="6"/>
    <x v="2"/>
    <x v="0"/>
    <x v="0"/>
  </r>
  <r>
    <n v="28"/>
    <s v="No"/>
    <n v="0"/>
    <x v="0"/>
    <x v="1"/>
    <n v="1"/>
    <s v="Life Sciences"/>
    <s v="1799"/>
    <x v="1"/>
    <x v="1"/>
    <n v="3"/>
    <n v="1"/>
    <x v="1"/>
    <x v="0"/>
    <x v="1"/>
    <n v="2044"/>
    <x v="1"/>
    <x v="1"/>
    <n v="3"/>
    <n v="5"/>
    <n v="4"/>
    <x v="8"/>
    <n v="3"/>
    <n v="0"/>
    <n v="3"/>
    <x v="2"/>
    <x v="1"/>
    <x v="1"/>
  </r>
  <r>
    <n v="39"/>
    <s v="No"/>
    <n v="0"/>
    <x v="0"/>
    <x v="1"/>
    <n v="10"/>
    <s v="Medical"/>
    <s v="1800"/>
    <x v="1"/>
    <x v="1"/>
    <n v="3"/>
    <n v="3"/>
    <x v="7"/>
    <x v="2"/>
    <x v="0"/>
    <n v="13464"/>
    <x v="2"/>
    <x v="1"/>
    <n v="4"/>
    <n v="9"/>
    <n v="3"/>
    <x v="9"/>
    <n v="3"/>
    <n v="2"/>
    <n v="2"/>
    <x v="0"/>
    <x v="0"/>
    <x v="1"/>
  </r>
  <r>
    <n v="46"/>
    <s v="No"/>
    <n v="0"/>
    <x v="2"/>
    <x v="0"/>
    <n v="26"/>
    <s v="Life Sciences"/>
    <s v="1801"/>
    <x v="0"/>
    <x v="1"/>
    <n v="2"/>
    <n v="2"/>
    <x v="0"/>
    <x v="1"/>
    <x v="0"/>
    <n v="7991"/>
    <x v="0"/>
    <x v="1"/>
    <n v="3"/>
    <n v="6"/>
    <n v="3"/>
    <x v="4"/>
    <n v="2"/>
    <n v="2"/>
    <n v="2"/>
    <x v="1"/>
    <x v="0"/>
    <x v="1"/>
  </r>
  <r>
    <n v="40"/>
    <s v="No"/>
    <n v="0"/>
    <x v="0"/>
    <x v="1"/>
    <n v="2"/>
    <s v="Life Sciences"/>
    <s v="1802"/>
    <x v="1"/>
    <x v="0"/>
    <n v="3"/>
    <n v="1"/>
    <x v="2"/>
    <x v="3"/>
    <x v="1"/>
    <n v="3377"/>
    <x v="1"/>
    <x v="1"/>
    <n v="3"/>
    <n v="7"/>
    <n v="2"/>
    <x v="9"/>
    <n v="3"/>
    <n v="0"/>
    <n v="2"/>
    <x v="0"/>
    <x v="0"/>
    <x v="1"/>
  </r>
  <r>
    <n v="42"/>
    <s v="No"/>
    <n v="0"/>
    <x v="0"/>
    <x v="1"/>
    <n v="13"/>
    <s v="Medical"/>
    <s v="1803"/>
    <x v="0"/>
    <x v="1"/>
    <n v="4"/>
    <n v="2"/>
    <x v="4"/>
    <x v="3"/>
    <x v="1"/>
    <n v="5538"/>
    <x v="0"/>
    <x v="1"/>
    <n v="3"/>
    <n v="10"/>
    <n v="2"/>
    <x v="2"/>
    <n v="0"/>
    <n v="0"/>
    <n v="0"/>
    <x v="0"/>
    <x v="0"/>
    <x v="1"/>
  </r>
  <r>
    <n v="35"/>
    <s v="No"/>
    <n v="0"/>
    <x v="2"/>
    <x v="1"/>
    <n v="2"/>
    <s v="Medical"/>
    <s v="1804"/>
    <x v="0"/>
    <x v="1"/>
    <n v="3"/>
    <n v="2"/>
    <x v="3"/>
    <x v="0"/>
    <x v="2"/>
    <n v="5762"/>
    <x v="0"/>
    <x v="1"/>
    <n v="3"/>
    <n v="15"/>
    <n v="3"/>
    <x v="5"/>
    <n v="7"/>
    <n v="1"/>
    <n v="7"/>
    <x v="2"/>
    <x v="0"/>
    <x v="0"/>
  </r>
  <r>
    <n v="38"/>
    <s v="No"/>
    <n v="0"/>
    <x v="2"/>
    <x v="2"/>
    <n v="2"/>
    <s v="Human Resources"/>
    <s v="1805"/>
    <x v="3"/>
    <x v="1"/>
    <n v="3"/>
    <n v="1"/>
    <x v="8"/>
    <x v="1"/>
    <x v="2"/>
    <n v="2592"/>
    <x v="1"/>
    <x v="1"/>
    <n v="3"/>
    <n v="13"/>
    <n v="3"/>
    <x v="19"/>
    <n v="10"/>
    <n v="3"/>
    <n v="8"/>
    <x v="0"/>
    <x v="0"/>
    <x v="2"/>
  </r>
  <r>
    <n v="34"/>
    <s v="Yes"/>
    <n v="1"/>
    <x v="1"/>
    <x v="1"/>
    <n v="9"/>
    <s v="Life Sciences"/>
    <s v="1807"/>
    <x v="2"/>
    <x v="1"/>
    <n v="3"/>
    <n v="2"/>
    <x v="2"/>
    <x v="3"/>
    <x v="1"/>
    <n v="5346"/>
    <x v="0"/>
    <x v="1"/>
    <n v="3"/>
    <n v="11"/>
    <n v="2"/>
    <x v="5"/>
    <n v="1"/>
    <n v="0"/>
    <n v="7"/>
    <x v="2"/>
    <x v="0"/>
    <x v="0"/>
  </r>
  <r>
    <n v="37"/>
    <s v="Yes"/>
    <n v="1"/>
    <x v="0"/>
    <x v="1"/>
    <n v="10"/>
    <s v="Medical"/>
    <s v="1809"/>
    <x v="2"/>
    <x v="1"/>
    <n v="3"/>
    <n v="2"/>
    <x v="3"/>
    <x v="3"/>
    <x v="0"/>
    <n v="4213"/>
    <x v="1"/>
    <x v="1"/>
    <n v="3"/>
    <n v="10"/>
    <n v="1"/>
    <x v="1"/>
    <n v="3"/>
    <n v="0"/>
    <n v="8"/>
    <x v="0"/>
    <x v="0"/>
    <x v="0"/>
  </r>
  <r>
    <n v="39"/>
    <s v="No"/>
    <n v="0"/>
    <x v="1"/>
    <x v="0"/>
    <n v="20"/>
    <s v="Life Sciences"/>
    <s v="1812"/>
    <x v="1"/>
    <x v="1"/>
    <n v="3"/>
    <n v="2"/>
    <x v="0"/>
    <x v="0"/>
    <x v="2"/>
    <n v="4127"/>
    <x v="1"/>
    <x v="1"/>
    <n v="3"/>
    <n v="7"/>
    <n v="3"/>
    <x v="4"/>
    <n v="1"/>
    <n v="2"/>
    <n v="2"/>
    <x v="0"/>
    <x v="0"/>
    <x v="1"/>
  </r>
  <r>
    <n v="43"/>
    <s v="No"/>
    <n v="0"/>
    <x v="2"/>
    <x v="1"/>
    <n v="9"/>
    <s v="Life Sciences"/>
    <s v="1813"/>
    <x v="3"/>
    <x v="1"/>
    <n v="3"/>
    <n v="1"/>
    <x v="1"/>
    <x v="2"/>
    <x v="0"/>
    <n v="2438"/>
    <x v="1"/>
    <x v="1"/>
    <n v="3"/>
    <n v="7"/>
    <n v="2"/>
    <x v="11"/>
    <n v="2"/>
    <n v="1"/>
    <n v="2"/>
    <x v="0"/>
    <x v="0"/>
    <x v="1"/>
  </r>
  <r>
    <n v="41"/>
    <s v="No"/>
    <n v="0"/>
    <x v="0"/>
    <x v="1"/>
    <n v="5"/>
    <s v="Life Sciences"/>
    <s v="1814"/>
    <x v="0"/>
    <x v="1"/>
    <n v="4"/>
    <n v="2"/>
    <x v="4"/>
    <x v="1"/>
    <x v="0"/>
    <n v="6870"/>
    <x v="0"/>
    <x v="1"/>
    <n v="3"/>
    <n v="11"/>
    <n v="1"/>
    <x v="11"/>
    <n v="2"/>
    <n v="1"/>
    <n v="2"/>
    <x v="0"/>
    <x v="0"/>
    <x v="1"/>
  </r>
  <r>
    <n v="41"/>
    <s v="No"/>
    <n v="0"/>
    <x v="0"/>
    <x v="0"/>
    <n v="4"/>
    <s v="Marketing"/>
    <s v="1815"/>
    <x v="1"/>
    <x v="0"/>
    <n v="3"/>
    <n v="3"/>
    <x v="0"/>
    <x v="2"/>
    <x v="2"/>
    <n v="10447"/>
    <x v="0"/>
    <x v="0"/>
    <n v="3"/>
    <n v="23"/>
    <n v="4"/>
    <x v="14"/>
    <n v="14"/>
    <n v="13"/>
    <n v="5"/>
    <x v="0"/>
    <x v="2"/>
    <x v="2"/>
  </r>
  <r>
    <n v="30"/>
    <s v="No"/>
    <n v="0"/>
    <x v="0"/>
    <x v="1"/>
    <n v="10"/>
    <s v="Medical"/>
    <s v="1816"/>
    <x v="3"/>
    <x v="0"/>
    <n v="3"/>
    <n v="3"/>
    <x v="3"/>
    <x v="2"/>
    <x v="0"/>
    <n v="9667"/>
    <x v="0"/>
    <x v="1"/>
    <n v="3"/>
    <n v="9"/>
    <n v="3"/>
    <x v="5"/>
    <n v="7"/>
    <n v="0"/>
    <n v="2"/>
    <x v="2"/>
    <x v="0"/>
    <x v="0"/>
  </r>
  <r>
    <n v="26"/>
    <s v="Yes"/>
    <n v="1"/>
    <x v="0"/>
    <x v="2"/>
    <n v="20"/>
    <s v="Medical"/>
    <s v="1818"/>
    <x v="2"/>
    <x v="0"/>
    <n v="3"/>
    <n v="1"/>
    <x v="8"/>
    <x v="1"/>
    <x v="1"/>
    <n v="2148"/>
    <x v="1"/>
    <x v="0"/>
    <n v="3"/>
    <n v="6"/>
    <n v="3"/>
    <x v="8"/>
    <n v="1"/>
    <n v="1"/>
    <n v="4"/>
    <x v="2"/>
    <x v="0"/>
    <x v="1"/>
  </r>
  <r>
    <n v="46"/>
    <s v="Yes"/>
    <n v="1"/>
    <x v="0"/>
    <x v="1"/>
    <n v="21"/>
    <s v="Medical"/>
    <s v="1821"/>
    <x v="2"/>
    <x v="0"/>
    <n v="3"/>
    <n v="2"/>
    <x v="4"/>
    <x v="1"/>
    <x v="1"/>
    <n v="8926"/>
    <x v="0"/>
    <x v="1"/>
    <n v="4"/>
    <n v="13"/>
    <n v="4"/>
    <x v="7"/>
    <n v="7"/>
    <n v="3"/>
    <n v="7"/>
    <x v="1"/>
    <x v="0"/>
    <x v="0"/>
  </r>
  <r>
    <n v="40"/>
    <s v="No"/>
    <n v="0"/>
    <x v="0"/>
    <x v="1"/>
    <n v="1"/>
    <s v="Life Sciences"/>
    <s v="1822"/>
    <x v="1"/>
    <x v="0"/>
    <n v="3"/>
    <n v="2"/>
    <x v="4"/>
    <x v="0"/>
    <x v="2"/>
    <n v="6513"/>
    <x v="0"/>
    <x v="1"/>
    <n v="3"/>
    <n v="12"/>
    <n v="3"/>
    <x v="8"/>
    <n v="3"/>
    <n v="0"/>
    <n v="3"/>
    <x v="0"/>
    <x v="0"/>
    <x v="1"/>
  </r>
  <r>
    <n v="34"/>
    <s v="No"/>
    <n v="0"/>
    <x v="0"/>
    <x v="0"/>
    <n v="8"/>
    <s v="Technical Degree"/>
    <s v="1823"/>
    <x v="0"/>
    <x v="1"/>
    <n v="4"/>
    <n v="2"/>
    <x v="0"/>
    <x v="2"/>
    <x v="1"/>
    <n v="6799"/>
    <x v="0"/>
    <x v="1"/>
    <n v="4"/>
    <n v="10"/>
    <n v="3"/>
    <x v="1"/>
    <n v="8"/>
    <n v="4"/>
    <n v="8"/>
    <x v="2"/>
    <x v="0"/>
    <x v="0"/>
  </r>
  <r>
    <n v="58"/>
    <s v="No"/>
    <n v="0"/>
    <x v="2"/>
    <x v="0"/>
    <n v="2"/>
    <s v="Medical"/>
    <s v="1824"/>
    <x v="0"/>
    <x v="1"/>
    <n v="3"/>
    <n v="4"/>
    <x v="5"/>
    <x v="1"/>
    <x v="2"/>
    <n v="16291"/>
    <x v="2"/>
    <x v="1"/>
    <n v="4"/>
    <n v="37"/>
    <n v="2"/>
    <x v="22"/>
    <n v="9"/>
    <n v="14"/>
    <n v="14"/>
    <x v="1"/>
    <x v="2"/>
    <x v="2"/>
  </r>
  <r>
    <n v="35"/>
    <s v="No"/>
    <n v="0"/>
    <x v="0"/>
    <x v="1"/>
    <n v="23"/>
    <s v="Medical"/>
    <s v="1826"/>
    <x v="0"/>
    <x v="1"/>
    <n v="1"/>
    <n v="1"/>
    <x v="2"/>
    <x v="2"/>
    <x v="1"/>
    <n v="2705"/>
    <x v="1"/>
    <x v="1"/>
    <n v="3"/>
    <n v="6"/>
    <n v="4"/>
    <x v="8"/>
    <n v="4"/>
    <n v="0"/>
    <n v="3"/>
    <x v="2"/>
    <x v="0"/>
    <x v="1"/>
  </r>
  <r>
    <n v="47"/>
    <s v="No"/>
    <n v="0"/>
    <x v="0"/>
    <x v="1"/>
    <n v="4"/>
    <s v="Life Sciences"/>
    <s v="1827"/>
    <x v="1"/>
    <x v="0"/>
    <n v="2"/>
    <n v="3"/>
    <x v="3"/>
    <x v="1"/>
    <x v="2"/>
    <n v="10333"/>
    <x v="0"/>
    <x v="0"/>
    <n v="3"/>
    <n v="28"/>
    <n v="3"/>
    <x v="14"/>
    <n v="11"/>
    <n v="14"/>
    <n v="10"/>
    <x v="1"/>
    <x v="2"/>
    <x v="2"/>
  </r>
  <r>
    <n v="40"/>
    <s v="No"/>
    <n v="0"/>
    <x v="0"/>
    <x v="1"/>
    <n v="12"/>
    <s v="Life Sciences"/>
    <s v="1829"/>
    <x v="0"/>
    <x v="0"/>
    <n v="3"/>
    <n v="2"/>
    <x v="4"/>
    <x v="3"/>
    <x v="2"/>
    <n v="4448"/>
    <x v="1"/>
    <x v="1"/>
    <n v="3"/>
    <n v="15"/>
    <n v="3"/>
    <x v="5"/>
    <n v="4"/>
    <n v="7"/>
    <n v="7"/>
    <x v="0"/>
    <x v="0"/>
    <x v="0"/>
  </r>
  <r>
    <n v="54"/>
    <s v="No"/>
    <n v="0"/>
    <x v="0"/>
    <x v="1"/>
    <n v="7"/>
    <s v="Medical"/>
    <s v="1830"/>
    <x v="2"/>
    <x v="0"/>
    <n v="3"/>
    <n v="2"/>
    <x v="1"/>
    <x v="0"/>
    <x v="1"/>
    <n v="6854"/>
    <x v="0"/>
    <x v="1"/>
    <n v="3"/>
    <n v="14"/>
    <n v="2"/>
    <x v="5"/>
    <n v="1"/>
    <n v="1"/>
    <n v="7"/>
    <x v="1"/>
    <x v="0"/>
    <x v="0"/>
  </r>
  <r>
    <n v="31"/>
    <s v="No"/>
    <n v="0"/>
    <x v="1"/>
    <x v="0"/>
    <n v="7"/>
    <s v="Marketing"/>
    <s v="1833"/>
    <x v="3"/>
    <x v="0"/>
    <n v="3"/>
    <n v="3"/>
    <x v="0"/>
    <x v="3"/>
    <x v="1"/>
    <n v="9637"/>
    <x v="0"/>
    <x v="1"/>
    <n v="3"/>
    <n v="9"/>
    <n v="3"/>
    <x v="11"/>
    <n v="2"/>
    <n v="2"/>
    <n v="2"/>
    <x v="2"/>
    <x v="0"/>
    <x v="1"/>
  </r>
  <r>
    <n v="28"/>
    <s v="No"/>
    <n v="0"/>
    <x v="0"/>
    <x v="1"/>
    <n v="1"/>
    <s v="Medical"/>
    <s v="1834"/>
    <x v="1"/>
    <x v="0"/>
    <n v="3"/>
    <n v="1"/>
    <x v="1"/>
    <x v="3"/>
    <x v="1"/>
    <n v="3591"/>
    <x v="1"/>
    <x v="1"/>
    <n v="4"/>
    <n v="3"/>
    <n v="3"/>
    <x v="11"/>
    <n v="2"/>
    <n v="1"/>
    <n v="2"/>
    <x v="2"/>
    <x v="1"/>
    <x v="1"/>
  </r>
  <r>
    <n v="38"/>
    <s v="No"/>
    <n v="0"/>
    <x v="0"/>
    <x v="0"/>
    <n v="2"/>
    <s v="Marketing"/>
    <s v="1835"/>
    <x v="0"/>
    <x v="0"/>
    <n v="1"/>
    <n v="2"/>
    <x v="6"/>
    <x v="0"/>
    <x v="1"/>
    <n v="5405"/>
    <x v="0"/>
    <x v="0"/>
    <n v="4"/>
    <n v="20"/>
    <n v="2"/>
    <x v="9"/>
    <n v="2"/>
    <n v="0"/>
    <n v="3"/>
    <x v="0"/>
    <x v="2"/>
    <x v="1"/>
  </r>
  <r>
    <n v="26"/>
    <s v="No"/>
    <n v="0"/>
    <x v="0"/>
    <x v="0"/>
    <n v="10"/>
    <s v="Medical"/>
    <s v="1836"/>
    <x v="1"/>
    <x v="1"/>
    <n v="3"/>
    <n v="2"/>
    <x v="0"/>
    <x v="0"/>
    <x v="0"/>
    <n v="4684"/>
    <x v="1"/>
    <x v="1"/>
    <n v="3"/>
    <n v="5"/>
    <n v="3"/>
    <x v="8"/>
    <n v="3"/>
    <n v="1"/>
    <n v="2"/>
    <x v="2"/>
    <x v="1"/>
    <x v="1"/>
  </r>
  <r>
    <n v="58"/>
    <s v="No"/>
    <n v="0"/>
    <x v="1"/>
    <x v="1"/>
    <n v="15"/>
    <s v="Life Sciences"/>
    <s v="1837"/>
    <x v="3"/>
    <x v="1"/>
    <n v="3"/>
    <n v="4"/>
    <x v="7"/>
    <x v="2"/>
    <x v="1"/>
    <n v="15787"/>
    <x v="2"/>
    <x v="0"/>
    <n v="3"/>
    <n v="23"/>
    <n v="3"/>
    <x v="4"/>
    <n v="2"/>
    <n v="2"/>
    <n v="2"/>
    <x v="1"/>
    <x v="2"/>
    <x v="1"/>
  </r>
  <r>
    <n v="18"/>
    <s v="No"/>
    <n v="0"/>
    <x v="2"/>
    <x v="1"/>
    <n v="14"/>
    <s v="Medical"/>
    <s v="1839"/>
    <x v="0"/>
    <x v="0"/>
    <n v="3"/>
    <n v="1"/>
    <x v="1"/>
    <x v="2"/>
    <x v="0"/>
    <n v="1514"/>
    <x v="1"/>
    <x v="1"/>
    <n v="3"/>
    <n v="0"/>
    <n v="1"/>
    <x v="2"/>
    <n v="0"/>
    <n v="0"/>
    <n v="0"/>
    <x v="3"/>
    <x v="1"/>
    <x v="1"/>
  </r>
  <r>
    <n v="31"/>
    <s v="Yes"/>
    <n v="1"/>
    <x v="0"/>
    <x v="2"/>
    <n v="18"/>
    <s v="Human Resources"/>
    <s v="1842"/>
    <x v="2"/>
    <x v="1"/>
    <n v="4"/>
    <n v="1"/>
    <x v="8"/>
    <x v="3"/>
    <x v="1"/>
    <n v="2956"/>
    <x v="1"/>
    <x v="1"/>
    <n v="3"/>
    <n v="2"/>
    <n v="3"/>
    <x v="6"/>
    <n v="0"/>
    <n v="0"/>
    <n v="0"/>
    <x v="2"/>
    <x v="1"/>
    <x v="1"/>
  </r>
  <r>
    <n v="29"/>
    <s v="Yes"/>
    <n v="1"/>
    <x v="0"/>
    <x v="2"/>
    <n v="13"/>
    <s v="Human Resources"/>
    <s v="1844"/>
    <x v="3"/>
    <x v="1"/>
    <n v="2"/>
    <n v="1"/>
    <x v="8"/>
    <x v="3"/>
    <x v="2"/>
    <n v="2335"/>
    <x v="1"/>
    <x v="0"/>
    <n v="3"/>
    <n v="4"/>
    <n v="3"/>
    <x v="4"/>
    <n v="2"/>
    <n v="2"/>
    <n v="0"/>
    <x v="2"/>
    <x v="1"/>
    <x v="1"/>
  </r>
  <r>
    <n v="45"/>
    <s v="No"/>
    <n v="0"/>
    <x v="2"/>
    <x v="0"/>
    <n v="2"/>
    <s v="Life Sciences"/>
    <s v="1845"/>
    <x v="1"/>
    <x v="0"/>
    <n v="3"/>
    <n v="2"/>
    <x v="0"/>
    <x v="2"/>
    <x v="1"/>
    <n v="5154"/>
    <x v="0"/>
    <x v="1"/>
    <n v="4"/>
    <n v="10"/>
    <n v="4"/>
    <x v="3"/>
    <n v="7"/>
    <n v="5"/>
    <n v="7"/>
    <x v="0"/>
    <x v="0"/>
    <x v="0"/>
  </r>
  <r>
    <n v="36"/>
    <s v="No"/>
    <n v="0"/>
    <x v="0"/>
    <x v="1"/>
    <n v="2"/>
    <s v="Other"/>
    <s v="1847"/>
    <x v="2"/>
    <x v="0"/>
    <n v="3"/>
    <n v="2"/>
    <x v="1"/>
    <x v="1"/>
    <x v="1"/>
    <n v="6962"/>
    <x v="0"/>
    <x v="0"/>
    <n v="4"/>
    <n v="15"/>
    <n v="3"/>
    <x v="6"/>
    <n v="0"/>
    <n v="0"/>
    <n v="0"/>
    <x v="0"/>
    <x v="0"/>
    <x v="1"/>
  </r>
  <r>
    <n v="43"/>
    <s v="No"/>
    <n v="0"/>
    <x v="1"/>
    <x v="0"/>
    <n v="2"/>
    <s v="Life Sciences"/>
    <s v="1849"/>
    <x v="3"/>
    <x v="1"/>
    <n v="3"/>
    <n v="2"/>
    <x v="0"/>
    <x v="0"/>
    <x v="1"/>
    <n v="5675"/>
    <x v="0"/>
    <x v="1"/>
    <n v="4"/>
    <n v="7"/>
    <n v="3"/>
    <x v="5"/>
    <n v="7"/>
    <n v="7"/>
    <n v="7"/>
    <x v="0"/>
    <x v="0"/>
    <x v="0"/>
  </r>
  <r>
    <n v="27"/>
    <s v="No"/>
    <n v="0"/>
    <x v="1"/>
    <x v="1"/>
    <n v="5"/>
    <s v="Life Sciences"/>
    <s v="1850"/>
    <x v="2"/>
    <x v="0"/>
    <n v="3"/>
    <n v="1"/>
    <x v="2"/>
    <x v="0"/>
    <x v="0"/>
    <n v="2379"/>
    <x v="1"/>
    <x v="0"/>
    <n v="3"/>
    <n v="6"/>
    <n v="2"/>
    <x v="8"/>
    <n v="4"/>
    <n v="0"/>
    <n v="2"/>
    <x v="2"/>
    <x v="0"/>
    <x v="1"/>
  </r>
  <r>
    <n v="29"/>
    <s v="No"/>
    <n v="0"/>
    <x v="1"/>
    <x v="1"/>
    <n v="20"/>
    <s v="Medical"/>
    <s v="1852"/>
    <x v="2"/>
    <x v="1"/>
    <n v="3"/>
    <n v="1"/>
    <x v="2"/>
    <x v="0"/>
    <x v="1"/>
    <n v="3812"/>
    <x v="1"/>
    <x v="1"/>
    <n v="3"/>
    <n v="11"/>
    <n v="4"/>
    <x v="19"/>
    <n v="8"/>
    <n v="3"/>
    <n v="10"/>
    <x v="2"/>
    <x v="0"/>
    <x v="2"/>
  </r>
  <r>
    <n v="32"/>
    <s v="No"/>
    <n v="0"/>
    <x v="1"/>
    <x v="0"/>
    <n v="10"/>
    <s v="Marketing"/>
    <s v="1853"/>
    <x v="2"/>
    <x v="1"/>
    <n v="3"/>
    <n v="2"/>
    <x v="0"/>
    <x v="0"/>
    <x v="0"/>
    <n v="4648"/>
    <x v="1"/>
    <x v="1"/>
    <n v="3"/>
    <n v="4"/>
    <n v="4"/>
    <x v="2"/>
    <n v="0"/>
    <n v="0"/>
    <n v="0"/>
    <x v="2"/>
    <x v="1"/>
    <x v="1"/>
  </r>
  <r>
    <n v="42"/>
    <s v="No"/>
    <n v="0"/>
    <x v="2"/>
    <x v="1"/>
    <n v="10"/>
    <s v="Technical Degree"/>
    <s v="1854"/>
    <x v="1"/>
    <x v="1"/>
    <n v="3"/>
    <n v="1"/>
    <x v="1"/>
    <x v="2"/>
    <x v="1"/>
    <n v="2936"/>
    <x v="1"/>
    <x v="1"/>
    <n v="4"/>
    <n v="10"/>
    <n v="2"/>
    <x v="0"/>
    <n v="3"/>
    <n v="3"/>
    <n v="3"/>
    <x v="0"/>
    <x v="0"/>
    <x v="0"/>
  </r>
  <r>
    <n v="47"/>
    <s v="No"/>
    <n v="0"/>
    <x v="0"/>
    <x v="1"/>
    <n v="9"/>
    <s v="Life Sciences"/>
    <s v="1856"/>
    <x v="0"/>
    <x v="0"/>
    <n v="3"/>
    <n v="1"/>
    <x v="2"/>
    <x v="2"/>
    <x v="0"/>
    <n v="2105"/>
    <x v="1"/>
    <x v="1"/>
    <n v="3"/>
    <n v="7"/>
    <n v="3"/>
    <x v="4"/>
    <n v="2"/>
    <n v="2"/>
    <n v="0"/>
    <x v="1"/>
    <x v="0"/>
    <x v="1"/>
  </r>
  <r>
    <n v="46"/>
    <s v="No"/>
    <n v="0"/>
    <x v="0"/>
    <x v="1"/>
    <n v="2"/>
    <s v="Life Sciences"/>
    <s v="1857"/>
    <x v="2"/>
    <x v="1"/>
    <n v="3"/>
    <n v="3"/>
    <x v="3"/>
    <x v="0"/>
    <x v="2"/>
    <n v="8578"/>
    <x v="0"/>
    <x v="1"/>
    <n v="3"/>
    <n v="12"/>
    <n v="2"/>
    <x v="7"/>
    <n v="8"/>
    <n v="4"/>
    <n v="7"/>
    <x v="1"/>
    <x v="0"/>
    <x v="0"/>
  </r>
  <r>
    <n v="28"/>
    <s v="No"/>
    <n v="0"/>
    <x v="2"/>
    <x v="2"/>
    <n v="1"/>
    <s v="Life Sciences"/>
    <s v="1858"/>
    <x v="1"/>
    <x v="1"/>
    <n v="3"/>
    <n v="1"/>
    <x v="8"/>
    <x v="0"/>
    <x v="2"/>
    <n v="2706"/>
    <x v="1"/>
    <x v="1"/>
    <n v="3"/>
    <n v="3"/>
    <n v="3"/>
    <x v="11"/>
    <n v="2"/>
    <n v="2"/>
    <n v="2"/>
    <x v="2"/>
    <x v="1"/>
    <x v="1"/>
  </r>
  <r>
    <n v="29"/>
    <s v="No"/>
    <n v="0"/>
    <x v="0"/>
    <x v="1"/>
    <n v="29"/>
    <s v="Life Sciences"/>
    <s v="1859"/>
    <x v="2"/>
    <x v="1"/>
    <n v="1"/>
    <n v="2"/>
    <x v="4"/>
    <x v="2"/>
    <x v="2"/>
    <n v="6384"/>
    <x v="0"/>
    <x v="1"/>
    <n v="3"/>
    <n v="11"/>
    <n v="3"/>
    <x v="5"/>
    <n v="0"/>
    <n v="1"/>
    <n v="6"/>
    <x v="2"/>
    <x v="0"/>
    <x v="0"/>
  </r>
  <r>
    <n v="42"/>
    <s v="No"/>
    <n v="0"/>
    <x v="0"/>
    <x v="1"/>
    <n v="8"/>
    <s v="Life Sciences"/>
    <s v="1860"/>
    <x v="2"/>
    <x v="1"/>
    <n v="3"/>
    <n v="1"/>
    <x v="2"/>
    <x v="2"/>
    <x v="0"/>
    <n v="3968"/>
    <x v="1"/>
    <x v="1"/>
    <n v="3"/>
    <n v="8"/>
    <n v="3"/>
    <x v="2"/>
    <n v="0"/>
    <n v="0"/>
    <n v="0"/>
    <x v="0"/>
    <x v="0"/>
    <x v="1"/>
  </r>
  <r>
    <n v="32"/>
    <s v="Yes"/>
    <n v="1"/>
    <x v="0"/>
    <x v="0"/>
    <n v="2"/>
    <s v="Marketing"/>
    <s v="1862"/>
    <x v="1"/>
    <x v="1"/>
    <n v="2"/>
    <n v="2"/>
    <x v="0"/>
    <x v="1"/>
    <x v="0"/>
    <n v="9907"/>
    <x v="0"/>
    <x v="0"/>
    <n v="3"/>
    <n v="7"/>
    <n v="2"/>
    <x v="4"/>
    <n v="2"/>
    <n v="2"/>
    <n v="2"/>
    <x v="2"/>
    <x v="0"/>
    <x v="1"/>
  </r>
  <r>
    <n v="46"/>
    <s v="No"/>
    <n v="0"/>
    <x v="0"/>
    <x v="0"/>
    <n v="3"/>
    <s v="Technical Degree"/>
    <s v="1863"/>
    <x v="3"/>
    <x v="0"/>
    <n v="4"/>
    <n v="4"/>
    <x v="0"/>
    <x v="3"/>
    <x v="2"/>
    <n v="13225"/>
    <x v="2"/>
    <x v="1"/>
    <n v="3"/>
    <n v="25"/>
    <n v="3"/>
    <x v="27"/>
    <n v="17"/>
    <n v="2"/>
    <n v="8"/>
    <x v="1"/>
    <x v="2"/>
    <x v="2"/>
  </r>
  <r>
    <n v="27"/>
    <s v="No"/>
    <n v="0"/>
    <x v="0"/>
    <x v="0"/>
    <n v="23"/>
    <s v="Medical"/>
    <s v="1864"/>
    <x v="0"/>
    <x v="0"/>
    <n v="2"/>
    <n v="2"/>
    <x v="6"/>
    <x v="2"/>
    <x v="1"/>
    <n v="3540"/>
    <x v="1"/>
    <x v="1"/>
    <n v="4"/>
    <n v="9"/>
    <n v="3"/>
    <x v="7"/>
    <n v="8"/>
    <n v="5"/>
    <n v="8"/>
    <x v="2"/>
    <x v="0"/>
    <x v="0"/>
  </r>
  <r>
    <n v="29"/>
    <s v="No"/>
    <n v="0"/>
    <x v="0"/>
    <x v="2"/>
    <n v="6"/>
    <s v="Medical"/>
    <s v="1865"/>
    <x v="2"/>
    <x v="1"/>
    <n v="2"/>
    <n v="1"/>
    <x v="8"/>
    <x v="1"/>
    <x v="1"/>
    <n v="2804"/>
    <x v="1"/>
    <x v="1"/>
    <n v="3"/>
    <n v="1"/>
    <n v="3"/>
    <x v="6"/>
    <n v="0"/>
    <n v="0"/>
    <n v="0"/>
    <x v="2"/>
    <x v="1"/>
    <x v="1"/>
  </r>
  <r>
    <n v="43"/>
    <s v="No"/>
    <n v="0"/>
    <x v="0"/>
    <x v="1"/>
    <n v="6"/>
    <s v="Medical"/>
    <s v="1866"/>
    <x v="3"/>
    <x v="0"/>
    <n v="2"/>
    <n v="5"/>
    <x v="5"/>
    <x v="2"/>
    <x v="1"/>
    <n v="19392"/>
    <x v="2"/>
    <x v="1"/>
    <n v="3"/>
    <n v="21"/>
    <n v="3"/>
    <x v="22"/>
    <n v="12"/>
    <n v="6"/>
    <n v="14"/>
    <x v="0"/>
    <x v="2"/>
    <x v="2"/>
  </r>
  <r>
    <n v="48"/>
    <s v="No"/>
    <n v="0"/>
    <x v="0"/>
    <x v="1"/>
    <n v="10"/>
    <s v="Life Sciences"/>
    <s v="1867"/>
    <x v="2"/>
    <x v="1"/>
    <n v="2"/>
    <n v="5"/>
    <x v="7"/>
    <x v="1"/>
    <x v="1"/>
    <n v="19665"/>
    <x v="2"/>
    <x v="1"/>
    <n v="3"/>
    <n v="29"/>
    <n v="3"/>
    <x v="14"/>
    <n v="10"/>
    <n v="12"/>
    <n v="9"/>
    <x v="1"/>
    <x v="2"/>
    <x v="2"/>
  </r>
  <r>
    <n v="29"/>
    <s v="Yes"/>
    <n v="1"/>
    <x v="1"/>
    <x v="1"/>
    <n v="24"/>
    <s v="Life Sciences"/>
    <s v="1868"/>
    <x v="2"/>
    <x v="1"/>
    <n v="2"/>
    <n v="1"/>
    <x v="1"/>
    <x v="0"/>
    <x v="0"/>
    <n v="2439"/>
    <x v="1"/>
    <x v="0"/>
    <n v="4"/>
    <n v="1"/>
    <n v="2"/>
    <x v="6"/>
    <n v="0"/>
    <n v="1"/>
    <n v="0"/>
    <x v="2"/>
    <x v="1"/>
    <x v="1"/>
  </r>
  <r>
    <n v="46"/>
    <s v="Yes"/>
    <n v="1"/>
    <x v="0"/>
    <x v="0"/>
    <n v="10"/>
    <s v="Life Sciences"/>
    <s v="1869"/>
    <x v="1"/>
    <x v="0"/>
    <n v="3"/>
    <n v="3"/>
    <x v="0"/>
    <x v="1"/>
    <x v="1"/>
    <n v="7314"/>
    <x v="0"/>
    <x v="1"/>
    <n v="4"/>
    <n v="14"/>
    <n v="3"/>
    <x v="3"/>
    <n v="7"/>
    <n v="0"/>
    <n v="7"/>
    <x v="1"/>
    <x v="0"/>
    <x v="0"/>
  </r>
  <r>
    <n v="27"/>
    <s v="No"/>
    <n v="0"/>
    <x v="1"/>
    <x v="1"/>
    <n v="15"/>
    <s v="Life Sciences"/>
    <s v="1870"/>
    <x v="2"/>
    <x v="0"/>
    <n v="2"/>
    <n v="1"/>
    <x v="1"/>
    <x v="3"/>
    <x v="1"/>
    <n v="4774"/>
    <x v="1"/>
    <x v="1"/>
    <n v="3"/>
    <n v="8"/>
    <n v="2"/>
    <x v="5"/>
    <n v="6"/>
    <n v="7"/>
    <n v="3"/>
    <x v="2"/>
    <x v="0"/>
    <x v="0"/>
  </r>
  <r>
    <n v="39"/>
    <s v="No"/>
    <n v="0"/>
    <x v="0"/>
    <x v="1"/>
    <n v="19"/>
    <s v="Other"/>
    <s v="1871"/>
    <x v="2"/>
    <x v="1"/>
    <n v="3"/>
    <n v="2"/>
    <x v="1"/>
    <x v="0"/>
    <x v="2"/>
    <n v="3902"/>
    <x v="1"/>
    <x v="1"/>
    <n v="3"/>
    <n v="7"/>
    <n v="3"/>
    <x v="4"/>
    <n v="2"/>
    <n v="2"/>
    <n v="2"/>
    <x v="0"/>
    <x v="0"/>
    <x v="1"/>
  </r>
  <r>
    <n v="55"/>
    <s v="No"/>
    <n v="0"/>
    <x v="0"/>
    <x v="1"/>
    <n v="2"/>
    <s v="Technical Degree"/>
    <s v="1873"/>
    <x v="0"/>
    <x v="1"/>
    <n v="2"/>
    <n v="1"/>
    <x v="1"/>
    <x v="0"/>
    <x v="1"/>
    <n v="2662"/>
    <x v="1"/>
    <x v="1"/>
    <n v="4"/>
    <n v="19"/>
    <n v="4"/>
    <x v="8"/>
    <n v="2"/>
    <n v="0"/>
    <n v="4"/>
    <x v="1"/>
    <x v="2"/>
    <x v="1"/>
  </r>
  <r>
    <n v="28"/>
    <s v="No"/>
    <n v="0"/>
    <x v="0"/>
    <x v="0"/>
    <n v="3"/>
    <s v="Medical"/>
    <s v="1875"/>
    <x v="0"/>
    <x v="0"/>
    <n v="3"/>
    <n v="1"/>
    <x v="6"/>
    <x v="1"/>
    <x v="1"/>
    <n v="2856"/>
    <x v="1"/>
    <x v="1"/>
    <n v="3"/>
    <n v="1"/>
    <n v="3"/>
    <x v="6"/>
    <n v="0"/>
    <n v="0"/>
    <n v="0"/>
    <x v="2"/>
    <x v="1"/>
    <x v="1"/>
  </r>
  <r>
    <n v="30"/>
    <s v="Yes"/>
    <n v="1"/>
    <x v="0"/>
    <x v="0"/>
    <n v="9"/>
    <s v="Medical"/>
    <s v="1876"/>
    <x v="0"/>
    <x v="1"/>
    <n v="3"/>
    <n v="1"/>
    <x v="6"/>
    <x v="0"/>
    <x v="0"/>
    <n v="1081"/>
    <x v="1"/>
    <x v="1"/>
    <n v="3"/>
    <n v="1"/>
    <n v="2"/>
    <x v="6"/>
    <n v="0"/>
    <n v="0"/>
    <n v="0"/>
    <x v="2"/>
    <x v="1"/>
    <x v="1"/>
  </r>
  <r>
    <n v="22"/>
    <s v="Yes"/>
    <n v="1"/>
    <x v="0"/>
    <x v="1"/>
    <n v="7"/>
    <s v="Life Sciences"/>
    <s v="1878"/>
    <x v="2"/>
    <x v="1"/>
    <n v="3"/>
    <n v="1"/>
    <x v="1"/>
    <x v="1"/>
    <x v="0"/>
    <n v="2472"/>
    <x v="1"/>
    <x v="0"/>
    <n v="4"/>
    <n v="1"/>
    <n v="3"/>
    <x v="6"/>
    <n v="0"/>
    <n v="0"/>
    <n v="0"/>
    <x v="3"/>
    <x v="1"/>
    <x v="1"/>
  </r>
  <r>
    <n v="36"/>
    <s v="No"/>
    <n v="0"/>
    <x v="0"/>
    <x v="0"/>
    <n v="10"/>
    <s v="Technical Degree"/>
    <s v="1880"/>
    <x v="0"/>
    <x v="0"/>
    <n v="2"/>
    <n v="2"/>
    <x v="0"/>
    <x v="2"/>
    <x v="1"/>
    <n v="5673"/>
    <x v="0"/>
    <x v="0"/>
    <n v="3"/>
    <n v="10"/>
    <n v="3"/>
    <x v="1"/>
    <n v="9"/>
    <n v="1"/>
    <n v="7"/>
    <x v="0"/>
    <x v="0"/>
    <x v="0"/>
  </r>
  <r>
    <n v="31"/>
    <s v="No"/>
    <n v="0"/>
    <x v="0"/>
    <x v="1"/>
    <n v="20"/>
    <s v="Life Sciences"/>
    <s v="1881"/>
    <x v="0"/>
    <x v="1"/>
    <n v="3"/>
    <n v="2"/>
    <x v="2"/>
    <x v="2"/>
    <x v="2"/>
    <n v="4197"/>
    <x v="1"/>
    <x v="1"/>
    <n v="3"/>
    <n v="10"/>
    <n v="3"/>
    <x v="1"/>
    <n v="8"/>
    <n v="0"/>
    <n v="2"/>
    <x v="2"/>
    <x v="0"/>
    <x v="0"/>
  </r>
  <r>
    <n v="34"/>
    <s v="No"/>
    <n v="0"/>
    <x v="0"/>
    <x v="0"/>
    <n v="4"/>
    <s v="Life Sciences"/>
    <s v="1882"/>
    <x v="1"/>
    <x v="1"/>
    <n v="3"/>
    <n v="3"/>
    <x v="0"/>
    <x v="0"/>
    <x v="1"/>
    <n v="9713"/>
    <x v="0"/>
    <x v="0"/>
    <n v="3"/>
    <n v="9"/>
    <n v="3"/>
    <x v="8"/>
    <n v="3"/>
    <n v="1"/>
    <n v="0"/>
    <x v="2"/>
    <x v="0"/>
    <x v="1"/>
  </r>
  <r>
    <n v="29"/>
    <s v="No"/>
    <n v="0"/>
    <x v="0"/>
    <x v="1"/>
    <n v="7"/>
    <s v="Life Sciences"/>
    <s v="1883"/>
    <x v="2"/>
    <x v="1"/>
    <n v="3"/>
    <n v="1"/>
    <x v="2"/>
    <x v="3"/>
    <x v="0"/>
    <n v="2062"/>
    <x v="1"/>
    <x v="1"/>
    <n v="3"/>
    <n v="11"/>
    <n v="3"/>
    <x v="11"/>
    <n v="2"/>
    <n v="1"/>
    <n v="2"/>
    <x v="2"/>
    <x v="0"/>
    <x v="1"/>
  </r>
  <r>
    <n v="37"/>
    <s v="No"/>
    <n v="0"/>
    <x v="0"/>
    <x v="1"/>
    <n v="7"/>
    <s v="Medical"/>
    <s v="1885"/>
    <x v="2"/>
    <x v="1"/>
    <n v="3"/>
    <n v="2"/>
    <x v="1"/>
    <x v="3"/>
    <x v="1"/>
    <n v="4284"/>
    <x v="1"/>
    <x v="0"/>
    <n v="4"/>
    <n v="16"/>
    <n v="3"/>
    <x v="8"/>
    <n v="3"/>
    <n v="0"/>
    <n v="4"/>
    <x v="0"/>
    <x v="2"/>
    <x v="1"/>
  </r>
  <r>
    <n v="35"/>
    <s v="No"/>
    <n v="0"/>
    <x v="0"/>
    <x v="1"/>
    <n v="16"/>
    <s v="Other"/>
    <s v="1886"/>
    <x v="2"/>
    <x v="0"/>
    <n v="2"/>
    <n v="2"/>
    <x v="3"/>
    <x v="1"/>
    <x v="1"/>
    <n v="4788"/>
    <x v="1"/>
    <x v="0"/>
    <n v="3"/>
    <n v="4"/>
    <n v="3"/>
    <x v="11"/>
    <n v="2"/>
    <n v="0"/>
    <n v="2"/>
    <x v="2"/>
    <x v="1"/>
    <x v="1"/>
  </r>
  <r>
    <n v="45"/>
    <s v="No"/>
    <n v="0"/>
    <x v="0"/>
    <x v="1"/>
    <n v="25"/>
    <s v="Life Sciences"/>
    <s v="1888"/>
    <x v="0"/>
    <x v="0"/>
    <n v="2"/>
    <n v="2"/>
    <x v="3"/>
    <x v="0"/>
    <x v="1"/>
    <n v="5906"/>
    <x v="0"/>
    <x v="1"/>
    <n v="3"/>
    <n v="10"/>
    <n v="2"/>
    <x v="7"/>
    <n v="8"/>
    <n v="3"/>
    <n v="8"/>
    <x v="0"/>
    <x v="0"/>
    <x v="0"/>
  </r>
  <r>
    <n v="36"/>
    <s v="No"/>
    <n v="0"/>
    <x v="1"/>
    <x v="2"/>
    <n v="2"/>
    <s v="Human Resources"/>
    <s v="1890"/>
    <x v="0"/>
    <x v="1"/>
    <n v="2"/>
    <n v="2"/>
    <x v="8"/>
    <x v="0"/>
    <x v="0"/>
    <n v="3886"/>
    <x v="1"/>
    <x v="1"/>
    <n v="4"/>
    <n v="10"/>
    <n v="2"/>
    <x v="1"/>
    <n v="1"/>
    <n v="0"/>
    <n v="8"/>
    <x v="0"/>
    <x v="0"/>
    <x v="0"/>
  </r>
  <r>
    <n v="40"/>
    <s v="No"/>
    <n v="0"/>
    <x v="0"/>
    <x v="1"/>
    <n v="1"/>
    <s v="Life Sciences"/>
    <s v="1892"/>
    <x v="3"/>
    <x v="1"/>
    <n v="3"/>
    <n v="4"/>
    <x v="5"/>
    <x v="3"/>
    <x v="2"/>
    <n v="16823"/>
    <x v="2"/>
    <x v="1"/>
    <n v="3"/>
    <n v="22"/>
    <n v="3"/>
    <x v="27"/>
    <n v="7"/>
    <n v="11"/>
    <n v="16"/>
    <x v="0"/>
    <x v="2"/>
    <x v="2"/>
  </r>
  <r>
    <n v="26"/>
    <s v="No"/>
    <n v="0"/>
    <x v="0"/>
    <x v="1"/>
    <n v="1"/>
    <s v="Life Sciences"/>
    <s v="1893"/>
    <x v="0"/>
    <x v="0"/>
    <n v="2"/>
    <n v="1"/>
    <x v="1"/>
    <x v="2"/>
    <x v="1"/>
    <n v="2933"/>
    <x v="1"/>
    <x v="0"/>
    <n v="3"/>
    <n v="1"/>
    <n v="2"/>
    <x v="6"/>
    <n v="0"/>
    <n v="1"/>
    <n v="0"/>
    <x v="2"/>
    <x v="1"/>
    <x v="1"/>
  </r>
  <r>
    <n v="27"/>
    <s v="No"/>
    <n v="0"/>
    <x v="0"/>
    <x v="0"/>
    <n v="2"/>
    <s v="Medical"/>
    <s v="1898"/>
    <x v="3"/>
    <x v="0"/>
    <n v="4"/>
    <n v="2"/>
    <x v="0"/>
    <x v="2"/>
    <x v="0"/>
    <n v="6500"/>
    <x v="0"/>
    <x v="1"/>
    <n v="3"/>
    <n v="9"/>
    <n v="2"/>
    <x v="3"/>
    <n v="7"/>
    <n v="0"/>
    <n v="7"/>
    <x v="2"/>
    <x v="0"/>
    <x v="0"/>
  </r>
  <r>
    <n v="48"/>
    <s v="No"/>
    <n v="0"/>
    <x v="1"/>
    <x v="1"/>
    <n v="22"/>
    <s v="Medical"/>
    <s v="1900"/>
    <x v="2"/>
    <x v="0"/>
    <n v="3"/>
    <n v="4"/>
    <x v="5"/>
    <x v="0"/>
    <x v="2"/>
    <n v="17174"/>
    <x v="2"/>
    <x v="1"/>
    <n v="3"/>
    <n v="24"/>
    <n v="3"/>
    <x v="14"/>
    <n v="17"/>
    <n v="4"/>
    <n v="7"/>
    <x v="1"/>
    <x v="2"/>
    <x v="2"/>
  </r>
  <r>
    <n v="44"/>
    <s v="No"/>
    <n v="0"/>
    <x v="0"/>
    <x v="1"/>
    <n v="1"/>
    <s v="Life Sciences"/>
    <s v="1903"/>
    <x v="0"/>
    <x v="1"/>
    <n v="4"/>
    <n v="2"/>
    <x v="4"/>
    <x v="3"/>
    <x v="1"/>
    <n v="5033"/>
    <x v="0"/>
    <x v="1"/>
    <n v="3"/>
    <n v="10"/>
    <n v="3"/>
    <x v="4"/>
    <n v="0"/>
    <n v="2"/>
    <n v="2"/>
    <x v="0"/>
    <x v="0"/>
    <x v="1"/>
  </r>
  <r>
    <n v="34"/>
    <s v="Yes"/>
    <n v="1"/>
    <x v="2"/>
    <x v="1"/>
    <n v="16"/>
    <s v="Technical Degree"/>
    <s v="1905"/>
    <x v="2"/>
    <x v="1"/>
    <n v="1"/>
    <n v="1"/>
    <x v="1"/>
    <x v="3"/>
    <x v="1"/>
    <n v="2307"/>
    <x v="1"/>
    <x v="0"/>
    <n v="4"/>
    <n v="5"/>
    <n v="3"/>
    <x v="8"/>
    <n v="2"/>
    <n v="3"/>
    <n v="0"/>
    <x v="2"/>
    <x v="1"/>
    <x v="1"/>
  </r>
  <r>
    <n v="56"/>
    <s v="Yes"/>
    <n v="1"/>
    <x v="0"/>
    <x v="1"/>
    <n v="24"/>
    <s v="Life Sciences"/>
    <s v="1907"/>
    <x v="3"/>
    <x v="1"/>
    <n v="3"/>
    <n v="1"/>
    <x v="2"/>
    <x v="0"/>
    <x v="0"/>
    <n v="2587"/>
    <x v="1"/>
    <x v="1"/>
    <n v="3"/>
    <n v="5"/>
    <n v="3"/>
    <x v="9"/>
    <n v="2"/>
    <n v="1"/>
    <n v="0"/>
    <x v="1"/>
    <x v="1"/>
    <x v="1"/>
  </r>
  <r>
    <n v="36"/>
    <s v="No"/>
    <n v="0"/>
    <x v="0"/>
    <x v="0"/>
    <n v="17"/>
    <s v="Marketing"/>
    <s v="1908"/>
    <x v="1"/>
    <x v="1"/>
    <n v="2"/>
    <n v="2"/>
    <x v="0"/>
    <x v="1"/>
    <x v="1"/>
    <n v="5507"/>
    <x v="0"/>
    <x v="1"/>
    <n v="3"/>
    <n v="12"/>
    <n v="1"/>
    <x v="9"/>
    <n v="2"/>
    <n v="1"/>
    <n v="3"/>
    <x v="0"/>
    <x v="0"/>
    <x v="1"/>
  </r>
  <r>
    <n v="41"/>
    <s v="No"/>
    <n v="0"/>
    <x v="0"/>
    <x v="0"/>
    <n v="8"/>
    <s v="Marketing"/>
    <s v="1909"/>
    <x v="1"/>
    <x v="0"/>
    <n v="3"/>
    <n v="2"/>
    <x v="0"/>
    <x v="1"/>
    <x v="1"/>
    <n v="4393"/>
    <x v="1"/>
    <x v="1"/>
    <n v="4"/>
    <n v="14"/>
    <n v="3"/>
    <x v="8"/>
    <n v="4"/>
    <n v="1"/>
    <n v="4"/>
    <x v="0"/>
    <x v="0"/>
    <x v="1"/>
  </r>
  <r>
    <n v="42"/>
    <s v="No"/>
    <n v="0"/>
    <x v="0"/>
    <x v="1"/>
    <n v="6"/>
    <s v="Medical"/>
    <s v="1911"/>
    <x v="1"/>
    <x v="1"/>
    <n v="3"/>
    <n v="3"/>
    <x v="7"/>
    <x v="3"/>
    <x v="1"/>
    <n v="13348"/>
    <x v="2"/>
    <x v="1"/>
    <n v="3"/>
    <n v="18"/>
    <n v="4"/>
    <x v="20"/>
    <n v="7"/>
    <n v="5"/>
    <n v="7"/>
    <x v="0"/>
    <x v="2"/>
    <x v="2"/>
  </r>
  <r>
    <n v="31"/>
    <s v="No"/>
    <n v="0"/>
    <x v="0"/>
    <x v="0"/>
    <n v="10"/>
    <s v="Medical"/>
    <s v="1912"/>
    <x v="1"/>
    <x v="0"/>
    <n v="3"/>
    <n v="2"/>
    <x v="0"/>
    <x v="0"/>
    <x v="2"/>
    <n v="6583"/>
    <x v="0"/>
    <x v="0"/>
    <n v="3"/>
    <n v="8"/>
    <n v="3"/>
    <x v="8"/>
    <n v="2"/>
    <n v="1"/>
    <n v="4"/>
    <x v="2"/>
    <x v="0"/>
    <x v="1"/>
  </r>
  <r>
    <n v="34"/>
    <s v="No"/>
    <n v="0"/>
    <x v="0"/>
    <x v="0"/>
    <n v="3"/>
    <s v="Medical"/>
    <s v="1915"/>
    <x v="2"/>
    <x v="0"/>
    <n v="2"/>
    <n v="2"/>
    <x v="0"/>
    <x v="0"/>
    <x v="1"/>
    <n v="8103"/>
    <x v="0"/>
    <x v="0"/>
    <n v="3"/>
    <n v="9"/>
    <n v="2"/>
    <x v="9"/>
    <n v="2"/>
    <n v="0"/>
    <n v="1"/>
    <x v="2"/>
    <x v="0"/>
    <x v="1"/>
  </r>
  <r>
    <n v="31"/>
    <s v="No"/>
    <n v="0"/>
    <x v="0"/>
    <x v="1"/>
    <n v="4"/>
    <s v="Medical"/>
    <s v="1916"/>
    <x v="3"/>
    <x v="0"/>
    <n v="4"/>
    <n v="1"/>
    <x v="2"/>
    <x v="2"/>
    <x v="2"/>
    <n v="3978"/>
    <x v="1"/>
    <x v="1"/>
    <n v="3"/>
    <n v="4"/>
    <n v="2"/>
    <x v="4"/>
    <n v="2"/>
    <n v="2"/>
    <n v="2"/>
    <x v="2"/>
    <x v="1"/>
    <x v="1"/>
  </r>
  <r>
    <n v="26"/>
    <s v="No"/>
    <n v="0"/>
    <x v="1"/>
    <x v="1"/>
    <n v="6"/>
    <s v="Other"/>
    <s v="1918"/>
    <x v="1"/>
    <x v="1"/>
    <n v="4"/>
    <n v="1"/>
    <x v="2"/>
    <x v="0"/>
    <x v="1"/>
    <n v="2544"/>
    <x v="1"/>
    <x v="1"/>
    <n v="3"/>
    <n v="8"/>
    <n v="3"/>
    <x v="5"/>
    <n v="7"/>
    <n v="7"/>
    <n v="7"/>
    <x v="2"/>
    <x v="0"/>
    <x v="0"/>
  </r>
  <r>
    <n v="45"/>
    <s v="No"/>
    <n v="0"/>
    <x v="1"/>
    <x v="1"/>
    <n v="1"/>
    <s v="Medical"/>
    <s v="1922"/>
    <x v="0"/>
    <x v="1"/>
    <n v="3"/>
    <n v="2"/>
    <x v="4"/>
    <x v="2"/>
    <x v="0"/>
    <n v="5399"/>
    <x v="0"/>
    <x v="1"/>
    <n v="3"/>
    <n v="12"/>
    <n v="3"/>
    <x v="9"/>
    <n v="2"/>
    <n v="0"/>
    <n v="3"/>
    <x v="0"/>
    <x v="0"/>
    <x v="1"/>
  </r>
  <r>
    <n v="33"/>
    <s v="No"/>
    <n v="0"/>
    <x v="0"/>
    <x v="0"/>
    <n v="10"/>
    <s v="Marketing"/>
    <s v="1924"/>
    <x v="0"/>
    <x v="1"/>
    <n v="3"/>
    <n v="2"/>
    <x v="0"/>
    <x v="2"/>
    <x v="0"/>
    <n v="5487"/>
    <x v="0"/>
    <x v="1"/>
    <n v="3"/>
    <n v="10"/>
    <n v="2"/>
    <x v="1"/>
    <n v="4"/>
    <n v="0"/>
    <n v="9"/>
    <x v="2"/>
    <x v="0"/>
    <x v="0"/>
  </r>
  <r>
    <n v="28"/>
    <s v="No"/>
    <n v="0"/>
    <x v="1"/>
    <x v="0"/>
    <n v="1"/>
    <s v="Life Sciences"/>
    <s v="1927"/>
    <x v="1"/>
    <x v="1"/>
    <n v="2"/>
    <n v="2"/>
    <x v="0"/>
    <x v="0"/>
    <x v="1"/>
    <n v="6834"/>
    <x v="0"/>
    <x v="0"/>
    <n v="3"/>
    <n v="7"/>
    <n v="3"/>
    <x v="5"/>
    <n v="7"/>
    <n v="0"/>
    <n v="7"/>
    <x v="2"/>
    <x v="0"/>
    <x v="0"/>
  </r>
  <r>
    <n v="29"/>
    <s v="Yes"/>
    <n v="1"/>
    <x v="1"/>
    <x v="0"/>
    <n v="24"/>
    <s v="Technical Degree"/>
    <s v="1928"/>
    <x v="1"/>
    <x v="1"/>
    <n v="4"/>
    <n v="1"/>
    <x v="6"/>
    <x v="3"/>
    <x v="0"/>
    <n v="1091"/>
    <x v="1"/>
    <x v="1"/>
    <n v="3"/>
    <n v="1"/>
    <n v="3"/>
    <x v="6"/>
    <n v="0"/>
    <n v="0"/>
    <n v="0"/>
    <x v="2"/>
    <x v="1"/>
    <x v="1"/>
  </r>
  <r>
    <n v="39"/>
    <s v="No"/>
    <n v="0"/>
    <x v="2"/>
    <x v="0"/>
    <n v="21"/>
    <s v="Life Sciences"/>
    <s v="1929"/>
    <x v="3"/>
    <x v="0"/>
    <n v="1"/>
    <n v="2"/>
    <x v="0"/>
    <x v="2"/>
    <x v="1"/>
    <n v="5736"/>
    <x v="0"/>
    <x v="1"/>
    <n v="3"/>
    <n v="10"/>
    <n v="3"/>
    <x v="11"/>
    <n v="2"/>
    <n v="1"/>
    <n v="2"/>
    <x v="0"/>
    <x v="0"/>
    <x v="1"/>
  </r>
  <r>
    <n v="27"/>
    <s v="No"/>
    <n v="0"/>
    <x v="0"/>
    <x v="1"/>
    <n v="2"/>
    <s v="Technical Degree"/>
    <s v="1931"/>
    <x v="0"/>
    <x v="1"/>
    <n v="3"/>
    <n v="1"/>
    <x v="1"/>
    <x v="1"/>
    <x v="1"/>
    <n v="2226"/>
    <x v="1"/>
    <x v="1"/>
    <n v="3"/>
    <n v="6"/>
    <n v="2"/>
    <x v="8"/>
    <n v="3"/>
    <n v="1"/>
    <n v="2"/>
    <x v="2"/>
    <x v="0"/>
    <x v="1"/>
  </r>
  <r>
    <n v="34"/>
    <s v="No"/>
    <n v="0"/>
    <x v="1"/>
    <x v="1"/>
    <n v="22"/>
    <s v="Other"/>
    <s v="1932"/>
    <x v="1"/>
    <x v="1"/>
    <n v="2"/>
    <n v="2"/>
    <x v="1"/>
    <x v="0"/>
    <x v="1"/>
    <n v="5747"/>
    <x v="0"/>
    <x v="0"/>
    <n v="3"/>
    <n v="16"/>
    <n v="3"/>
    <x v="15"/>
    <n v="10"/>
    <n v="6"/>
    <n v="11"/>
    <x v="2"/>
    <x v="2"/>
    <x v="2"/>
  </r>
  <r>
    <n v="28"/>
    <s v="Yes"/>
    <n v="1"/>
    <x v="0"/>
    <x v="0"/>
    <n v="13"/>
    <s v="Marketing"/>
    <s v="1933"/>
    <x v="2"/>
    <x v="0"/>
    <n v="3"/>
    <n v="2"/>
    <x v="0"/>
    <x v="2"/>
    <x v="0"/>
    <n v="9854"/>
    <x v="0"/>
    <x v="0"/>
    <n v="3"/>
    <n v="6"/>
    <n v="3"/>
    <x v="4"/>
    <n v="0"/>
    <n v="2"/>
    <n v="2"/>
    <x v="2"/>
    <x v="0"/>
    <x v="1"/>
  </r>
  <r>
    <n v="47"/>
    <s v="No"/>
    <n v="0"/>
    <x v="2"/>
    <x v="1"/>
    <n v="14"/>
    <s v="Technical Degree"/>
    <s v="1934"/>
    <x v="1"/>
    <x v="1"/>
    <n v="3"/>
    <n v="2"/>
    <x v="1"/>
    <x v="1"/>
    <x v="1"/>
    <n v="5467"/>
    <x v="0"/>
    <x v="1"/>
    <n v="3"/>
    <n v="16"/>
    <n v="4"/>
    <x v="3"/>
    <n v="7"/>
    <n v="1"/>
    <n v="7"/>
    <x v="1"/>
    <x v="2"/>
    <x v="0"/>
  </r>
  <r>
    <n v="56"/>
    <s v="No"/>
    <n v="0"/>
    <x v="0"/>
    <x v="0"/>
    <n v="11"/>
    <s v="Marketing"/>
    <s v="1935"/>
    <x v="2"/>
    <x v="0"/>
    <n v="2"/>
    <n v="2"/>
    <x v="0"/>
    <x v="3"/>
    <x v="1"/>
    <n v="5380"/>
    <x v="0"/>
    <x v="1"/>
    <n v="3"/>
    <n v="6"/>
    <n v="3"/>
    <x v="2"/>
    <n v="0"/>
    <n v="0"/>
    <n v="0"/>
    <x v="1"/>
    <x v="0"/>
    <x v="1"/>
  </r>
  <r>
    <n v="39"/>
    <s v="No"/>
    <n v="0"/>
    <x v="0"/>
    <x v="1"/>
    <n v="9"/>
    <s v="Medical"/>
    <s v="1936"/>
    <x v="3"/>
    <x v="1"/>
    <n v="3"/>
    <n v="2"/>
    <x v="3"/>
    <x v="3"/>
    <x v="1"/>
    <n v="5151"/>
    <x v="0"/>
    <x v="1"/>
    <n v="4"/>
    <n v="10"/>
    <n v="3"/>
    <x v="1"/>
    <n v="0"/>
    <n v="7"/>
    <n v="9"/>
    <x v="0"/>
    <x v="0"/>
    <x v="0"/>
  </r>
  <r>
    <n v="38"/>
    <s v="No"/>
    <n v="0"/>
    <x v="1"/>
    <x v="1"/>
    <n v="8"/>
    <s v="Medical"/>
    <s v="1937"/>
    <x v="2"/>
    <x v="0"/>
    <n v="2"/>
    <n v="2"/>
    <x v="1"/>
    <x v="1"/>
    <x v="2"/>
    <n v="2133"/>
    <x v="1"/>
    <x v="0"/>
    <n v="3"/>
    <n v="20"/>
    <n v="3"/>
    <x v="23"/>
    <n v="11"/>
    <n v="0"/>
    <n v="7"/>
    <x v="0"/>
    <x v="2"/>
    <x v="2"/>
  </r>
  <r>
    <n v="58"/>
    <s v="No"/>
    <n v="0"/>
    <x v="0"/>
    <x v="0"/>
    <n v="21"/>
    <s v="Life Sciences"/>
    <s v="1938"/>
    <x v="2"/>
    <x v="0"/>
    <n v="3"/>
    <n v="4"/>
    <x v="5"/>
    <x v="0"/>
    <x v="1"/>
    <n v="17875"/>
    <x v="2"/>
    <x v="0"/>
    <n v="3"/>
    <n v="29"/>
    <n v="2"/>
    <x v="6"/>
    <n v="0"/>
    <n v="0"/>
    <n v="0"/>
    <x v="1"/>
    <x v="2"/>
    <x v="1"/>
  </r>
  <r>
    <n v="32"/>
    <s v="Yes"/>
    <n v="1"/>
    <x v="1"/>
    <x v="1"/>
    <n v="5"/>
    <s v="Life Sciences"/>
    <s v="1939"/>
    <x v="3"/>
    <x v="0"/>
    <n v="4"/>
    <n v="1"/>
    <x v="1"/>
    <x v="2"/>
    <x v="0"/>
    <n v="2432"/>
    <x v="1"/>
    <x v="0"/>
    <n v="3"/>
    <n v="8"/>
    <n v="3"/>
    <x v="9"/>
    <n v="1"/>
    <n v="0"/>
    <n v="3"/>
    <x v="2"/>
    <x v="0"/>
    <x v="1"/>
  </r>
  <r>
    <n v="38"/>
    <s v="No"/>
    <n v="0"/>
    <x v="0"/>
    <x v="1"/>
    <n v="9"/>
    <s v="Life Sciences"/>
    <s v="1940"/>
    <x v="0"/>
    <x v="1"/>
    <n v="3"/>
    <n v="1"/>
    <x v="1"/>
    <x v="0"/>
    <x v="2"/>
    <n v="4771"/>
    <x v="1"/>
    <x v="1"/>
    <n v="3"/>
    <n v="10"/>
    <n v="4"/>
    <x v="8"/>
    <n v="2"/>
    <n v="0"/>
    <n v="3"/>
    <x v="0"/>
    <x v="0"/>
    <x v="1"/>
  </r>
  <r>
    <n v="49"/>
    <s v="No"/>
    <n v="0"/>
    <x v="1"/>
    <x v="1"/>
    <n v="2"/>
    <s v="Life Sciences"/>
    <s v="1941"/>
    <x v="0"/>
    <x v="1"/>
    <n v="3"/>
    <n v="5"/>
    <x v="7"/>
    <x v="0"/>
    <x v="1"/>
    <n v="19161"/>
    <x v="2"/>
    <x v="1"/>
    <n v="3"/>
    <n v="28"/>
    <n v="3"/>
    <x v="8"/>
    <n v="4"/>
    <n v="4"/>
    <n v="3"/>
    <x v="1"/>
    <x v="2"/>
    <x v="1"/>
  </r>
  <r>
    <n v="42"/>
    <s v="No"/>
    <n v="0"/>
    <x v="0"/>
    <x v="0"/>
    <n v="12"/>
    <s v="Marketing"/>
    <s v="1943"/>
    <x v="0"/>
    <x v="1"/>
    <n v="3"/>
    <n v="2"/>
    <x v="0"/>
    <x v="0"/>
    <x v="2"/>
    <n v="5087"/>
    <x v="0"/>
    <x v="0"/>
    <n v="3"/>
    <n v="14"/>
    <n v="3"/>
    <x v="2"/>
    <n v="0"/>
    <n v="0"/>
    <n v="0"/>
    <x v="0"/>
    <x v="0"/>
    <x v="1"/>
  </r>
  <r>
    <n v="27"/>
    <s v="Yes"/>
    <n v="1"/>
    <x v="1"/>
    <x v="2"/>
    <n v="22"/>
    <s v="Human Resources"/>
    <s v="1944"/>
    <x v="3"/>
    <x v="0"/>
    <n v="2"/>
    <n v="1"/>
    <x v="8"/>
    <x v="1"/>
    <x v="1"/>
    <n v="2863"/>
    <x v="1"/>
    <x v="1"/>
    <n v="3"/>
    <n v="1"/>
    <n v="3"/>
    <x v="6"/>
    <n v="0"/>
    <n v="0"/>
    <n v="0"/>
    <x v="2"/>
    <x v="1"/>
    <x v="1"/>
  </r>
  <r>
    <n v="35"/>
    <s v="No"/>
    <n v="0"/>
    <x v="0"/>
    <x v="0"/>
    <n v="18"/>
    <s v="Medical"/>
    <s v="1945"/>
    <x v="0"/>
    <x v="1"/>
    <n v="3"/>
    <n v="2"/>
    <x v="0"/>
    <x v="3"/>
    <x v="1"/>
    <n v="5561"/>
    <x v="0"/>
    <x v="1"/>
    <n v="3"/>
    <n v="6"/>
    <n v="1"/>
    <x v="8"/>
    <n v="3"/>
    <n v="0"/>
    <n v="4"/>
    <x v="2"/>
    <x v="0"/>
    <x v="1"/>
  </r>
  <r>
    <n v="28"/>
    <s v="No"/>
    <n v="0"/>
    <x v="2"/>
    <x v="1"/>
    <n v="16"/>
    <s v="Medical"/>
    <s v="1947"/>
    <x v="1"/>
    <x v="1"/>
    <n v="3"/>
    <n v="1"/>
    <x v="1"/>
    <x v="2"/>
    <x v="0"/>
    <n v="2144"/>
    <x v="1"/>
    <x v="1"/>
    <n v="3"/>
    <n v="5"/>
    <n v="2"/>
    <x v="8"/>
    <n v="3"/>
    <n v="1"/>
    <n v="4"/>
    <x v="2"/>
    <x v="1"/>
    <x v="1"/>
  </r>
  <r>
    <n v="31"/>
    <s v="No"/>
    <n v="0"/>
    <x v="2"/>
    <x v="1"/>
    <n v="3"/>
    <s v="Medical"/>
    <s v="1948"/>
    <x v="1"/>
    <x v="1"/>
    <n v="3"/>
    <n v="1"/>
    <x v="1"/>
    <x v="3"/>
    <x v="2"/>
    <n v="3065"/>
    <x v="1"/>
    <x v="0"/>
    <n v="3"/>
    <n v="4"/>
    <n v="4"/>
    <x v="9"/>
    <n v="2"/>
    <n v="2"/>
    <n v="3"/>
    <x v="2"/>
    <x v="1"/>
    <x v="1"/>
  </r>
  <r>
    <n v="36"/>
    <s v="No"/>
    <n v="0"/>
    <x v="2"/>
    <x v="1"/>
    <n v="9"/>
    <s v="Life Sciences"/>
    <s v="1949"/>
    <x v="3"/>
    <x v="1"/>
    <n v="4"/>
    <n v="1"/>
    <x v="2"/>
    <x v="1"/>
    <x v="1"/>
    <n v="2810"/>
    <x v="1"/>
    <x v="1"/>
    <n v="4"/>
    <n v="5"/>
    <n v="3"/>
    <x v="8"/>
    <n v="4"/>
    <n v="0"/>
    <n v="2"/>
    <x v="0"/>
    <x v="1"/>
    <x v="1"/>
  </r>
  <r>
    <n v="34"/>
    <s v="No"/>
    <n v="0"/>
    <x v="0"/>
    <x v="0"/>
    <n v="1"/>
    <s v="Marketing"/>
    <s v="1950"/>
    <x v="3"/>
    <x v="1"/>
    <n v="3"/>
    <n v="3"/>
    <x v="0"/>
    <x v="0"/>
    <x v="0"/>
    <n v="9888"/>
    <x v="0"/>
    <x v="1"/>
    <n v="4"/>
    <n v="14"/>
    <n v="2"/>
    <x v="13"/>
    <n v="8"/>
    <n v="2"/>
    <n v="1"/>
    <x v="2"/>
    <x v="0"/>
    <x v="2"/>
  </r>
  <r>
    <n v="34"/>
    <s v="No"/>
    <n v="0"/>
    <x v="0"/>
    <x v="0"/>
    <n v="13"/>
    <s v="Medical"/>
    <s v="1951"/>
    <x v="2"/>
    <x v="1"/>
    <n v="3"/>
    <n v="3"/>
    <x v="0"/>
    <x v="2"/>
    <x v="2"/>
    <n v="8628"/>
    <x v="0"/>
    <x v="1"/>
    <n v="3"/>
    <n v="9"/>
    <n v="2"/>
    <x v="3"/>
    <n v="7"/>
    <n v="1"/>
    <n v="1"/>
    <x v="2"/>
    <x v="0"/>
    <x v="0"/>
  </r>
  <r>
    <n v="26"/>
    <s v="No"/>
    <n v="0"/>
    <x v="0"/>
    <x v="1"/>
    <n v="1"/>
    <s v="Medical"/>
    <s v="1952"/>
    <x v="1"/>
    <x v="1"/>
    <n v="3"/>
    <n v="1"/>
    <x v="2"/>
    <x v="3"/>
    <x v="0"/>
    <n v="2867"/>
    <x v="1"/>
    <x v="1"/>
    <n v="3"/>
    <n v="8"/>
    <n v="2"/>
    <x v="5"/>
    <n v="7"/>
    <n v="7"/>
    <n v="6"/>
    <x v="2"/>
    <x v="0"/>
    <x v="0"/>
  </r>
  <r>
    <n v="29"/>
    <s v="No"/>
    <n v="0"/>
    <x v="0"/>
    <x v="1"/>
    <n v="1"/>
    <s v="Life Sciences"/>
    <s v="1954"/>
    <x v="3"/>
    <x v="1"/>
    <n v="3"/>
    <n v="2"/>
    <x v="4"/>
    <x v="3"/>
    <x v="1"/>
    <n v="5373"/>
    <x v="0"/>
    <x v="1"/>
    <n v="3"/>
    <n v="6"/>
    <n v="2"/>
    <x v="8"/>
    <n v="3"/>
    <n v="0"/>
    <n v="2"/>
    <x v="2"/>
    <x v="0"/>
    <x v="1"/>
  </r>
  <r>
    <n v="32"/>
    <s v="No"/>
    <n v="0"/>
    <x v="2"/>
    <x v="1"/>
    <n v="15"/>
    <s v="Medical"/>
    <s v="1955"/>
    <x v="1"/>
    <x v="0"/>
    <n v="3"/>
    <n v="2"/>
    <x v="4"/>
    <x v="0"/>
    <x v="2"/>
    <n v="6667"/>
    <x v="0"/>
    <x v="1"/>
    <n v="3"/>
    <n v="9"/>
    <n v="3"/>
    <x v="8"/>
    <n v="1"/>
    <n v="1"/>
    <n v="2"/>
    <x v="2"/>
    <x v="0"/>
    <x v="1"/>
  </r>
  <r>
    <n v="31"/>
    <s v="No"/>
    <n v="0"/>
    <x v="1"/>
    <x v="1"/>
    <n v="1"/>
    <s v="Life Sciences"/>
    <s v="1956"/>
    <x v="2"/>
    <x v="1"/>
    <n v="1"/>
    <n v="2"/>
    <x v="1"/>
    <x v="3"/>
    <x v="1"/>
    <n v="5003"/>
    <x v="0"/>
    <x v="1"/>
    <n v="4"/>
    <n v="10"/>
    <n v="3"/>
    <x v="1"/>
    <n v="8"/>
    <n v="8"/>
    <n v="7"/>
    <x v="2"/>
    <x v="0"/>
    <x v="0"/>
  </r>
  <r>
    <n v="28"/>
    <s v="Yes"/>
    <n v="1"/>
    <x v="0"/>
    <x v="1"/>
    <n v="17"/>
    <s v="Technical Degree"/>
    <s v="1960"/>
    <x v="1"/>
    <x v="1"/>
    <n v="2"/>
    <n v="1"/>
    <x v="2"/>
    <x v="0"/>
    <x v="2"/>
    <n v="2367"/>
    <x v="1"/>
    <x v="1"/>
    <n v="3"/>
    <n v="6"/>
    <n v="2"/>
    <x v="9"/>
    <n v="1"/>
    <n v="0"/>
    <n v="3"/>
    <x v="2"/>
    <x v="0"/>
    <x v="1"/>
  </r>
  <r>
    <n v="38"/>
    <s v="No"/>
    <n v="0"/>
    <x v="0"/>
    <x v="0"/>
    <n v="1"/>
    <s v="Life Sciences"/>
    <s v="1961"/>
    <x v="3"/>
    <x v="1"/>
    <n v="2"/>
    <n v="1"/>
    <x v="6"/>
    <x v="3"/>
    <x v="0"/>
    <n v="2858"/>
    <x v="1"/>
    <x v="1"/>
    <n v="3"/>
    <n v="20"/>
    <n v="2"/>
    <x v="6"/>
    <n v="0"/>
    <n v="0"/>
    <n v="0"/>
    <x v="0"/>
    <x v="2"/>
    <x v="1"/>
  </r>
  <r>
    <n v="35"/>
    <s v="No"/>
    <n v="0"/>
    <x v="0"/>
    <x v="0"/>
    <n v="7"/>
    <s v="Life Sciences"/>
    <s v="1962"/>
    <x v="1"/>
    <x v="0"/>
    <n v="3"/>
    <n v="2"/>
    <x v="0"/>
    <x v="0"/>
    <x v="1"/>
    <n v="5204"/>
    <x v="0"/>
    <x v="0"/>
    <n v="3"/>
    <n v="10"/>
    <n v="3"/>
    <x v="1"/>
    <n v="8"/>
    <n v="0"/>
    <n v="9"/>
    <x v="2"/>
    <x v="0"/>
    <x v="0"/>
  </r>
  <r>
    <n v="27"/>
    <s v="No"/>
    <n v="0"/>
    <x v="0"/>
    <x v="0"/>
    <n v="9"/>
    <s v="Marketing"/>
    <s v="1965"/>
    <x v="2"/>
    <x v="1"/>
    <n v="3"/>
    <n v="2"/>
    <x v="0"/>
    <x v="0"/>
    <x v="0"/>
    <n v="4105"/>
    <x v="1"/>
    <x v="1"/>
    <n v="3"/>
    <n v="7"/>
    <n v="3"/>
    <x v="5"/>
    <n v="7"/>
    <n v="0"/>
    <n v="7"/>
    <x v="2"/>
    <x v="0"/>
    <x v="0"/>
  </r>
  <r>
    <n v="32"/>
    <s v="No"/>
    <n v="0"/>
    <x v="0"/>
    <x v="1"/>
    <n v="5"/>
    <s v="Life Sciences"/>
    <s v="1966"/>
    <x v="2"/>
    <x v="1"/>
    <n v="2"/>
    <n v="2"/>
    <x v="3"/>
    <x v="0"/>
    <x v="0"/>
    <n v="9679"/>
    <x v="0"/>
    <x v="1"/>
    <n v="4"/>
    <n v="8"/>
    <n v="3"/>
    <x v="6"/>
    <n v="0"/>
    <n v="0"/>
    <n v="0"/>
    <x v="2"/>
    <x v="0"/>
    <x v="1"/>
  </r>
  <r>
    <n v="31"/>
    <s v="Yes"/>
    <n v="1"/>
    <x v="1"/>
    <x v="0"/>
    <n v="26"/>
    <s v="Marketing"/>
    <s v="1967"/>
    <x v="3"/>
    <x v="1"/>
    <n v="3"/>
    <n v="2"/>
    <x v="0"/>
    <x v="0"/>
    <x v="1"/>
    <n v="5617"/>
    <x v="0"/>
    <x v="0"/>
    <n v="3"/>
    <n v="10"/>
    <n v="3"/>
    <x v="1"/>
    <n v="7"/>
    <n v="0"/>
    <n v="8"/>
    <x v="2"/>
    <x v="0"/>
    <x v="0"/>
  </r>
  <r>
    <n v="53"/>
    <s v="Yes"/>
    <n v="1"/>
    <x v="0"/>
    <x v="0"/>
    <n v="24"/>
    <s v="Life Sciences"/>
    <s v="1968"/>
    <x v="3"/>
    <x v="1"/>
    <n v="3"/>
    <n v="3"/>
    <x v="0"/>
    <x v="3"/>
    <x v="0"/>
    <n v="10448"/>
    <x v="0"/>
    <x v="0"/>
    <n v="3"/>
    <n v="15"/>
    <n v="2"/>
    <x v="4"/>
    <n v="2"/>
    <n v="2"/>
    <n v="2"/>
    <x v="1"/>
    <x v="0"/>
    <x v="1"/>
  </r>
  <r>
    <n v="54"/>
    <s v="No"/>
    <n v="0"/>
    <x v="0"/>
    <x v="1"/>
    <n v="9"/>
    <s v="Life Sciences"/>
    <s v="1969"/>
    <x v="3"/>
    <x v="0"/>
    <n v="3"/>
    <n v="2"/>
    <x v="1"/>
    <x v="2"/>
    <x v="1"/>
    <n v="2897"/>
    <x v="1"/>
    <x v="1"/>
    <n v="3"/>
    <n v="9"/>
    <n v="2"/>
    <x v="9"/>
    <n v="3"/>
    <n v="2"/>
    <n v="3"/>
    <x v="1"/>
    <x v="0"/>
    <x v="1"/>
  </r>
  <r>
    <n v="33"/>
    <s v="No"/>
    <n v="0"/>
    <x v="1"/>
    <x v="1"/>
    <n v="7"/>
    <s v="Life Sciences"/>
    <s v="1970"/>
    <x v="2"/>
    <x v="1"/>
    <n v="3"/>
    <n v="2"/>
    <x v="4"/>
    <x v="2"/>
    <x v="2"/>
    <n v="5968"/>
    <x v="0"/>
    <x v="1"/>
    <n v="4"/>
    <n v="9"/>
    <n v="3"/>
    <x v="7"/>
    <n v="7"/>
    <n v="2"/>
    <n v="8"/>
    <x v="2"/>
    <x v="0"/>
    <x v="0"/>
  </r>
  <r>
    <n v="43"/>
    <s v="No"/>
    <n v="0"/>
    <x v="0"/>
    <x v="1"/>
    <n v="11"/>
    <s v="Life Sciences"/>
    <s v="1971"/>
    <x v="3"/>
    <x v="1"/>
    <n v="3"/>
    <n v="3"/>
    <x v="4"/>
    <x v="2"/>
    <x v="1"/>
    <n v="7510"/>
    <x v="0"/>
    <x v="1"/>
    <n v="3"/>
    <n v="10"/>
    <n v="3"/>
    <x v="1"/>
    <n v="9"/>
    <n v="0"/>
    <n v="9"/>
    <x v="0"/>
    <x v="0"/>
    <x v="0"/>
  </r>
  <r>
    <n v="38"/>
    <s v="No"/>
    <n v="0"/>
    <x v="1"/>
    <x v="2"/>
    <n v="1"/>
    <s v="Other"/>
    <s v="1972"/>
    <x v="2"/>
    <x v="1"/>
    <n v="3"/>
    <n v="1"/>
    <x v="8"/>
    <x v="1"/>
    <x v="1"/>
    <n v="2991"/>
    <x v="1"/>
    <x v="0"/>
    <n v="3"/>
    <n v="7"/>
    <n v="3"/>
    <x v="0"/>
    <n v="2"/>
    <n v="1"/>
    <n v="2"/>
    <x v="0"/>
    <x v="0"/>
    <x v="0"/>
  </r>
  <r>
    <n v="55"/>
    <s v="No"/>
    <n v="0"/>
    <x v="0"/>
    <x v="2"/>
    <n v="26"/>
    <s v="Human Resources"/>
    <s v="1973"/>
    <x v="1"/>
    <x v="1"/>
    <n v="4"/>
    <n v="5"/>
    <x v="5"/>
    <x v="1"/>
    <x v="1"/>
    <n v="19636"/>
    <x v="2"/>
    <x v="0"/>
    <n v="3"/>
    <n v="35"/>
    <n v="3"/>
    <x v="1"/>
    <n v="9"/>
    <n v="1"/>
    <n v="4"/>
    <x v="1"/>
    <x v="2"/>
    <x v="0"/>
  </r>
  <r>
    <n v="31"/>
    <s v="No"/>
    <n v="0"/>
    <x v="0"/>
    <x v="1"/>
    <n v="2"/>
    <s v="Medical"/>
    <s v="1974"/>
    <x v="2"/>
    <x v="0"/>
    <n v="1"/>
    <n v="1"/>
    <x v="2"/>
    <x v="0"/>
    <x v="2"/>
    <n v="1129"/>
    <x v="1"/>
    <x v="0"/>
    <n v="3"/>
    <n v="1"/>
    <n v="3"/>
    <x v="6"/>
    <n v="0"/>
    <n v="0"/>
    <n v="0"/>
    <x v="2"/>
    <x v="1"/>
    <x v="1"/>
  </r>
  <r>
    <n v="39"/>
    <s v="No"/>
    <n v="0"/>
    <x v="0"/>
    <x v="0"/>
    <n v="15"/>
    <s v="Marketing"/>
    <s v="1975"/>
    <x v="0"/>
    <x v="1"/>
    <n v="3"/>
    <n v="4"/>
    <x v="0"/>
    <x v="3"/>
    <x v="0"/>
    <n v="13341"/>
    <x v="2"/>
    <x v="1"/>
    <n v="3"/>
    <n v="21"/>
    <n v="3"/>
    <x v="23"/>
    <n v="8"/>
    <n v="11"/>
    <n v="10"/>
    <x v="0"/>
    <x v="2"/>
    <x v="2"/>
  </r>
  <r>
    <n v="42"/>
    <s v="No"/>
    <n v="0"/>
    <x v="2"/>
    <x v="1"/>
    <n v="23"/>
    <s v="Life Sciences"/>
    <s v="1976"/>
    <x v="2"/>
    <x v="1"/>
    <n v="2"/>
    <n v="2"/>
    <x v="1"/>
    <x v="2"/>
    <x v="0"/>
    <n v="4332"/>
    <x v="1"/>
    <x v="1"/>
    <n v="3"/>
    <n v="20"/>
    <n v="3"/>
    <x v="23"/>
    <n v="9"/>
    <n v="3"/>
    <n v="7"/>
    <x v="0"/>
    <x v="2"/>
    <x v="2"/>
  </r>
  <r>
    <n v="31"/>
    <s v="No"/>
    <n v="0"/>
    <x v="2"/>
    <x v="1"/>
    <n v="10"/>
    <s v="Medical"/>
    <s v="1979"/>
    <x v="1"/>
    <x v="0"/>
    <n v="3"/>
    <n v="3"/>
    <x v="7"/>
    <x v="2"/>
    <x v="1"/>
    <n v="11031"/>
    <x v="0"/>
    <x v="1"/>
    <n v="4"/>
    <n v="13"/>
    <n v="4"/>
    <x v="19"/>
    <n v="7"/>
    <n v="4"/>
    <n v="8"/>
    <x v="2"/>
    <x v="0"/>
    <x v="2"/>
  </r>
  <r>
    <n v="54"/>
    <s v="No"/>
    <n v="0"/>
    <x v="0"/>
    <x v="1"/>
    <n v="10"/>
    <s v="Medical"/>
    <s v="1980"/>
    <x v="1"/>
    <x v="0"/>
    <n v="3"/>
    <n v="2"/>
    <x v="3"/>
    <x v="3"/>
    <x v="0"/>
    <n v="4440"/>
    <x v="1"/>
    <x v="0"/>
    <n v="3"/>
    <n v="9"/>
    <n v="3"/>
    <x v="8"/>
    <n v="2"/>
    <n v="1"/>
    <n v="4"/>
    <x v="1"/>
    <x v="0"/>
    <x v="1"/>
  </r>
  <r>
    <n v="24"/>
    <s v="No"/>
    <n v="0"/>
    <x v="0"/>
    <x v="1"/>
    <n v="1"/>
    <s v="Life Sciences"/>
    <s v="1981"/>
    <x v="0"/>
    <x v="1"/>
    <n v="2"/>
    <n v="2"/>
    <x v="4"/>
    <x v="2"/>
    <x v="0"/>
    <n v="4617"/>
    <x v="1"/>
    <x v="1"/>
    <n v="3"/>
    <n v="4"/>
    <n v="2"/>
    <x v="9"/>
    <n v="3"/>
    <n v="1"/>
    <n v="2"/>
    <x v="3"/>
    <x v="1"/>
    <x v="1"/>
  </r>
  <r>
    <n v="23"/>
    <s v="No"/>
    <n v="0"/>
    <x v="0"/>
    <x v="1"/>
    <n v="12"/>
    <s v="Other"/>
    <s v="1982"/>
    <x v="2"/>
    <x v="1"/>
    <n v="3"/>
    <n v="1"/>
    <x v="2"/>
    <x v="0"/>
    <x v="0"/>
    <n v="2647"/>
    <x v="1"/>
    <x v="1"/>
    <n v="3"/>
    <n v="5"/>
    <n v="4"/>
    <x v="8"/>
    <n v="2"/>
    <n v="1"/>
    <n v="4"/>
    <x v="3"/>
    <x v="1"/>
    <x v="1"/>
  </r>
  <r>
    <n v="40"/>
    <s v="No"/>
    <n v="0"/>
    <x v="1"/>
    <x v="1"/>
    <n v="11"/>
    <s v="Technical Degree"/>
    <s v="1985"/>
    <x v="2"/>
    <x v="0"/>
    <n v="3"/>
    <n v="2"/>
    <x v="2"/>
    <x v="2"/>
    <x v="1"/>
    <n v="6323"/>
    <x v="0"/>
    <x v="1"/>
    <n v="3"/>
    <n v="10"/>
    <n v="4"/>
    <x v="1"/>
    <n v="9"/>
    <n v="9"/>
    <n v="4"/>
    <x v="0"/>
    <x v="0"/>
    <x v="0"/>
  </r>
  <r>
    <n v="40"/>
    <s v="No"/>
    <n v="0"/>
    <x v="0"/>
    <x v="0"/>
    <n v="2"/>
    <s v="Marketing"/>
    <s v="1986"/>
    <x v="0"/>
    <x v="0"/>
    <n v="3"/>
    <n v="2"/>
    <x v="0"/>
    <x v="1"/>
    <x v="1"/>
    <n v="5677"/>
    <x v="0"/>
    <x v="1"/>
    <n v="3"/>
    <n v="15"/>
    <n v="3"/>
    <x v="19"/>
    <n v="8"/>
    <n v="5"/>
    <n v="10"/>
    <x v="0"/>
    <x v="0"/>
    <x v="2"/>
  </r>
  <r>
    <n v="25"/>
    <s v="No"/>
    <n v="0"/>
    <x v="0"/>
    <x v="2"/>
    <n v="2"/>
    <s v="Human Resources"/>
    <s v="1987"/>
    <x v="1"/>
    <x v="0"/>
    <n v="3"/>
    <n v="1"/>
    <x v="8"/>
    <x v="1"/>
    <x v="1"/>
    <n v="2187"/>
    <x v="1"/>
    <x v="1"/>
    <n v="3"/>
    <n v="6"/>
    <n v="3"/>
    <x v="4"/>
    <n v="0"/>
    <n v="1"/>
    <n v="2"/>
    <x v="3"/>
    <x v="0"/>
    <x v="1"/>
  </r>
  <r>
    <n v="30"/>
    <s v="No"/>
    <n v="0"/>
    <x v="0"/>
    <x v="1"/>
    <n v="1"/>
    <s v="Medical"/>
    <s v="1989"/>
    <x v="2"/>
    <x v="1"/>
    <n v="3"/>
    <n v="1"/>
    <x v="2"/>
    <x v="1"/>
    <x v="1"/>
    <n v="3748"/>
    <x v="1"/>
    <x v="1"/>
    <n v="3"/>
    <n v="12"/>
    <n v="2"/>
    <x v="12"/>
    <n v="8"/>
    <n v="1"/>
    <n v="7"/>
    <x v="2"/>
    <x v="0"/>
    <x v="2"/>
  </r>
  <r>
    <n v="25"/>
    <s v="No"/>
    <n v="0"/>
    <x v="0"/>
    <x v="1"/>
    <n v="2"/>
    <s v="Other"/>
    <s v="1992"/>
    <x v="2"/>
    <x v="1"/>
    <n v="3"/>
    <n v="1"/>
    <x v="2"/>
    <x v="2"/>
    <x v="2"/>
    <n v="3977"/>
    <x v="1"/>
    <x v="0"/>
    <n v="3"/>
    <n v="7"/>
    <n v="2"/>
    <x v="4"/>
    <n v="2"/>
    <n v="0"/>
    <n v="2"/>
    <x v="3"/>
    <x v="0"/>
    <x v="1"/>
  </r>
  <r>
    <n v="47"/>
    <s v="No"/>
    <n v="0"/>
    <x v="0"/>
    <x v="1"/>
    <n v="25"/>
    <s v="Medical"/>
    <s v="1993"/>
    <x v="3"/>
    <x v="1"/>
    <n v="3"/>
    <n v="3"/>
    <x v="4"/>
    <x v="2"/>
    <x v="0"/>
    <n v="8633"/>
    <x v="0"/>
    <x v="1"/>
    <n v="4"/>
    <n v="25"/>
    <n v="3"/>
    <x v="18"/>
    <n v="14"/>
    <n v="12"/>
    <n v="11"/>
    <x v="1"/>
    <x v="2"/>
    <x v="2"/>
  </r>
  <r>
    <n v="33"/>
    <s v="No"/>
    <n v="0"/>
    <x v="2"/>
    <x v="1"/>
    <n v="1"/>
    <s v="Medical"/>
    <s v="1994"/>
    <x v="0"/>
    <x v="1"/>
    <n v="2"/>
    <n v="1"/>
    <x v="2"/>
    <x v="2"/>
    <x v="2"/>
    <n v="2008"/>
    <x v="1"/>
    <x v="1"/>
    <n v="3"/>
    <n v="1"/>
    <n v="2"/>
    <x v="6"/>
    <n v="1"/>
    <n v="0"/>
    <n v="0"/>
    <x v="2"/>
    <x v="1"/>
    <x v="1"/>
  </r>
  <r>
    <n v="38"/>
    <s v="No"/>
    <n v="0"/>
    <x v="0"/>
    <x v="0"/>
    <n v="1"/>
    <s v="Life Sciences"/>
    <s v="1995"/>
    <x v="2"/>
    <x v="1"/>
    <n v="3"/>
    <n v="2"/>
    <x v="0"/>
    <x v="1"/>
    <x v="1"/>
    <n v="4440"/>
    <x v="1"/>
    <x v="1"/>
    <n v="3"/>
    <n v="16"/>
    <n v="3"/>
    <x v="15"/>
    <n v="13"/>
    <n v="5"/>
    <n v="8"/>
    <x v="0"/>
    <x v="2"/>
    <x v="2"/>
  </r>
  <r>
    <n v="31"/>
    <s v="No"/>
    <n v="0"/>
    <x v="0"/>
    <x v="0"/>
    <n v="2"/>
    <s v="Life Sciences"/>
    <s v="1996"/>
    <x v="3"/>
    <x v="1"/>
    <n v="3"/>
    <n v="1"/>
    <x v="6"/>
    <x v="2"/>
    <x v="1"/>
    <n v="3067"/>
    <x v="1"/>
    <x v="1"/>
    <n v="3"/>
    <n v="3"/>
    <n v="3"/>
    <x v="4"/>
    <n v="2"/>
    <n v="1"/>
    <n v="2"/>
    <x v="2"/>
    <x v="1"/>
    <x v="1"/>
  </r>
  <r>
    <n v="38"/>
    <s v="No"/>
    <n v="0"/>
    <x v="1"/>
    <x v="1"/>
    <n v="6"/>
    <s v="Life Sciences"/>
    <s v="1997"/>
    <x v="3"/>
    <x v="1"/>
    <n v="2"/>
    <n v="2"/>
    <x v="3"/>
    <x v="2"/>
    <x v="1"/>
    <n v="5321"/>
    <x v="0"/>
    <x v="1"/>
    <n v="3"/>
    <n v="10"/>
    <n v="3"/>
    <x v="3"/>
    <n v="3"/>
    <n v="7"/>
    <n v="7"/>
    <x v="0"/>
    <x v="0"/>
    <x v="0"/>
  </r>
  <r>
    <n v="42"/>
    <s v="No"/>
    <n v="0"/>
    <x v="0"/>
    <x v="1"/>
    <n v="18"/>
    <s v="Life Sciences"/>
    <s v="1998"/>
    <x v="2"/>
    <x v="1"/>
    <n v="3"/>
    <n v="2"/>
    <x v="1"/>
    <x v="3"/>
    <x v="2"/>
    <n v="5410"/>
    <x v="0"/>
    <x v="0"/>
    <n v="3"/>
    <n v="9"/>
    <n v="2"/>
    <x v="9"/>
    <n v="3"/>
    <n v="1"/>
    <n v="2"/>
    <x v="0"/>
    <x v="0"/>
    <x v="1"/>
  </r>
  <r>
    <n v="41"/>
    <s v="No"/>
    <n v="0"/>
    <x v="0"/>
    <x v="1"/>
    <n v="1"/>
    <s v="Life Sciences"/>
    <s v="1999"/>
    <x v="2"/>
    <x v="1"/>
    <n v="3"/>
    <n v="1"/>
    <x v="1"/>
    <x v="0"/>
    <x v="1"/>
    <n v="2782"/>
    <x v="1"/>
    <x v="1"/>
    <n v="4"/>
    <n v="12"/>
    <n v="3"/>
    <x v="8"/>
    <n v="3"/>
    <n v="1"/>
    <n v="0"/>
    <x v="0"/>
    <x v="0"/>
    <x v="1"/>
  </r>
  <r>
    <n v="47"/>
    <s v="No"/>
    <n v="0"/>
    <x v="2"/>
    <x v="1"/>
    <n v="1"/>
    <s v="Medical"/>
    <s v="2000"/>
    <x v="1"/>
    <x v="0"/>
    <n v="3"/>
    <n v="3"/>
    <x v="7"/>
    <x v="1"/>
    <x v="1"/>
    <n v="11957"/>
    <x v="0"/>
    <x v="1"/>
    <n v="3"/>
    <n v="14"/>
    <n v="1"/>
    <x v="20"/>
    <n v="8"/>
    <n v="5"/>
    <n v="12"/>
    <x v="1"/>
    <x v="0"/>
    <x v="2"/>
  </r>
  <r>
    <n v="35"/>
    <s v="No"/>
    <n v="0"/>
    <x v="0"/>
    <x v="1"/>
    <n v="11"/>
    <s v="Medical"/>
    <s v="2003"/>
    <x v="2"/>
    <x v="1"/>
    <n v="3"/>
    <n v="1"/>
    <x v="2"/>
    <x v="2"/>
    <x v="1"/>
    <n v="2660"/>
    <x v="1"/>
    <x v="0"/>
    <n v="3"/>
    <n v="5"/>
    <n v="3"/>
    <x v="4"/>
    <n v="2"/>
    <n v="2"/>
    <n v="2"/>
    <x v="2"/>
    <x v="1"/>
    <x v="1"/>
  </r>
  <r>
    <n v="22"/>
    <s v="No"/>
    <n v="0"/>
    <x v="0"/>
    <x v="1"/>
    <n v="1"/>
    <s v="Life Sciences"/>
    <s v="2007"/>
    <x v="2"/>
    <x v="1"/>
    <n v="3"/>
    <n v="1"/>
    <x v="1"/>
    <x v="2"/>
    <x v="0"/>
    <n v="3375"/>
    <x v="1"/>
    <x v="1"/>
    <n v="3"/>
    <n v="4"/>
    <n v="4"/>
    <x v="11"/>
    <n v="2"/>
    <n v="1"/>
    <n v="2"/>
    <x v="3"/>
    <x v="1"/>
    <x v="1"/>
  </r>
  <r>
    <n v="35"/>
    <s v="No"/>
    <n v="0"/>
    <x v="0"/>
    <x v="1"/>
    <n v="9"/>
    <s v="Medical"/>
    <s v="2008"/>
    <x v="0"/>
    <x v="1"/>
    <n v="3"/>
    <n v="2"/>
    <x v="1"/>
    <x v="2"/>
    <x v="0"/>
    <n v="5098"/>
    <x v="0"/>
    <x v="1"/>
    <n v="3"/>
    <n v="10"/>
    <n v="3"/>
    <x v="1"/>
    <n v="7"/>
    <n v="0"/>
    <n v="8"/>
    <x v="2"/>
    <x v="0"/>
    <x v="0"/>
  </r>
  <r>
    <n v="33"/>
    <s v="No"/>
    <n v="0"/>
    <x v="0"/>
    <x v="1"/>
    <n v="15"/>
    <s v="Medical"/>
    <s v="2009"/>
    <x v="0"/>
    <x v="0"/>
    <n v="3"/>
    <n v="2"/>
    <x v="4"/>
    <x v="0"/>
    <x v="1"/>
    <n v="4878"/>
    <x v="1"/>
    <x v="0"/>
    <n v="3"/>
    <n v="10"/>
    <n v="3"/>
    <x v="7"/>
    <n v="7"/>
    <n v="8"/>
    <n v="1"/>
    <x v="2"/>
    <x v="0"/>
    <x v="0"/>
  </r>
  <r>
    <n v="32"/>
    <s v="No"/>
    <n v="0"/>
    <x v="0"/>
    <x v="1"/>
    <n v="29"/>
    <s v="Life Sciences"/>
    <s v="2010"/>
    <x v="1"/>
    <x v="0"/>
    <n v="2"/>
    <n v="1"/>
    <x v="2"/>
    <x v="1"/>
    <x v="0"/>
    <n v="2837"/>
    <x v="1"/>
    <x v="1"/>
    <n v="3"/>
    <n v="6"/>
    <n v="3"/>
    <x v="0"/>
    <n v="2"/>
    <n v="4"/>
    <n v="1"/>
    <x v="2"/>
    <x v="0"/>
    <x v="0"/>
  </r>
  <r>
    <n v="40"/>
    <s v="No"/>
    <n v="0"/>
    <x v="0"/>
    <x v="1"/>
    <n v="1"/>
    <s v="Life Sciences"/>
    <s v="2012"/>
    <x v="3"/>
    <x v="1"/>
    <n v="3"/>
    <n v="1"/>
    <x v="2"/>
    <x v="0"/>
    <x v="1"/>
    <n v="2406"/>
    <x v="1"/>
    <x v="1"/>
    <n v="3"/>
    <n v="8"/>
    <n v="2"/>
    <x v="6"/>
    <n v="0"/>
    <n v="0"/>
    <n v="0"/>
    <x v="0"/>
    <x v="0"/>
    <x v="1"/>
  </r>
  <r>
    <n v="32"/>
    <s v="No"/>
    <n v="0"/>
    <x v="0"/>
    <x v="0"/>
    <n v="1"/>
    <s v="Medical"/>
    <s v="2013"/>
    <x v="0"/>
    <x v="1"/>
    <n v="2"/>
    <n v="1"/>
    <x v="6"/>
    <x v="1"/>
    <x v="1"/>
    <n v="2269"/>
    <x v="1"/>
    <x v="1"/>
    <n v="3"/>
    <n v="3"/>
    <n v="3"/>
    <x v="4"/>
    <n v="2"/>
    <n v="2"/>
    <n v="2"/>
    <x v="2"/>
    <x v="1"/>
    <x v="1"/>
  </r>
  <r>
    <n v="39"/>
    <s v="No"/>
    <n v="0"/>
    <x v="0"/>
    <x v="1"/>
    <n v="24"/>
    <s v="Life Sciences"/>
    <s v="2014"/>
    <x v="3"/>
    <x v="1"/>
    <n v="3"/>
    <n v="2"/>
    <x v="1"/>
    <x v="0"/>
    <x v="0"/>
    <n v="4108"/>
    <x v="1"/>
    <x v="1"/>
    <n v="3"/>
    <n v="18"/>
    <n v="3"/>
    <x v="5"/>
    <n v="7"/>
    <n v="1"/>
    <n v="7"/>
    <x v="0"/>
    <x v="2"/>
    <x v="0"/>
  </r>
  <r>
    <n v="38"/>
    <s v="No"/>
    <n v="0"/>
    <x v="0"/>
    <x v="1"/>
    <n v="10"/>
    <s v="Medical"/>
    <s v="2015"/>
    <x v="0"/>
    <x v="0"/>
    <n v="1"/>
    <n v="3"/>
    <x v="7"/>
    <x v="2"/>
    <x v="1"/>
    <n v="13206"/>
    <x v="2"/>
    <x v="1"/>
    <n v="3"/>
    <n v="20"/>
    <n v="3"/>
    <x v="29"/>
    <n v="16"/>
    <n v="1"/>
    <n v="11"/>
    <x v="0"/>
    <x v="2"/>
    <x v="2"/>
  </r>
  <r>
    <n v="32"/>
    <s v="No"/>
    <n v="0"/>
    <x v="0"/>
    <x v="0"/>
    <n v="1"/>
    <s v="Marketing"/>
    <s v="2016"/>
    <x v="1"/>
    <x v="0"/>
    <n v="3"/>
    <n v="3"/>
    <x v="0"/>
    <x v="0"/>
    <x v="1"/>
    <n v="10422"/>
    <x v="0"/>
    <x v="1"/>
    <n v="3"/>
    <n v="14"/>
    <n v="3"/>
    <x v="13"/>
    <n v="10"/>
    <n v="5"/>
    <n v="7"/>
    <x v="2"/>
    <x v="0"/>
    <x v="2"/>
  </r>
  <r>
    <n v="37"/>
    <s v="No"/>
    <n v="0"/>
    <x v="0"/>
    <x v="1"/>
    <n v="10"/>
    <s v="Life Sciences"/>
    <s v="2017"/>
    <x v="1"/>
    <x v="0"/>
    <n v="4"/>
    <n v="3"/>
    <x v="7"/>
    <x v="0"/>
    <x v="1"/>
    <n v="13744"/>
    <x v="2"/>
    <x v="0"/>
    <n v="4"/>
    <n v="16"/>
    <n v="3"/>
    <x v="22"/>
    <n v="11"/>
    <n v="6"/>
    <n v="8"/>
    <x v="0"/>
    <x v="2"/>
    <x v="2"/>
  </r>
  <r>
    <n v="25"/>
    <s v="No"/>
    <n v="0"/>
    <x v="0"/>
    <x v="0"/>
    <n v="8"/>
    <s v="Other"/>
    <s v="2018"/>
    <x v="3"/>
    <x v="0"/>
    <n v="3"/>
    <n v="2"/>
    <x v="0"/>
    <x v="2"/>
    <x v="2"/>
    <n v="4907"/>
    <x v="1"/>
    <x v="0"/>
    <n v="4"/>
    <n v="6"/>
    <n v="2"/>
    <x v="8"/>
    <n v="3"/>
    <n v="0"/>
    <n v="4"/>
    <x v="3"/>
    <x v="0"/>
    <x v="1"/>
  </r>
  <r>
    <n v="52"/>
    <s v="No"/>
    <n v="0"/>
    <x v="2"/>
    <x v="0"/>
    <n v="29"/>
    <s v="Life Sciences"/>
    <s v="2019"/>
    <x v="3"/>
    <x v="1"/>
    <n v="3"/>
    <n v="1"/>
    <x v="6"/>
    <x v="0"/>
    <x v="2"/>
    <n v="3482"/>
    <x v="1"/>
    <x v="1"/>
    <n v="3"/>
    <n v="16"/>
    <n v="2"/>
    <x v="7"/>
    <n v="8"/>
    <n v="0"/>
    <n v="0"/>
    <x v="1"/>
    <x v="2"/>
    <x v="0"/>
  </r>
  <r>
    <n v="44"/>
    <s v="No"/>
    <n v="0"/>
    <x v="0"/>
    <x v="1"/>
    <n v="1"/>
    <s v="Medical"/>
    <s v="2020"/>
    <x v="0"/>
    <x v="1"/>
    <n v="3"/>
    <n v="1"/>
    <x v="1"/>
    <x v="0"/>
    <x v="0"/>
    <n v="2436"/>
    <x v="1"/>
    <x v="0"/>
    <n v="3"/>
    <n v="6"/>
    <n v="3"/>
    <x v="9"/>
    <n v="3"/>
    <n v="1"/>
    <n v="2"/>
    <x v="0"/>
    <x v="0"/>
    <x v="1"/>
  </r>
  <r>
    <n v="21"/>
    <s v="No"/>
    <n v="0"/>
    <x v="0"/>
    <x v="0"/>
    <n v="5"/>
    <s v="Medical"/>
    <s v="2021"/>
    <x v="1"/>
    <x v="1"/>
    <n v="3"/>
    <n v="1"/>
    <x v="6"/>
    <x v="3"/>
    <x v="0"/>
    <n v="2380"/>
    <x v="1"/>
    <x v="0"/>
    <n v="3"/>
    <n v="2"/>
    <n v="3"/>
    <x v="4"/>
    <n v="2"/>
    <n v="1"/>
    <n v="2"/>
    <x v="3"/>
    <x v="1"/>
    <x v="1"/>
  </r>
  <r>
    <n v="39"/>
    <s v="No"/>
    <n v="0"/>
    <x v="2"/>
    <x v="1"/>
    <n v="9"/>
    <s v="Life Sciences"/>
    <s v="2022"/>
    <x v="2"/>
    <x v="1"/>
    <n v="3"/>
    <n v="5"/>
    <x v="5"/>
    <x v="0"/>
    <x v="0"/>
    <n v="19431"/>
    <x v="2"/>
    <x v="1"/>
    <n v="3"/>
    <n v="21"/>
    <n v="2"/>
    <x v="0"/>
    <n v="0"/>
    <n v="1"/>
    <n v="3"/>
    <x v="0"/>
    <x v="2"/>
    <x v="0"/>
  </r>
  <r>
    <n v="23"/>
    <s v="Yes"/>
    <n v="1"/>
    <x v="1"/>
    <x v="0"/>
    <n v="9"/>
    <s v="Marketing"/>
    <s v="2023"/>
    <x v="2"/>
    <x v="1"/>
    <n v="3"/>
    <n v="1"/>
    <x v="6"/>
    <x v="3"/>
    <x v="1"/>
    <n v="1790"/>
    <x v="1"/>
    <x v="1"/>
    <n v="3"/>
    <n v="1"/>
    <n v="2"/>
    <x v="6"/>
    <n v="0"/>
    <n v="1"/>
    <n v="0"/>
    <x v="3"/>
    <x v="1"/>
    <x v="1"/>
  </r>
  <r>
    <n v="36"/>
    <s v="No"/>
    <n v="0"/>
    <x v="0"/>
    <x v="0"/>
    <n v="3"/>
    <s v="Medical"/>
    <s v="2024"/>
    <x v="3"/>
    <x v="0"/>
    <n v="2"/>
    <n v="3"/>
    <x v="0"/>
    <x v="0"/>
    <x v="1"/>
    <n v="7644"/>
    <x v="0"/>
    <x v="1"/>
    <n v="3"/>
    <n v="10"/>
    <n v="3"/>
    <x v="7"/>
    <n v="7"/>
    <n v="3"/>
    <n v="4"/>
    <x v="0"/>
    <x v="0"/>
    <x v="0"/>
  </r>
  <r>
    <n v="36"/>
    <s v="No"/>
    <n v="0"/>
    <x v="1"/>
    <x v="1"/>
    <n v="4"/>
    <s v="Life Sciences"/>
    <s v="2025"/>
    <x v="2"/>
    <x v="0"/>
    <n v="3"/>
    <n v="2"/>
    <x v="3"/>
    <x v="1"/>
    <x v="2"/>
    <n v="5131"/>
    <x v="0"/>
    <x v="1"/>
    <n v="3"/>
    <n v="18"/>
    <n v="3"/>
    <x v="9"/>
    <n v="2"/>
    <n v="0"/>
    <n v="2"/>
    <x v="0"/>
    <x v="2"/>
    <x v="1"/>
  </r>
  <r>
    <n v="56"/>
    <s v="No"/>
    <n v="0"/>
    <x v="2"/>
    <x v="1"/>
    <n v="1"/>
    <s v="Life Sciences"/>
    <s v="2026"/>
    <x v="1"/>
    <x v="1"/>
    <n v="3"/>
    <n v="2"/>
    <x v="4"/>
    <x v="2"/>
    <x v="2"/>
    <n v="6306"/>
    <x v="0"/>
    <x v="1"/>
    <n v="4"/>
    <n v="13"/>
    <n v="2"/>
    <x v="20"/>
    <n v="12"/>
    <n v="1"/>
    <n v="9"/>
    <x v="1"/>
    <x v="0"/>
    <x v="2"/>
  </r>
  <r>
    <n v="29"/>
    <s v="Yes"/>
    <n v="1"/>
    <x v="0"/>
    <x v="1"/>
    <n v="1"/>
    <s v="Medical"/>
    <s v="2027"/>
    <x v="3"/>
    <x v="1"/>
    <n v="3"/>
    <n v="1"/>
    <x v="1"/>
    <x v="0"/>
    <x v="1"/>
    <n v="4787"/>
    <x v="1"/>
    <x v="0"/>
    <n v="3"/>
    <n v="4"/>
    <n v="4"/>
    <x v="4"/>
    <n v="2"/>
    <n v="2"/>
    <n v="2"/>
    <x v="2"/>
    <x v="1"/>
    <x v="1"/>
  </r>
  <r>
    <n v="42"/>
    <s v="No"/>
    <n v="0"/>
    <x v="0"/>
    <x v="1"/>
    <n v="2"/>
    <s v="Life Sciences"/>
    <s v="2031"/>
    <x v="3"/>
    <x v="1"/>
    <n v="3"/>
    <n v="5"/>
    <x v="5"/>
    <x v="2"/>
    <x v="1"/>
    <n v="18880"/>
    <x v="2"/>
    <x v="1"/>
    <n v="3"/>
    <n v="24"/>
    <n v="2"/>
    <x v="14"/>
    <n v="6"/>
    <n v="4"/>
    <n v="14"/>
    <x v="0"/>
    <x v="2"/>
    <x v="2"/>
  </r>
  <r>
    <n v="56"/>
    <s v="Yes"/>
    <n v="1"/>
    <x v="0"/>
    <x v="1"/>
    <n v="7"/>
    <s v="Technical Degree"/>
    <s v="2032"/>
    <x v="2"/>
    <x v="1"/>
    <n v="3"/>
    <n v="1"/>
    <x v="2"/>
    <x v="2"/>
    <x v="1"/>
    <n v="2339"/>
    <x v="1"/>
    <x v="1"/>
    <n v="3"/>
    <n v="14"/>
    <n v="1"/>
    <x v="1"/>
    <n v="9"/>
    <n v="9"/>
    <n v="8"/>
    <x v="1"/>
    <x v="0"/>
    <x v="0"/>
  </r>
  <r>
    <n v="41"/>
    <s v="No"/>
    <n v="0"/>
    <x v="0"/>
    <x v="1"/>
    <n v="28"/>
    <s v="Life Sciences"/>
    <s v="2034"/>
    <x v="3"/>
    <x v="0"/>
    <n v="2"/>
    <n v="4"/>
    <x v="3"/>
    <x v="1"/>
    <x v="1"/>
    <n v="13570"/>
    <x v="2"/>
    <x v="1"/>
    <n v="4"/>
    <n v="21"/>
    <n v="3"/>
    <x v="23"/>
    <n v="7"/>
    <n v="0"/>
    <n v="10"/>
    <x v="0"/>
    <x v="2"/>
    <x v="2"/>
  </r>
  <r>
    <n v="34"/>
    <s v="No"/>
    <n v="0"/>
    <x v="0"/>
    <x v="0"/>
    <n v="28"/>
    <s v="Marketing"/>
    <s v="2035"/>
    <x v="2"/>
    <x v="0"/>
    <n v="2"/>
    <n v="2"/>
    <x v="0"/>
    <x v="2"/>
    <x v="1"/>
    <n v="6712"/>
    <x v="0"/>
    <x v="1"/>
    <n v="4"/>
    <n v="8"/>
    <n v="3"/>
    <x v="3"/>
    <n v="7"/>
    <n v="1"/>
    <n v="7"/>
    <x v="2"/>
    <x v="0"/>
    <x v="0"/>
  </r>
  <r>
    <n v="36"/>
    <s v="No"/>
    <n v="0"/>
    <x v="2"/>
    <x v="0"/>
    <n v="15"/>
    <s v="Marketing"/>
    <s v="2036"/>
    <x v="2"/>
    <x v="1"/>
    <n v="1"/>
    <n v="2"/>
    <x v="0"/>
    <x v="0"/>
    <x v="2"/>
    <n v="5406"/>
    <x v="0"/>
    <x v="1"/>
    <n v="4"/>
    <n v="15"/>
    <n v="2"/>
    <x v="15"/>
    <n v="12"/>
    <n v="11"/>
    <n v="11"/>
    <x v="0"/>
    <x v="0"/>
    <x v="2"/>
  </r>
  <r>
    <n v="41"/>
    <s v="No"/>
    <n v="0"/>
    <x v="0"/>
    <x v="0"/>
    <n v="3"/>
    <s v="Life Sciences"/>
    <s v="2037"/>
    <x v="1"/>
    <x v="1"/>
    <n v="2"/>
    <n v="2"/>
    <x v="0"/>
    <x v="1"/>
    <x v="2"/>
    <n v="8938"/>
    <x v="0"/>
    <x v="1"/>
    <n v="3"/>
    <n v="14"/>
    <n v="3"/>
    <x v="8"/>
    <n v="4"/>
    <n v="0"/>
    <n v="4"/>
    <x v="0"/>
    <x v="0"/>
    <x v="1"/>
  </r>
  <r>
    <n v="32"/>
    <s v="No"/>
    <n v="0"/>
    <x v="0"/>
    <x v="1"/>
    <n v="2"/>
    <s v="Technical Degree"/>
    <s v="2038"/>
    <x v="2"/>
    <x v="1"/>
    <n v="3"/>
    <n v="1"/>
    <x v="1"/>
    <x v="3"/>
    <x v="0"/>
    <n v="2439"/>
    <x v="1"/>
    <x v="1"/>
    <n v="3"/>
    <n v="4"/>
    <n v="3"/>
    <x v="9"/>
    <n v="2"/>
    <n v="1"/>
    <n v="2"/>
    <x v="2"/>
    <x v="1"/>
    <x v="1"/>
  </r>
  <r>
    <n v="35"/>
    <s v="No"/>
    <n v="0"/>
    <x v="0"/>
    <x v="2"/>
    <n v="26"/>
    <s v="Life Sciences"/>
    <s v="2040"/>
    <x v="1"/>
    <x v="0"/>
    <n v="3"/>
    <n v="3"/>
    <x v="8"/>
    <x v="0"/>
    <x v="0"/>
    <n v="8837"/>
    <x v="0"/>
    <x v="0"/>
    <n v="3"/>
    <n v="9"/>
    <n v="3"/>
    <x v="7"/>
    <n v="0"/>
    <n v="1"/>
    <n v="7"/>
    <x v="2"/>
    <x v="0"/>
    <x v="0"/>
  </r>
  <r>
    <n v="38"/>
    <s v="No"/>
    <n v="0"/>
    <x v="0"/>
    <x v="0"/>
    <n v="10"/>
    <s v="Life Sciences"/>
    <s v="2041"/>
    <x v="3"/>
    <x v="0"/>
    <n v="3"/>
    <n v="2"/>
    <x v="0"/>
    <x v="0"/>
    <x v="1"/>
    <n v="5343"/>
    <x v="0"/>
    <x v="1"/>
    <n v="3"/>
    <n v="10"/>
    <n v="3"/>
    <x v="1"/>
    <n v="7"/>
    <n v="1"/>
    <n v="9"/>
    <x v="0"/>
    <x v="0"/>
    <x v="0"/>
  </r>
  <r>
    <n v="50"/>
    <s v="Yes"/>
    <n v="1"/>
    <x v="1"/>
    <x v="0"/>
    <n v="1"/>
    <s v="Life Sciences"/>
    <s v="2044"/>
    <x v="0"/>
    <x v="1"/>
    <n v="3"/>
    <n v="2"/>
    <x v="0"/>
    <x v="2"/>
    <x v="2"/>
    <n v="6728"/>
    <x v="0"/>
    <x v="1"/>
    <n v="3"/>
    <n v="12"/>
    <n v="3"/>
    <x v="0"/>
    <n v="3"/>
    <n v="0"/>
    <n v="1"/>
    <x v="1"/>
    <x v="0"/>
    <x v="0"/>
  </r>
  <r>
    <n v="36"/>
    <s v="No"/>
    <n v="0"/>
    <x v="0"/>
    <x v="0"/>
    <n v="11"/>
    <s v="Marketing"/>
    <s v="2045"/>
    <x v="0"/>
    <x v="0"/>
    <n v="2"/>
    <n v="2"/>
    <x v="0"/>
    <x v="0"/>
    <x v="1"/>
    <n v="6652"/>
    <x v="0"/>
    <x v="1"/>
    <n v="3"/>
    <n v="8"/>
    <n v="2"/>
    <x v="0"/>
    <n v="3"/>
    <n v="0"/>
    <n v="0"/>
    <x v="0"/>
    <x v="0"/>
    <x v="0"/>
  </r>
  <r>
    <n v="45"/>
    <s v="No"/>
    <n v="0"/>
    <x v="0"/>
    <x v="0"/>
    <n v="20"/>
    <s v="Life Sciences"/>
    <s v="2046"/>
    <x v="2"/>
    <x v="0"/>
    <n v="3"/>
    <n v="2"/>
    <x v="0"/>
    <x v="2"/>
    <x v="0"/>
    <n v="4850"/>
    <x v="1"/>
    <x v="1"/>
    <n v="3"/>
    <n v="8"/>
    <n v="3"/>
    <x v="8"/>
    <n v="3"/>
    <n v="0"/>
    <n v="1"/>
    <x v="0"/>
    <x v="0"/>
    <x v="1"/>
  </r>
  <r>
    <n v="40"/>
    <s v="No"/>
    <n v="0"/>
    <x v="0"/>
    <x v="1"/>
    <n v="2"/>
    <s v="Life Sciences"/>
    <s v="2048"/>
    <x v="1"/>
    <x v="1"/>
    <n v="2"/>
    <n v="1"/>
    <x v="1"/>
    <x v="2"/>
    <x v="0"/>
    <n v="2809"/>
    <x v="1"/>
    <x v="1"/>
    <n v="3"/>
    <n v="8"/>
    <n v="3"/>
    <x v="4"/>
    <n v="2"/>
    <n v="2"/>
    <n v="2"/>
    <x v="0"/>
    <x v="0"/>
    <x v="1"/>
  </r>
  <r>
    <n v="35"/>
    <s v="No"/>
    <n v="0"/>
    <x v="1"/>
    <x v="1"/>
    <n v="18"/>
    <s v="Life Sciences"/>
    <s v="2049"/>
    <x v="1"/>
    <x v="1"/>
    <n v="3"/>
    <n v="2"/>
    <x v="4"/>
    <x v="2"/>
    <x v="1"/>
    <n v="5689"/>
    <x v="0"/>
    <x v="0"/>
    <n v="3"/>
    <n v="10"/>
    <n v="4"/>
    <x v="1"/>
    <n v="2"/>
    <n v="0"/>
    <n v="2"/>
    <x v="2"/>
    <x v="0"/>
    <x v="0"/>
  </r>
  <r>
    <n v="40"/>
    <s v="No"/>
    <n v="0"/>
    <x v="0"/>
    <x v="1"/>
    <n v="2"/>
    <s v="Medical"/>
    <s v="2051"/>
    <x v="1"/>
    <x v="0"/>
    <n v="3"/>
    <n v="1"/>
    <x v="1"/>
    <x v="2"/>
    <x v="1"/>
    <n v="2001"/>
    <x v="1"/>
    <x v="1"/>
    <n v="3"/>
    <n v="20"/>
    <n v="3"/>
    <x v="8"/>
    <n v="3"/>
    <n v="0"/>
    <n v="2"/>
    <x v="0"/>
    <x v="2"/>
    <x v="1"/>
  </r>
  <r>
    <n v="35"/>
    <s v="No"/>
    <n v="0"/>
    <x v="0"/>
    <x v="1"/>
    <n v="1"/>
    <s v="Life Sciences"/>
    <s v="2052"/>
    <x v="1"/>
    <x v="0"/>
    <n v="1"/>
    <n v="1"/>
    <x v="1"/>
    <x v="0"/>
    <x v="1"/>
    <n v="2977"/>
    <x v="1"/>
    <x v="1"/>
    <n v="3"/>
    <n v="4"/>
    <n v="3"/>
    <x v="9"/>
    <n v="3"/>
    <n v="1"/>
    <n v="1"/>
    <x v="2"/>
    <x v="1"/>
    <x v="1"/>
  </r>
  <r>
    <n v="29"/>
    <s v="No"/>
    <n v="0"/>
    <x v="0"/>
    <x v="1"/>
    <n v="13"/>
    <s v="Other"/>
    <s v="2053"/>
    <x v="2"/>
    <x v="1"/>
    <n v="2"/>
    <n v="2"/>
    <x v="2"/>
    <x v="1"/>
    <x v="1"/>
    <n v="4025"/>
    <x v="1"/>
    <x v="0"/>
    <n v="3"/>
    <n v="10"/>
    <n v="3"/>
    <x v="9"/>
    <n v="3"/>
    <n v="0"/>
    <n v="3"/>
    <x v="2"/>
    <x v="0"/>
    <x v="1"/>
  </r>
  <r>
    <n v="29"/>
    <s v="No"/>
    <n v="0"/>
    <x v="0"/>
    <x v="1"/>
    <n v="28"/>
    <s v="Medical"/>
    <s v="2054"/>
    <x v="2"/>
    <x v="0"/>
    <n v="2"/>
    <n v="1"/>
    <x v="1"/>
    <x v="3"/>
    <x v="0"/>
    <n v="3785"/>
    <x v="1"/>
    <x v="1"/>
    <n v="3"/>
    <n v="5"/>
    <n v="1"/>
    <x v="8"/>
    <n v="4"/>
    <n v="0"/>
    <n v="4"/>
    <x v="2"/>
    <x v="1"/>
    <x v="1"/>
  </r>
  <r>
    <n v="50"/>
    <s v="Yes"/>
    <n v="1"/>
    <x v="0"/>
    <x v="0"/>
    <n v="28"/>
    <s v="Marketing"/>
    <s v="2055"/>
    <x v="2"/>
    <x v="1"/>
    <n v="2"/>
    <n v="3"/>
    <x v="0"/>
    <x v="3"/>
    <x v="2"/>
    <n v="10854"/>
    <x v="0"/>
    <x v="0"/>
    <n v="3"/>
    <n v="20"/>
    <n v="3"/>
    <x v="11"/>
    <n v="2"/>
    <n v="2"/>
    <n v="0"/>
    <x v="1"/>
    <x v="2"/>
    <x v="1"/>
  </r>
  <r>
    <n v="39"/>
    <s v="No"/>
    <n v="0"/>
    <x v="0"/>
    <x v="0"/>
    <n v="24"/>
    <s v="Marketing"/>
    <s v="2056"/>
    <x v="0"/>
    <x v="0"/>
    <n v="2"/>
    <n v="4"/>
    <x v="0"/>
    <x v="0"/>
    <x v="1"/>
    <n v="12031"/>
    <x v="2"/>
    <x v="1"/>
    <n v="3"/>
    <n v="21"/>
    <n v="2"/>
    <x v="23"/>
    <n v="9"/>
    <n v="9"/>
    <n v="6"/>
    <x v="0"/>
    <x v="2"/>
    <x v="2"/>
  </r>
  <r>
    <n v="31"/>
    <s v="No"/>
    <n v="0"/>
    <x v="2"/>
    <x v="1"/>
    <n v="5"/>
    <s v="Medical"/>
    <s v="2057"/>
    <x v="0"/>
    <x v="1"/>
    <n v="3"/>
    <n v="2"/>
    <x v="3"/>
    <x v="3"/>
    <x v="0"/>
    <n v="9936"/>
    <x v="0"/>
    <x v="1"/>
    <n v="3"/>
    <n v="10"/>
    <n v="3"/>
    <x v="7"/>
    <n v="4"/>
    <n v="1"/>
    <n v="7"/>
    <x v="2"/>
    <x v="0"/>
    <x v="0"/>
  </r>
  <r>
    <n v="26"/>
    <s v="No"/>
    <n v="0"/>
    <x v="0"/>
    <x v="0"/>
    <n v="5"/>
    <s v="Other"/>
    <s v="2060"/>
    <x v="2"/>
    <x v="0"/>
    <n v="2"/>
    <n v="1"/>
    <x v="6"/>
    <x v="2"/>
    <x v="0"/>
    <n v="2966"/>
    <x v="1"/>
    <x v="1"/>
    <n v="3"/>
    <n v="5"/>
    <n v="3"/>
    <x v="9"/>
    <n v="2"/>
    <n v="0"/>
    <n v="0"/>
    <x v="2"/>
    <x v="1"/>
    <x v="1"/>
  </r>
  <r>
    <n v="36"/>
    <s v="No"/>
    <n v="0"/>
    <x v="1"/>
    <x v="1"/>
    <n v="23"/>
    <s v="Medical"/>
    <s v="2061"/>
    <x v="1"/>
    <x v="1"/>
    <n v="4"/>
    <n v="2"/>
    <x v="2"/>
    <x v="0"/>
    <x v="1"/>
    <n v="2571"/>
    <x v="1"/>
    <x v="1"/>
    <n v="3"/>
    <n v="17"/>
    <n v="3"/>
    <x v="8"/>
    <n v="2"/>
    <n v="0"/>
    <n v="3"/>
    <x v="0"/>
    <x v="2"/>
    <x v="1"/>
  </r>
  <r>
    <n v="39"/>
    <s v="No"/>
    <n v="0"/>
    <x v="0"/>
    <x v="1"/>
    <n v="6"/>
    <s v="Medical"/>
    <s v="2062"/>
    <x v="2"/>
    <x v="1"/>
    <n v="2"/>
    <n v="3"/>
    <x v="4"/>
    <x v="3"/>
    <x v="1"/>
    <n v="9991"/>
    <x v="0"/>
    <x v="1"/>
    <n v="3"/>
    <n v="9"/>
    <n v="3"/>
    <x v="5"/>
    <n v="7"/>
    <n v="1"/>
    <n v="7"/>
    <x v="0"/>
    <x v="0"/>
    <x v="0"/>
  </r>
  <r>
    <n v="27"/>
    <s v="No"/>
    <n v="0"/>
    <x v="0"/>
    <x v="1"/>
    <n v="4"/>
    <s v="Life Sciences"/>
    <s v="2064"/>
    <x v="0"/>
    <x v="1"/>
    <n v="4"/>
    <n v="2"/>
    <x v="3"/>
    <x v="1"/>
    <x v="1"/>
    <n v="6142"/>
    <x v="0"/>
    <x v="0"/>
    <n v="4"/>
    <n v="6"/>
    <n v="3"/>
    <x v="0"/>
    <n v="2"/>
    <n v="0"/>
    <n v="3"/>
    <x v="2"/>
    <x v="0"/>
    <x v="0"/>
  </r>
  <r>
    <n v="49"/>
    <s v="No"/>
    <n v="0"/>
    <x v="1"/>
    <x v="0"/>
    <n v="2"/>
    <s v="Medical"/>
    <s v="2065"/>
    <x v="2"/>
    <x v="1"/>
    <n v="2"/>
    <n v="2"/>
    <x v="0"/>
    <x v="1"/>
    <x v="1"/>
    <n v="5390"/>
    <x v="0"/>
    <x v="1"/>
    <n v="3"/>
    <n v="17"/>
    <n v="2"/>
    <x v="7"/>
    <n v="6"/>
    <n v="0"/>
    <n v="8"/>
    <x v="1"/>
    <x v="2"/>
    <x v="0"/>
  </r>
  <r>
    <n v="34"/>
    <s v="No"/>
    <n v="0"/>
    <x v="0"/>
    <x v="1"/>
    <n v="8"/>
    <s v="Medical"/>
    <s v="2068"/>
    <x v="0"/>
    <x v="1"/>
    <n v="4"/>
    <n v="2"/>
    <x v="2"/>
    <x v="2"/>
    <x v="1"/>
    <n v="4404"/>
    <x v="1"/>
    <x v="1"/>
    <n v="3"/>
    <n v="6"/>
    <n v="4"/>
    <x v="9"/>
    <n v="3"/>
    <n v="1"/>
    <n v="2"/>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3B02C3-E1A4-4F27-8F10-D58BA1C0D7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Department">
  <location ref="A4:B8" firstHeaderRow="1" firstDataRow="1" firstDataCol="1"/>
  <pivotFields count="28">
    <pivotField numFmtId="1" showAll="0"/>
    <pivotField showAll="0"/>
    <pivotField dataField="1" showAll="0"/>
    <pivotField showAll="0">
      <items count="4">
        <item x="2"/>
        <item x="1"/>
        <item x="0"/>
        <item t="default"/>
      </items>
    </pivotField>
    <pivotField axis="axisRow"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items count="4">
        <item x="2"/>
        <item x="1"/>
        <item x="0"/>
        <item t="default"/>
      </items>
    </pivotField>
    <pivotField numFmtId="164"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Attrition_flag" fld="2" baseField="0" baseItem="0"/>
  </dataFields>
  <chartFormats count="1">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FD8297-F698-4B02-88EB-3AF3B8C3788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Gender">
  <location ref="L4:M7" firstHeaderRow="1" firstDataRow="1" firstDataCol="1"/>
  <pivotFields count="28">
    <pivotField numFmtId="1" showAll="0"/>
    <pivotField showAll="0"/>
    <pivotField dataField="1" showAll="0"/>
    <pivotField showAll="0">
      <items count="4">
        <item x="2"/>
        <item x="1"/>
        <item x="0"/>
        <item t="default"/>
      </items>
    </pivotField>
    <pivotField showAll="0">
      <items count="4">
        <item x="2"/>
        <item x="1"/>
        <item x="0"/>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items count="4">
        <item x="2"/>
        <item x="1"/>
        <item x="0"/>
        <item t="default"/>
      </items>
    </pivotField>
    <pivotField numFmtId="164"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Sum of Attrition_flag" fld="2" baseField="0" baseItem="0"/>
  </dataFields>
  <chartFormats count="10">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9" count="1" selected="0">
            <x v="1"/>
          </reference>
        </references>
      </pivotArea>
    </chartFormat>
    <chartFormat chart="12" format="2">
      <pivotArea type="data" outline="0" fieldPosition="0">
        <references count="2">
          <reference field="4294967294" count="1" selected="0">
            <x v="0"/>
          </reference>
          <reference field="9" count="1" selected="0">
            <x v="0"/>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2">
          <reference field="4294967294" count="1" selected="0">
            <x v="0"/>
          </reference>
          <reference field="9" count="1" selected="0">
            <x v="0"/>
          </reference>
        </references>
      </pivotArea>
    </chartFormat>
    <chartFormat chart="22" format="1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F41DE2-633C-4138-8BE4-02080AB9E9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Job Role">
  <location ref="A13:B23" firstHeaderRow="1" firstDataRow="1" firstDataCol="1"/>
  <pivotFields count="28">
    <pivotField numFmtId="1" showAll="0"/>
    <pivotField showAll="0"/>
    <pivotField dataField="1" showAll="0"/>
    <pivotField showAll="0">
      <items count="4">
        <item x="2"/>
        <item x="1"/>
        <item x="0"/>
        <item t="default"/>
      </items>
    </pivotField>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numFmtId="164"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2"/>
  </rowFields>
  <rowItems count="10">
    <i>
      <x/>
    </i>
    <i>
      <x v="1"/>
    </i>
    <i>
      <x v="2"/>
    </i>
    <i>
      <x v="3"/>
    </i>
    <i>
      <x v="4"/>
    </i>
    <i>
      <x v="5"/>
    </i>
    <i>
      <x v="6"/>
    </i>
    <i>
      <x v="7"/>
    </i>
    <i>
      <x v="8"/>
    </i>
    <i t="grand">
      <x/>
    </i>
  </rowItems>
  <colItems count="1">
    <i/>
  </colItems>
  <dataFields count="1">
    <dataField name="Sum of Attrition_flag" fld="2" baseField="0" baseItem="0"/>
  </dataFields>
  <chartFormats count="1">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D39F11-B8CB-4708-9F8C-AC38719D911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Overtime">
  <location ref="J22:K25" firstHeaderRow="1" firstDataRow="1" firstDataCol="1"/>
  <pivotFields count="28">
    <pivotField numFmtId="1" showAll="0"/>
    <pivotField showAll="0"/>
    <pivotField dataField="1" showAll="0"/>
    <pivotField showAll="0">
      <items count="4">
        <item x="2"/>
        <item x="1"/>
        <item x="0"/>
        <item t="default"/>
      </items>
    </pivotField>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items count="4">
        <item x="2"/>
        <item x="1"/>
        <item x="0"/>
        <item t="default"/>
      </items>
    </pivotField>
    <pivotField numFmtId="164"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17"/>
  </rowFields>
  <rowItems count="3">
    <i>
      <x/>
    </i>
    <i>
      <x v="1"/>
    </i>
    <i t="grand">
      <x/>
    </i>
  </rowItems>
  <colItems count="1">
    <i/>
  </colItems>
  <dataFields count="1">
    <dataField name="Sum of Attrition_flag" fld="2" baseField="0" baseItem="0"/>
  </dataFields>
  <chartFormats count="6">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7" count="1" selected="0">
            <x v="0"/>
          </reference>
        </references>
      </pivotArea>
    </chartFormat>
    <chartFormat chart="17" format="1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776C6F-F494-4842-8364-7439356196A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Years_at_company">
  <location ref="D22:E26" firstHeaderRow="1" firstDataRow="1" firstDataCol="1"/>
  <pivotFields count="28">
    <pivotField numFmtId="1" showAll="0"/>
    <pivotField showAll="0"/>
    <pivotField dataField="1" showAll="0"/>
    <pivotField showAll="0">
      <items count="4">
        <item x="2"/>
        <item x="1"/>
        <item x="0"/>
        <item t="default"/>
      </items>
    </pivotField>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items count="4">
        <item x="2"/>
        <item x="1"/>
        <item x="0"/>
        <item t="default"/>
      </items>
    </pivotField>
    <pivotField numFmtId="164" showAll="0"/>
    <pivotField showAll="0"/>
    <pivotField showAll="0">
      <items count="3">
        <item x="1"/>
        <item x="0"/>
        <item t="default"/>
      </items>
    </pivotField>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axis="axisRow" showAll="0">
      <items count="4">
        <item x="1"/>
        <item x="2"/>
        <item x="0"/>
        <item t="default"/>
      </items>
    </pivotField>
  </pivotFields>
  <rowFields count="1">
    <field x="27"/>
  </rowFields>
  <rowItems count="4">
    <i>
      <x/>
    </i>
    <i>
      <x v="1"/>
    </i>
    <i>
      <x v="2"/>
    </i>
    <i t="grand">
      <x/>
    </i>
  </rowItems>
  <colItems count="1">
    <i/>
  </colItems>
  <dataFields count="1">
    <dataField name="Sum of Attrition_flag" fld="2" baseField="0" baseItem="0"/>
  </dataFields>
  <chartFormats count="1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27" count="1" selected="0">
            <x v="0"/>
          </reference>
        </references>
      </pivotArea>
    </chartFormat>
    <chartFormat chart="9" format="3">
      <pivotArea type="data" outline="0" fieldPosition="0">
        <references count="2">
          <reference field="4294967294" count="1" selected="0">
            <x v="0"/>
          </reference>
          <reference field="27" count="1" selected="0">
            <x v="1"/>
          </reference>
        </references>
      </pivotArea>
    </chartFormat>
    <chartFormat chart="9" format="4">
      <pivotArea type="data" outline="0" fieldPosition="0">
        <references count="2">
          <reference field="4294967294" count="1" selected="0">
            <x v="0"/>
          </reference>
          <reference field="27"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27" count="1" selected="0">
            <x v="0"/>
          </reference>
        </references>
      </pivotArea>
    </chartFormat>
    <chartFormat chart="10" format="7">
      <pivotArea type="data" outline="0" fieldPosition="0">
        <references count="2">
          <reference field="4294967294" count="1" selected="0">
            <x v="0"/>
          </reference>
          <reference field="27" count="1" selected="0">
            <x v="1"/>
          </reference>
        </references>
      </pivotArea>
    </chartFormat>
    <chartFormat chart="10" format="8">
      <pivotArea type="data" outline="0" fieldPosition="0">
        <references count="2">
          <reference field="4294967294" count="1" selected="0">
            <x v="0"/>
          </reference>
          <reference field="27"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7" count="1" selected="0">
            <x v="0"/>
          </reference>
        </references>
      </pivotArea>
    </chartFormat>
    <chartFormat chart="11" format="7">
      <pivotArea type="data" outline="0" fieldPosition="0">
        <references count="2">
          <reference field="4294967294" count="1" selected="0">
            <x v="0"/>
          </reference>
          <reference field="27" count="1" selected="0">
            <x v="1"/>
          </reference>
        </references>
      </pivotArea>
    </chartFormat>
    <chartFormat chart="11" format="8">
      <pivotArea type="data" outline="0" fieldPosition="0">
        <references count="2">
          <reference field="4294967294" count="1" selected="0">
            <x v="0"/>
          </reference>
          <reference field="27" count="1" selected="0">
            <x v="2"/>
          </reference>
        </references>
      </pivotArea>
    </chartFormat>
    <chartFormat chart="8" format="1">
      <pivotArea type="data" outline="0" fieldPosition="0">
        <references count="2">
          <reference field="4294967294" count="1" selected="0">
            <x v="0"/>
          </reference>
          <reference field="27" count="1" selected="0">
            <x v="0"/>
          </reference>
        </references>
      </pivotArea>
    </chartFormat>
    <chartFormat chart="8" format="2">
      <pivotArea type="data" outline="0" fieldPosition="0">
        <references count="2">
          <reference field="4294967294" count="1" selected="0">
            <x v="0"/>
          </reference>
          <reference field="27" count="1" selected="0">
            <x v="1"/>
          </reference>
        </references>
      </pivotArea>
    </chartFormat>
    <chartFormat chart="8" format="3">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A9E20B-A011-4304-B29A-68F599DCD3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_group">
  <location ref="D13:E18" firstHeaderRow="1" firstDataRow="1" firstDataCol="1"/>
  <pivotFields count="28">
    <pivotField numFmtId="1" showAll="0"/>
    <pivotField showAll="0"/>
    <pivotField dataField="1" showAll="0"/>
    <pivotField showAll="0">
      <items count="4">
        <item x="2"/>
        <item x="1"/>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numFmtId="164"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6">
        <item x="3"/>
        <item x="2"/>
        <item x="0"/>
        <item m="1" x="4"/>
        <item x="1"/>
        <item t="default"/>
      </items>
    </pivotField>
    <pivotField showAll="0"/>
    <pivotField showAll="0"/>
  </pivotFields>
  <rowFields count="1">
    <field x="25"/>
  </rowFields>
  <rowItems count="5">
    <i>
      <x/>
    </i>
    <i>
      <x v="1"/>
    </i>
    <i>
      <x v="2"/>
    </i>
    <i>
      <x v="4"/>
    </i>
    <i t="grand">
      <x/>
    </i>
  </rowItems>
  <colItems count="1">
    <i/>
  </colItems>
  <dataFields count="1">
    <dataField name="Sum of Attrition_flag" fld="2" baseField="0" baseItem="0"/>
  </dataField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E6C357-D491-47CB-809D-B0C4ADE82E9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Income_band">
  <location ref="J13:K17" firstHeaderRow="1" firstDataRow="1" firstDataCol="1"/>
  <pivotFields count="28">
    <pivotField numFmtId="1" showAll="0"/>
    <pivotField showAll="0"/>
    <pivotField dataField="1" showAll="0"/>
    <pivotField showAll="0">
      <items count="4">
        <item x="2"/>
        <item x="1"/>
        <item x="0"/>
        <item t="default"/>
      </items>
    </pivotField>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items count="4">
        <item x="2"/>
        <item x="1"/>
        <item x="0"/>
        <item t="default"/>
      </items>
    </pivotField>
    <pivotField numFmtId="164" showAll="0"/>
    <pivotField axis="axisRow"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Sum of Attrition_flag" fld="2" baseField="0" baseItem="0"/>
  </dataFields>
  <chartFormats count="2">
    <chartFormat chart="0" format="3"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A3A9E4-41B6-4A97-B9DC-15B47757918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perience">
  <location ref="G13:H17" firstHeaderRow="1" firstDataRow="1" firstDataCol="1"/>
  <pivotFields count="28">
    <pivotField numFmtId="1" showAll="0"/>
    <pivotField showAll="0"/>
    <pivotField dataField="1" showAll="0"/>
    <pivotField showAll="0">
      <items count="4">
        <item x="2"/>
        <item x="1"/>
        <item x="0"/>
        <item t="default"/>
      </items>
    </pivotField>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items count="4">
        <item x="2"/>
        <item x="1"/>
        <item x="0"/>
        <item t="default"/>
      </items>
    </pivotField>
    <pivotField numFmtId="164"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5">
        <item x="1"/>
        <item x="0"/>
        <item x="2"/>
        <item m="1" x="3"/>
        <item t="default"/>
      </items>
    </pivotField>
    <pivotField showAll="0"/>
  </pivotFields>
  <rowFields count="1">
    <field x="26"/>
  </rowFields>
  <rowItems count="4">
    <i>
      <x/>
    </i>
    <i>
      <x v="1"/>
    </i>
    <i>
      <x v="2"/>
    </i>
    <i t="grand">
      <x/>
    </i>
  </rowItems>
  <colItems count="1">
    <i/>
  </colItems>
  <dataFields count="1">
    <dataField name="Sum of Attrition_flag"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B13F79-9638-4C84-8EBA-6C7B9FC86DD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atisfaction">
  <location ref="G22:H27" firstHeaderRow="1" firstDataRow="1" firstDataCol="1"/>
  <pivotFields count="28">
    <pivotField numFmtId="1" showAll="0"/>
    <pivotField showAll="0"/>
    <pivotField dataField="1" showAll="0"/>
    <pivotField showAll="0">
      <items count="4">
        <item x="2"/>
        <item x="1"/>
        <item x="0"/>
        <item t="default"/>
      </items>
    </pivotField>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items count="5">
        <item x="3"/>
        <item x="1"/>
        <item x="2"/>
        <item x="0"/>
        <item t="default"/>
      </items>
    </pivotField>
    <pivotField showAll="0">
      <items count="4">
        <item x="2"/>
        <item x="1"/>
        <item x="0"/>
        <item t="default"/>
      </items>
    </pivotField>
    <pivotField numFmtId="164"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Sum of Attrition_flag"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576C67-FF14-49AC-B0DA-8427BC099827}"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BA113A7-126B-4220-919E-9D1CCD3F655A}" autoFormatId="16" applyNumberFormats="0" applyBorderFormats="0" applyFontFormats="0" applyPatternFormats="0" applyAlignmentFormats="0" applyWidthHeightFormats="0">
  <queryTableRefresh nextId="41" unboundColumnsRight="1">
    <queryTableFields count="28">
      <queryTableField id="1" name="Age" tableColumnId="1"/>
      <queryTableField id="2" name="Attrition" tableColumnId="2"/>
      <queryTableField id="34" name="Attrition_flag" tableColumnId="7"/>
      <queryTableField id="3" name="BusinessTravel" tableColumnId="3"/>
      <queryTableField id="5" name="Department" tableColumnId="5"/>
      <queryTableField id="6" name="DistanceFromHome" tableColumnId="6"/>
      <queryTableField id="8" name="EducationField" tableColumnId="8"/>
      <queryTableField id="32" name="EmployeeNumber" tableColumnId="4"/>
      <queryTableField id="9" name="EnvironmentSatisfaction" tableColumnId="9"/>
      <queryTableField id="10" name="Gender" tableColumnId="10"/>
      <queryTableField id="12" name="JobInvolvement" tableColumnId="12"/>
      <queryTableField id="13" name="JobLevel" tableColumnId="13"/>
      <queryTableField id="14" name="JobRole" tableColumnId="14"/>
      <queryTableField id="15" name="JobSatisfaction" tableColumnId="15"/>
      <queryTableField id="16" name="MaritalStatus" tableColumnId="16"/>
      <queryTableField id="17" name="MonthlyIncome" tableColumnId="17"/>
      <queryTableField id="35" name="Monthly_Income" tableColumnId="11"/>
      <queryTableField id="20" name="OverTime" tableColumnId="20"/>
      <queryTableField id="22" name="PerformanceRating" tableColumnId="22"/>
      <queryTableField id="25" name="TotalWorkingYears" tableColumnId="25"/>
      <queryTableField id="27" name="WorkLifeBalance" tableColumnId="27"/>
      <queryTableField id="28" name="YearsAtCompany" tableColumnId="28"/>
      <queryTableField id="29" name="YearsInCurrentRole" tableColumnId="29"/>
      <queryTableField id="30" name="YearsSinceLastPromotion" tableColumnId="30"/>
      <queryTableField id="31" name="YearsWithCurrManager" tableColumnId="31"/>
      <queryTableField id="36" name="Age_group" tableColumnId="18"/>
      <queryTableField id="37" name="Years_of_experience" tableColumnId="19"/>
      <queryTableField id="40"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D68DCE-BA65-4F36-AAD8-390EA12FADC4}" sourceName="Gender">
  <data>
    <tabular pivotCacheId="6488714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CA1A81D1-DE9B-4396-967A-0EAF74D52330}" sourceName="MaritalStatus">
  <data>
    <tabular pivotCacheId="64887146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Satisfaction" xr10:uid="{913E1875-7BDC-4CA6-A99F-2531BB58725D}" sourceName="EnvironmentSatisfaction">
  <data>
    <tabular pivotCacheId="648871466">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50941B77-4901-42E4-A569-4F3A9EAF1DED}" sourceName="OverTime">
  <data>
    <tabular pivotCacheId="64887146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B8F5E94-F55B-40AC-B481-818621EFDB00}" sourceName="Department">
  <pivotTables>
    <pivotTable tabId="7" name="PivotTable2"/>
    <pivotTable tabId="7" name="PivotTable1"/>
    <pivotTable tabId="7" name="PivotTable12"/>
    <pivotTable tabId="7" name="PivotTable13"/>
    <pivotTable tabId="7" name="PivotTable14"/>
    <pivotTable tabId="7" name="PivotTable15"/>
    <pivotTable tabId="7" name="PivotTable16"/>
    <pivotTable tabId="7" name="PivotTable17"/>
    <pivotTable tabId="7" name="PivotTable6"/>
  </pivotTables>
  <data>
    <tabular pivotCacheId="648871466">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628394C-92E4-42FD-8841-0FB2AEFD875A}" sourceName="Gender">
  <pivotTables>
    <pivotTable tabId="7" name="PivotTable2"/>
    <pivotTable tabId="7" name="PivotTable1"/>
    <pivotTable tabId="7" name="PivotTable12"/>
    <pivotTable tabId="7" name="PivotTable13"/>
    <pivotTable tabId="7" name="PivotTable14"/>
    <pivotTable tabId="7" name="PivotTable15"/>
    <pivotTable tabId="7" name="PivotTable16"/>
    <pivotTable tabId="7" name="PivotTable17"/>
  </pivotTables>
  <data>
    <tabular pivotCacheId="648871466">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1" xr10:uid="{ADD717F1-48EB-4E60-B1F7-48F099108FA1}" sourceName="MaritalStatus">
  <pivotTables>
    <pivotTable tabId="7" name="PivotTable2"/>
    <pivotTable tabId="7" name="PivotTable1"/>
    <pivotTable tabId="7" name="PivotTable12"/>
    <pivotTable tabId="7" name="PivotTable13"/>
    <pivotTable tabId="7" name="PivotTable14"/>
    <pivotTable tabId="7" name="PivotTable15"/>
    <pivotTable tabId="7" name="PivotTable16"/>
    <pivotTable tabId="7" name="PivotTable17"/>
    <pivotTable tabId="7" name="PivotTable6"/>
  </pivotTables>
  <data>
    <tabular pivotCacheId="648871466">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1" xr10:uid="{5E937634-6CBC-4898-BA70-DA8783388A00}" sourceName="OverTime">
  <pivotTables>
    <pivotTable tabId="7" name="PivotTable2"/>
    <pivotTable tabId="7" name="PivotTable1"/>
    <pivotTable tabId="7" name="PivotTable12"/>
    <pivotTable tabId="7" name="PivotTable13"/>
    <pivotTable tabId="7" name="PivotTable14"/>
    <pivotTable tabId="7" name="PivotTable15"/>
    <pivotTable tabId="7" name="PivotTable16"/>
    <pivotTable tabId="7" name="PivotTable17"/>
    <pivotTable tabId="7" name="PivotTable6"/>
  </pivotTables>
  <data>
    <tabular pivotCacheId="648871466">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37557C60-9BBC-46DC-B9CC-825D22288B4E}" sourceName="BusinessTravel">
  <pivotTables>
    <pivotTable tabId="7" name="PivotTable16"/>
    <pivotTable tabId="7" name="PivotTable1"/>
    <pivotTable tabId="7" name="PivotTable12"/>
    <pivotTable tabId="7" name="PivotTable13"/>
    <pivotTable tabId="7" name="PivotTable14"/>
    <pivotTable tabId="7" name="PivotTable15"/>
    <pivotTable tabId="7" name="PivotTable17"/>
    <pivotTable tabId="7" name="PivotTable2"/>
    <pivotTable tabId="7" name="PivotTable6"/>
  </pivotTables>
  <data>
    <tabular pivotCacheId="64887146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ECE6CE-7A51-4F0A-BBE0-4E82E17C27BC}" cache="Slicer_Gender" caption="Gender" rowHeight="234950"/>
  <slicer name="MaritalStatus" xr10:uid="{DDD02CD8-1CE9-4C79-B877-7F85555CF371}" cache="Slicer_MaritalStatus" caption="MaritalStatus" rowHeight="234950"/>
  <slicer name="EnvironmentSatisfaction" xr10:uid="{4C52CE7C-2653-4B50-87BF-26A7E99F2888}" cache="Slicer_EnvironmentSatisfaction" caption="EnvironmentSatisfaction" rowHeight="234950"/>
  <slicer name="OverTime" xr10:uid="{E75C7A46-C908-4DCF-9A47-4AA6662898F0}" cache="Slicer_OverTime" caption="OverTi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A10395B-8127-484D-82A7-B2A341114CC1}" cache="Slicer_Department" caption="Department" rowHeight="180000"/>
  <slicer name="Gender 2" xr10:uid="{8071996A-FA14-4167-86E2-C0E8FAEA891F}" cache="Slicer_Gender1" caption="Gender" rowHeight="234950"/>
  <slicer name="MaritalStatus 2" xr10:uid="{8FF16257-C222-4195-9E39-847DFE6278BF}" cache="Slicer_MaritalStatus1" caption="MaritalStatus" rowHeight="144000"/>
  <slicer name="OverTime 2" xr10:uid="{FE79D6F2-507E-4BF2-B9D1-C420CF29841A}" cache="Slicer_OverTime1" caption="OverTime" rowHeight="234950"/>
  <slicer name="BusinessTravel" xr10:uid="{6DBCE98F-ED52-43EA-B55B-3D89581BBC62}" cache="Slicer_BusinessTravel" caption="BusinessTravel"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F1F41D-E192-47BC-A4E0-B1008940E098}" name="raw_data" displayName="raw_data" ref="A1:AI1471" tableType="queryTable" totalsRowShown="0">
  <autoFilter ref="A1:AI1471" xr:uid="{65F1F41D-E192-47BC-A4E0-B1008940E098}"/>
  <tableColumns count="35">
    <tableColumn id="1" xr3:uid="{3D1AFEB4-52B2-4BAE-BDFE-10AC736C70D4}" uniqueName="1" name="Age" queryTableFieldId="1"/>
    <tableColumn id="2" xr3:uid="{372BFA3C-389D-434B-961F-04E1FAF86F7B}" uniqueName="2" name="Attrition" queryTableFieldId="2" dataDxfId="23"/>
    <tableColumn id="3" xr3:uid="{338723EF-206A-4C16-963C-92A5C404A6F5}" uniqueName="3" name="BusinessTravel" queryTableFieldId="3" dataDxfId="22"/>
    <tableColumn id="4" xr3:uid="{CE50216D-B44F-464B-BC27-6DD835F1142B}" uniqueName="4" name="DailyRate" queryTableFieldId="4"/>
    <tableColumn id="5" xr3:uid="{872E005C-0926-4462-9352-E83BE51AC541}" uniqueName="5" name="Department" queryTableFieldId="5" dataDxfId="21"/>
    <tableColumn id="6" xr3:uid="{94581507-10F9-4466-BD11-9C8684EAA96F}" uniqueName="6" name="DistanceFromHome" queryTableFieldId="6"/>
    <tableColumn id="7" xr3:uid="{B9BFF327-0C13-4E04-8B95-FF829C34F612}" uniqueName="7" name="Education" queryTableFieldId="7"/>
    <tableColumn id="8" xr3:uid="{FE9706B8-D726-4C08-B916-94C85748EC8D}" uniqueName="8" name="EducationField" queryTableFieldId="8" dataDxfId="20"/>
    <tableColumn id="9" xr3:uid="{31AF7D98-902A-4DCA-A19A-6F9173DA318E}" uniqueName="9" name="EmployeeCount" queryTableFieldId="9"/>
    <tableColumn id="10" xr3:uid="{FEB79FC5-B5DB-4DA4-AE81-BC237CF09DE1}" uniqueName="10" name="EmployeeNumber" queryTableFieldId="10"/>
    <tableColumn id="11" xr3:uid="{8FCBECDC-5DB6-4824-BDAA-31CB5B41B4A6}" uniqueName="11" name="EnvironmentSatisfaction" queryTableFieldId="11"/>
    <tableColumn id="12" xr3:uid="{E21BF477-7FFF-40CA-87C6-FF4DDE6C1E15}" uniqueName="12" name="Gender" queryTableFieldId="12" dataDxfId="19"/>
    <tableColumn id="13" xr3:uid="{30FCF759-89EF-45CA-8CBA-F35ED27F3888}" uniqueName="13" name="HourlyRate" queryTableFieldId="13"/>
    <tableColumn id="14" xr3:uid="{2DDD7886-98E8-4A82-A9B4-323AF8DBEACF}" uniqueName="14" name="JobInvolvement" queryTableFieldId="14"/>
    <tableColumn id="15" xr3:uid="{897D41F6-6DC1-4CBC-B1F9-663408D0817C}" uniqueName="15" name="JobLevel" queryTableFieldId="15"/>
    <tableColumn id="16" xr3:uid="{98B6E4C5-29D0-421E-ADC6-69BB904E4B9D}" uniqueName="16" name="JobRole" queryTableFieldId="16" dataDxfId="18"/>
    <tableColumn id="17" xr3:uid="{8E220A41-67BE-464D-AFF6-361D87FF9F1C}" uniqueName="17" name="JobSatisfaction" queryTableFieldId="17"/>
    <tableColumn id="18" xr3:uid="{9EA0ABBC-4CD7-4BA6-9B5F-6BC1B04EDF3A}" uniqueName="18" name="MaritalStatus" queryTableFieldId="18" dataDxfId="17"/>
    <tableColumn id="19" xr3:uid="{B0589535-11AC-4F86-8D14-91D0D0FB5909}" uniqueName="19" name="MonthlyIncome" queryTableFieldId="19"/>
    <tableColumn id="20" xr3:uid="{BCFAA8F9-74D8-4346-966E-FD66B8001170}" uniqueName="20" name="MonthlyRate" queryTableFieldId="20"/>
    <tableColumn id="21" xr3:uid="{5E9B75DD-7B93-4E35-AB67-03AAE1F0BE7E}" uniqueName="21" name="NumCompaniesWorked" queryTableFieldId="21"/>
    <tableColumn id="22" xr3:uid="{84207E3F-4C05-4CB6-AC78-914EF2951DC7}" uniqueName="22" name="Over18" queryTableFieldId="22" dataDxfId="16"/>
    <tableColumn id="23" xr3:uid="{F0555A5D-6C95-43D1-A2FA-76448DE2E291}" uniqueName="23" name="OverTime" queryTableFieldId="23" dataDxfId="15"/>
    <tableColumn id="24" xr3:uid="{5618B438-5626-423F-BBD4-448B59E9ED36}" uniqueName="24" name="PercentSalaryHike" queryTableFieldId="24"/>
    <tableColumn id="25" xr3:uid="{D936C7B0-C026-45F3-919B-A4B0F98CF77F}" uniqueName="25" name="PerformanceRating" queryTableFieldId="25"/>
    <tableColumn id="26" xr3:uid="{3F23CF63-88C7-4F44-A1FE-7309B24EE1E2}" uniqueName="26" name="RelationshipSatisfaction" queryTableFieldId="26"/>
    <tableColumn id="27" xr3:uid="{23DE200B-ADD7-40AD-84C1-59A1EE3B3121}" uniqueName="27" name="StandardHours" queryTableFieldId="27"/>
    <tableColumn id="28" xr3:uid="{3E6FFD95-D82A-4A30-AB9C-AE233856076A}" uniqueName="28" name="StockOptionLevel" queryTableFieldId="28"/>
    <tableColumn id="29" xr3:uid="{B1D03CC9-3282-4163-9882-A43D9F17559F}" uniqueName="29" name="TotalWorkingYears" queryTableFieldId="29"/>
    <tableColumn id="30" xr3:uid="{F9934D63-C5F1-4F6B-BAF0-D8AB60335FBE}" uniqueName="30" name="TrainingTimesLastYear" queryTableFieldId="30"/>
    <tableColumn id="31" xr3:uid="{BDAE5F7A-223C-48AB-A70B-7F0D9DA8E2FE}" uniqueName="31" name="WorkLifeBalance" queryTableFieldId="31"/>
    <tableColumn id="32" xr3:uid="{DFB2B15A-CAF5-4BA7-98F0-D0DDCA773773}" uniqueName="32" name="YearsAtCompany" queryTableFieldId="32"/>
    <tableColumn id="33" xr3:uid="{6836705B-5E3D-4782-88E6-B4597AC40971}" uniqueName="33" name="YearsInCurrentRole" queryTableFieldId="33"/>
    <tableColumn id="34" xr3:uid="{CAE94A99-547F-445F-85FE-52EC2ED3D850}" uniqueName="34" name="YearsSinceLastPromotion" queryTableFieldId="34"/>
    <tableColumn id="35" xr3:uid="{3324B8CA-228D-481A-90B0-82F8A14B8A7A}" uniqueName="35" name="YearsWithCurrManager" queryTableField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B36CBC-24F4-4241-99CC-D388F02C2B55}" name="cleaned_data" displayName="cleaned_data" ref="A1:AB1471" tableType="queryTable" totalsRowShown="0">
  <autoFilter ref="A1:AB1471" xr:uid="{B7B36CBC-24F4-4241-99CC-D388F02C2B55}"/>
  <tableColumns count="28">
    <tableColumn id="1" xr3:uid="{804C6C0A-EB44-4BB9-9B08-3E9C04258285}" uniqueName="1" name="Age" queryTableFieldId="1" dataDxfId="14"/>
    <tableColumn id="2" xr3:uid="{46C709FF-2143-458A-9199-C5C0B9BE065A}" uniqueName="2" name="Attrition" queryTableFieldId="2" dataDxfId="13"/>
    <tableColumn id="7" xr3:uid="{B541C471-4291-465C-A149-8DE5BB783C73}" uniqueName="7" name="Attrition_flag" queryTableFieldId="34"/>
    <tableColumn id="3" xr3:uid="{5CBDC8EF-1D0B-4BB5-A200-BADF7A5BD60F}" uniqueName="3" name="BusinessTravel" queryTableFieldId="3" dataDxfId="12"/>
    <tableColumn id="5" xr3:uid="{B40B8373-B676-47E7-A7F7-03CFD898C61C}" uniqueName="5" name="Department" queryTableFieldId="5" dataDxfId="11"/>
    <tableColumn id="6" xr3:uid="{3693C433-8D69-47B6-A915-453C9B3AFD8B}" uniqueName="6" name="DistanceFromHome" queryTableFieldId="6"/>
    <tableColumn id="8" xr3:uid="{F2BDB875-9CB6-4BDC-8C9D-FDD02B464E42}" uniqueName="8" name="EducationField" queryTableFieldId="8" dataDxfId="10"/>
    <tableColumn id="4" xr3:uid="{D7C2624A-E73D-4680-861C-2A3C603A23C6}" uniqueName="4" name="EmployeeNumber" queryTableFieldId="32" dataDxfId="9"/>
    <tableColumn id="9" xr3:uid="{B717CC9F-FAF9-427C-98C1-53878BC29E5C}" uniqueName="9" name="EnvironmentSatisfaction" queryTableFieldId="9"/>
    <tableColumn id="10" xr3:uid="{19C8A2DB-7174-46A3-90E9-456E1400EF0F}" uniqueName="10" name="Gender" queryTableFieldId="10" dataDxfId="8"/>
    <tableColumn id="12" xr3:uid="{2DE2693C-388F-49F0-8154-DFB32828915A}" uniqueName="12" name="JobInvolvement" queryTableFieldId="12"/>
    <tableColumn id="13" xr3:uid="{3E36D846-5479-4861-A97B-D06D059260D9}" uniqueName="13" name="JobLevel" queryTableFieldId="13"/>
    <tableColumn id="14" xr3:uid="{2737482D-801F-44A7-9001-8C0EF3264D4C}" uniqueName="14" name="JobRole" queryTableFieldId="14" dataDxfId="7"/>
    <tableColumn id="15" xr3:uid="{3EE225E7-DD21-4682-9CE5-3040F0314DC8}" uniqueName="15" name="JobSatisfaction" queryTableFieldId="15"/>
    <tableColumn id="16" xr3:uid="{5E8D45D6-DF1C-4507-BCAA-F1587950DDF4}" uniqueName="16" name="MaritalStatus" queryTableFieldId="16" dataDxfId="6"/>
    <tableColumn id="17" xr3:uid="{609CC6D0-0ABC-4351-B081-99F264FEF73F}" uniqueName="17" name="MonthlyIncome" queryTableFieldId="17" dataDxfId="5"/>
    <tableColumn id="11" xr3:uid="{B069F570-C9C2-47BA-BE56-4C454F41EFB4}" uniqueName="11" name="Monthly_Income" queryTableFieldId="35"/>
    <tableColumn id="20" xr3:uid="{14ADA2CF-F73E-495D-A5CA-36D9204CF863}" uniqueName="20" name="OverTime" queryTableFieldId="20" dataDxfId="4"/>
    <tableColumn id="22" xr3:uid="{FE8A6D7E-C66A-4CFA-9B06-0E75EA5D125F}" uniqueName="22" name="PerformanceRating" queryTableFieldId="22"/>
    <tableColumn id="25" xr3:uid="{0A3686BF-2B1C-4CFB-B7DD-9629DFB7507E}" uniqueName="25" name="TotalWorkingYears" queryTableFieldId="25"/>
    <tableColumn id="27" xr3:uid="{52B81232-5E88-4F5E-AE74-0267EF89BEDB}" uniqueName="27" name="WorkLifeBalance" queryTableFieldId="27"/>
    <tableColumn id="28" xr3:uid="{E38800B2-EB42-4C6E-AF0B-82A9C4A9A9EB}" uniqueName="28" name="YearsAtCompany" queryTableFieldId="28" dataDxfId="3"/>
    <tableColumn id="29" xr3:uid="{4A979297-126A-4089-9131-8FA4DED9E684}" uniqueName="29" name="YearsInCurrentRole" queryTableFieldId="29"/>
    <tableColumn id="30" xr3:uid="{90E8EA2C-36BE-462E-8B05-5B6C93469D0E}" uniqueName="30" name="YearsSinceLastPromotion" queryTableFieldId="30"/>
    <tableColumn id="31" xr3:uid="{87C55365-FCC4-417B-B571-B454544D83EF}" uniqueName="31" name="YearsWithCurrManager" queryTableFieldId="31"/>
    <tableColumn id="18" xr3:uid="{AF1DA1E2-373D-4E62-9A8B-D735EFA84736}" uniqueName="18" name="Age_group" queryTableFieldId="36" dataDxfId="2"/>
    <tableColumn id="19" xr3:uid="{C049CF8A-6A33-4D60-A986-592CF62EFB50}" uniqueName="19" name="Years_of_experience" queryTableFieldId="37" dataDxfId="1"/>
    <tableColumn id="21" xr3:uid="{01125756-C831-4FED-92DD-C123591D330C}" uniqueName="21" name="Tenure_group" queryTableFieldId="40" dataDxfId="0">
      <calculatedColumnFormula array="1">_xlfn.IFS(cleaned_data[[#This Row],[YearsAtCompany]]&lt;=5, "0-5",cleaned_data[[#This Row],[YearsAtCompany]]&lt;=10,"6-10",TRUE,"10+")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BF71B0-64E7-4E1E-80BD-9D26192788A5}" name="Table3" displayName="Table3" ref="A2:G16" totalsRowShown="0">
  <tableColumns count="7">
    <tableColumn id="1" xr3:uid="{C75E18C8-8651-4DAF-A57B-34F04C763988}" name="KPI's"/>
    <tableColumn id="2" xr3:uid="{2C233776-91F4-4DBC-9B88-79D295ACAB95}" name="Column1"/>
    <tableColumn id="3" xr3:uid="{AE7B8C12-69CB-4094-9A99-6AC1F4DB6984}" name="Column2"/>
    <tableColumn id="4" xr3:uid="{E83C9067-6574-4867-B794-93122B11E190}" name="Column3"/>
    <tableColumn id="5" xr3:uid="{5275CAA7-492C-46AC-962E-97D88A713B46}" name="Values"/>
    <tableColumn id="6" xr3:uid="{F80D33CD-516F-4BB3-8221-B275BFE00822}" name="Column4"/>
    <tableColumn id="7" xr3:uid="{04D8B3CE-A9CB-4B17-91DA-7ADD2B626BE8}" name="Formul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D5DEAF-A53F-4117-A639-D17A8C322258}">
  <we:reference id="wa200009404" version="1.0.0.8" store="en-US" storeType="OMEX"/>
  <we:alternateReferences>
    <we:reference id="WA200009404" version="1.0.0.8" store="" storeType="OMEX"/>
  </we:alternateReferences>
  <we:properties>
    <we:property name="claude.fileId" value="&quot;b2addb8a-601c-4ee2-a851-4b448de51e3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E9B47-EB40-41E9-A013-8CB6B238FA36}">
  <dimension ref="A1:AI1471"/>
  <sheetViews>
    <sheetView topLeftCell="D1" workbookViewId="0">
      <selection activeCell="E11" sqref="E11"/>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9.21875" bestFit="1" customWidth="1"/>
    <col min="23" max="23" width="11.33203125" bestFit="1" customWidth="1"/>
    <col min="24" max="24" width="18.5546875" bestFit="1" customWidth="1"/>
    <col min="25" max="25" width="19.6640625" bestFit="1" customWidth="1"/>
    <col min="26" max="26" width="23.6640625" bestFit="1" customWidth="1"/>
    <col min="27" max="27" width="15.88671875" bestFit="1" customWidth="1"/>
    <col min="28" max="28" width="18.109375" bestFit="1" customWidth="1"/>
    <col min="29" max="29" width="19.109375" bestFit="1" customWidth="1"/>
    <col min="30" max="30" width="22.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DFD4-ECBF-45E6-8F21-8F8E17A5F552}">
  <dimension ref="A1:AB1471"/>
  <sheetViews>
    <sheetView topLeftCell="N1445" workbookViewId="0">
      <selection activeCell="V2" sqref="V2"/>
    </sheetView>
  </sheetViews>
  <sheetFormatPr defaultRowHeight="14.4" x14ac:dyDescent="0.3"/>
  <cols>
    <col min="1" max="1" width="6.44140625" style="2" bestFit="1" customWidth="1"/>
    <col min="2" max="2" width="10.21875" bestFit="1" customWidth="1"/>
    <col min="3" max="3" width="14.33203125" bestFit="1" customWidth="1"/>
    <col min="4" max="4" width="15.6640625" bestFit="1" customWidth="1"/>
    <col min="5" max="5" width="21.88671875" bestFit="1" customWidth="1"/>
    <col min="6" max="6" width="19.88671875" bestFit="1" customWidth="1"/>
    <col min="7" max="7" width="15.6640625" bestFit="1" customWidth="1"/>
    <col min="8" max="8" width="18.5546875" bestFit="1" customWidth="1"/>
    <col min="9" max="9" width="24.21875" bestFit="1" customWidth="1"/>
    <col min="10" max="10" width="9.33203125" bestFit="1" customWidth="1"/>
    <col min="11" max="11" width="16.88671875" bestFit="1" customWidth="1"/>
    <col min="12" max="12" width="10.44140625" bestFit="1" customWidth="1"/>
    <col min="13" max="13" width="22.88671875" bestFit="1" customWidth="1"/>
    <col min="14" max="14" width="16" bestFit="1" customWidth="1"/>
    <col min="15" max="15" width="14.44140625" bestFit="1" customWidth="1"/>
    <col min="16" max="16" width="16.88671875" style="6" bestFit="1" customWidth="1"/>
    <col min="17" max="17" width="17.88671875" style="1" bestFit="1" customWidth="1"/>
    <col min="18" max="18" width="11.33203125" bestFit="1" customWidth="1"/>
    <col min="19" max="19" width="19.6640625" bestFit="1" customWidth="1"/>
    <col min="20" max="20" width="19.109375" bestFit="1" customWidth="1"/>
    <col min="21" max="21" width="17.44140625" bestFit="1" customWidth="1"/>
    <col min="22" max="22" width="17.77734375" bestFit="1" customWidth="1"/>
    <col min="23" max="23" width="19.5546875" bestFit="1" customWidth="1"/>
    <col min="24" max="24" width="24.77734375" bestFit="1" customWidth="1"/>
    <col min="25" max="25" width="23" customWidth="1"/>
    <col min="26" max="26" width="12.44140625" bestFit="1" customWidth="1"/>
    <col min="27" max="27" width="20.77734375" bestFit="1" customWidth="1"/>
    <col min="28" max="28" width="15.109375" bestFit="1" customWidth="1"/>
    <col min="29" max="29" width="18.109375" bestFit="1" customWidth="1"/>
    <col min="30" max="30" width="19.109375" bestFit="1" customWidth="1"/>
    <col min="31" max="31" width="22.109375" bestFit="1" customWidth="1"/>
    <col min="32" max="32" width="17.44140625" bestFit="1" customWidth="1"/>
    <col min="33" max="33" width="17.77734375" bestFit="1" customWidth="1"/>
    <col min="34" max="34" width="19.5546875" bestFit="1" customWidth="1"/>
    <col min="35" max="35" width="24.77734375" bestFit="1" customWidth="1"/>
    <col min="36" max="36" width="23" bestFit="1" customWidth="1"/>
  </cols>
  <sheetData>
    <row r="1" spans="1:28" x14ac:dyDescent="0.3">
      <c r="A1" s="2" t="s">
        <v>0</v>
      </c>
      <c r="B1" t="s">
        <v>1</v>
      </c>
      <c r="C1" t="s">
        <v>62</v>
      </c>
      <c r="D1" t="s">
        <v>2</v>
      </c>
      <c r="E1" t="s">
        <v>4</v>
      </c>
      <c r="F1" t="s">
        <v>5</v>
      </c>
      <c r="G1" t="s">
        <v>7</v>
      </c>
      <c r="H1" t="s">
        <v>9</v>
      </c>
      <c r="I1" t="s">
        <v>10</v>
      </c>
      <c r="J1" t="s">
        <v>11</v>
      </c>
      <c r="K1" t="s">
        <v>13</v>
      </c>
      <c r="L1" t="s">
        <v>14</v>
      </c>
      <c r="M1" t="s">
        <v>15</v>
      </c>
      <c r="N1" t="s">
        <v>16</v>
      </c>
      <c r="O1" t="s">
        <v>17</v>
      </c>
      <c r="P1" s="6" t="s">
        <v>18</v>
      </c>
      <c r="Q1" t="s">
        <v>63</v>
      </c>
      <c r="R1" t="s">
        <v>22</v>
      </c>
      <c r="S1" t="s">
        <v>24</v>
      </c>
      <c r="T1" t="s">
        <v>28</v>
      </c>
      <c r="U1" t="s">
        <v>30</v>
      </c>
      <c r="V1" t="s">
        <v>31</v>
      </c>
      <c r="W1" t="s">
        <v>32</v>
      </c>
      <c r="X1" t="s">
        <v>33</v>
      </c>
      <c r="Y1" t="s">
        <v>34</v>
      </c>
      <c r="Z1" t="s">
        <v>64</v>
      </c>
      <c r="AA1" t="s">
        <v>65</v>
      </c>
      <c r="AB1" t="s">
        <v>1555</v>
      </c>
    </row>
    <row r="2" spans="1:28" x14ac:dyDescent="0.3">
      <c r="A2" s="2">
        <v>41</v>
      </c>
      <c r="B2" t="s">
        <v>35</v>
      </c>
      <c r="C2">
        <v>1</v>
      </c>
      <c r="D2" t="s">
        <v>36</v>
      </c>
      <c r="E2" t="s">
        <v>37</v>
      </c>
      <c r="F2">
        <v>1</v>
      </c>
      <c r="G2" t="s">
        <v>38</v>
      </c>
      <c r="H2" t="s">
        <v>66</v>
      </c>
      <c r="I2">
        <v>2</v>
      </c>
      <c r="J2" t="s">
        <v>39</v>
      </c>
      <c r="K2">
        <v>3</v>
      </c>
      <c r="L2">
        <v>2</v>
      </c>
      <c r="M2" t="s">
        <v>40</v>
      </c>
      <c r="N2">
        <v>4</v>
      </c>
      <c r="O2" t="s">
        <v>41</v>
      </c>
      <c r="P2" s="1">
        <v>5993</v>
      </c>
      <c r="Q2" t="s">
        <v>67</v>
      </c>
      <c r="R2" t="s">
        <v>35</v>
      </c>
      <c r="S2">
        <v>3</v>
      </c>
      <c r="T2">
        <v>8</v>
      </c>
      <c r="U2">
        <v>1</v>
      </c>
      <c r="V2">
        <v>6</v>
      </c>
      <c r="W2">
        <v>4</v>
      </c>
      <c r="X2">
        <v>0</v>
      </c>
      <c r="Y2">
        <v>5</v>
      </c>
      <c r="Z2" t="s">
        <v>1550</v>
      </c>
      <c r="AA2" t="s">
        <v>69</v>
      </c>
      <c r="AB2" t="str" cm="1">
        <f t="array" ref="AB2">_xlfn.IFS(cleaned_data[[#This Row],[YearsAtCompany]]&lt;=5, "0-5",cleaned_data[[#This Row],[YearsAtCompany]]&lt;=10,"6-10",TRUE,"10+")</f>
        <v>6-10</v>
      </c>
    </row>
    <row r="3" spans="1:28" x14ac:dyDescent="0.3">
      <c r="A3" s="2">
        <v>49</v>
      </c>
      <c r="B3" t="s">
        <v>43</v>
      </c>
      <c r="C3">
        <v>0</v>
      </c>
      <c r="D3" t="s">
        <v>44</v>
      </c>
      <c r="E3" t="s">
        <v>45</v>
      </c>
      <c r="F3">
        <v>8</v>
      </c>
      <c r="G3" t="s">
        <v>38</v>
      </c>
      <c r="H3" t="s">
        <v>70</v>
      </c>
      <c r="I3">
        <v>3</v>
      </c>
      <c r="J3" t="s">
        <v>46</v>
      </c>
      <c r="K3">
        <v>2</v>
      </c>
      <c r="L3">
        <v>2</v>
      </c>
      <c r="M3" t="s">
        <v>47</v>
      </c>
      <c r="N3">
        <v>2</v>
      </c>
      <c r="O3" t="s">
        <v>48</v>
      </c>
      <c r="P3" s="1">
        <v>5130</v>
      </c>
      <c r="Q3" t="s">
        <v>67</v>
      </c>
      <c r="R3" t="s">
        <v>43</v>
      </c>
      <c r="S3">
        <v>4</v>
      </c>
      <c r="T3">
        <v>10</v>
      </c>
      <c r="U3">
        <v>3</v>
      </c>
      <c r="V3">
        <v>10</v>
      </c>
      <c r="W3">
        <v>7</v>
      </c>
      <c r="X3">
        <v>1</v>
      </c>
      <c r="Y3">
        <v>7</v>
      </c>
      <c r="Z3" t="s">
        <v>106</v>
      </c>
      <c r="AA3" t="s">
        <v>69</v>
      </c>
      <c r="AB3" t="str" cm="1">
        <f t="array" ref="AB3">_xlfn.IFS(cleaned_data[[#This Row],[YearsAtCompany]]&lt;=5, "0-5",cleaned_data[[#This Row],[YearsAtCompany]]&lt;=10,"6-10",TRUE,"10+")</f>
        <v>6-10</v>
      </c>
    </row>
    <row r="4" spans="1:28" x14ac:dyDescent="0.3">
      <c r="A4" s="2">
        <v>37</v>
      </c>
      <c r="B4" t="s">
        <v>35</v>
      </c>
      <c r="C4">
        <v>1</v>
      </c>
      <c r="D4" t="s">
        <v>36</v>
      </c>
      <c r="E4" t="s">
        <v>45</v>
      </c>
      <c r="F4">
        <v>2</v>
      </c>
      <c r="G4" t="s">
        <v>49</v>
      </c>
      <c r="H4" t="s">
        <v>71</v>
      </c>
      <c r="I4">
        <v>4</v>
      </c>
      <c r="J4" t="s">
        <v>46</v>
      </c>
      <c r="K4">
        <v>2</v>
      </c>
      <c r="L4">
        <v>1</v>
      </c>
      <c r="M4" t="s">
        <v>50</v>
      </c>
      <c r="N4">
        <v>3</v>
      </c>
      <c r="O4" t="s">
        <v>41</v>
      </c>
      <c r="P4" s="1">
        <v>2090</v>
      </c>
      <c r="Q4" t="s">
        <v>72</v>
      </c>
      <c r="R4" t="s">
        <v>35</v>
      </c>
      <c r="S4">
        <v>3</v>
      </c>
      <c r="T4">
        <v>7</v>
      </c>
      <c r="U4">
        <v>3</v>
      </c>
      <c r="V4">
        <v>0</v>
      </c>
      <c r="W4">
        <v>0</v>
      </c>
      <c r="X4">
        <v>0</v>
      </c>
      <c r="Y4">
        <v>0</v>
      </c>
      <c r="Z4" t="s">
        <v>1550</v>
      </c>
      <c r="AA4" t="s">
        <v>69</v>
      </c>
      <c r="AB4" t="str" cm="1">
        <f t="array" ref="AB4">_xlfn.IFS(cleaned_data[[#This Row],[YearsAtCompany]]&lt;=5, "0-5",cleaned_data[[#This Row],[YearsAtCompany]]&lt;=10,"6-10",TRUE,"10+")</f>
        <v>0-5</v>
      </c>
    </row>
    <row r="5" spans="1:28" x14ac:dyDescent="0.3">
      <c r="A5" s="2">
        <v>33</v>
      </c>
      <c r="B5" t="s">
        <v>43</v>
      </c>
      <c r="C5">
        <v>0</v>
      </c>
      <c r="D5" t="s">
        <v>44</v>
      </c>
      <c r="E5" t="s">
        <v>45</v>
      </c>
      <c r="F5">
        <v>3</v>
      </c>
      <c r="G5" t="s">
        <v>38</v>
      </c>
      <c r="H5" t="s">
        <v>73</v>
      </c>
      <c r="I5">
        <v>4</v>
      </c>
      <c r="J5" t="s">
        <v>39</v>
      </c>
      <c r="K5">
        <v>3</v>
      </c>
      <c r="L5">
        <v>1</v>
      </c>
      <c r="M5" t="s">
        <v>47</v>
      </c>
      <c r="N5">
        <v>3</v>
      </c>
      <c r="O5" t="s">
        <v>48</v>
      </c>
      <c r="P5" s="1">
        <v>2909</v>
      </c>
      <c r="Q5" t="s">
        <v>72</v>
      </c>
      <c r="R5" t="s">
        <v>35</v>
      </c>
      <c r="S5">
        <v>3</v>
      </c>
      <c r="T5">
        <v>8</v>
      </c>
      <c r="U5">
        <v>3</v>
      </c>
      <c r="V5">
        <v>8</v>
      </c>
      <c r="W5">
        <v>7</v>
      </c>
      <c r="X5">
        <v>3</v>
      </c>
      <c r="Y5">
        <v>0</v>
      </c>
      <c r="Z5" t="s">
        <v>1551</v>
      </c>
      <c r="AA5" t="s">
        <v>69</v>
      </c>
      <c r="AB5" t="str" cm="1">
        <f t="array" ref="AB5">_xlfn.IFS(cleaned_data[[#This Row],[YearsAtCompany]]&lt;=5, "0-5",cleaned_data[[#This Row],[YearsAtCompany]]&lt;=10,"6-10",TRUE,"10+")</f>
        <v>6-10</v>
      </c>
    </row>
    <row r="6" spans="1:28" x14ac:dyDescent="0.3">
      <c r="A6" s="2">
        <v>27</v>
      </c>
      <c r="B6" t="s">
        <v>43</v>
      </c>
      <c r="C6">
        <v>0</v>
      </c>
      <c r="D6" t="s">
        <v>36</v>
      </c>
      <c r="E6" t="s">
        <v>45</v>
      </c>
      <c r="F6">
        <v>2</v>
      </c>
      <c r="G6" t="s">
        <v>51</v>
      </c>
      <c r="H6" t="s">
        <v>74</v>
      </c>
      <c r="I6">
        <v>1</v>
      </c>
      <c r="J6" t="s">
        <v>46</v>
      </c>
      <c r="K6">
        <v>3</v>
      </c>
      <c r="L6">
        <v>1</v>
      </c>
      <c r="M6" t="s">
        <v>50</v>
      </c>
      <c r="N6">
        <v>2</v>
      </c>
      <c r="O6" t="s">
        <v>48</v>
      </c>
      <c r="P6" s="1">
        <v>3468</v>
      </c>
      <c r="Q6" t="s">
        <v>72</v>
      </c>
      <c r="R6" t="s">
        <v>43</v>
      </c>
      <c r="S6">
        <v>3</v>
      </c>
      <c r="T6">
        <v>6</v>
      </c>
      <c r="U6">
        <v>3</v>
      </c>
      <c r="V6">
        <v>2</v>
      </c>
      <c r="W6">
        <v>2</v>
      </c>
      <c r="X6">
        <v>2</v>
      </c>
      <c r="Y6">
        <v>2</v>
      </c>
      <c r="Z6" t="s">
        <v>1551</v>
      </c>
      <c r="AA6" t="s">
        <v>69</v>
      </c>
      <c r="AB6" t="str" cm="1">
        <f t="array" ref="AB6">_xlfn.IFS(cleaned_data[[#This Row],[YearsAtCompany]]&lt;=5, "0-5",cleaned_data[[#This Row],[YearsAtCompany]]&lt;=10,"6-10",TRUE,"10+")</f>
        <v>0-5</v>
      </c>
    </row>
    <row r="7" spans="1:28" x14ac:dyDescent="0.3">
      <c r="A7" s="2">
        <v>32</v>
      </c>
      <c r="B7" t="s">
        <v>43</v>
      </c>
      <c r="C7">
        <v>0</v>
      </c>
      <c r="D7" t="s">
        <v>44</v>
      </c>
      <c r="E7" t="s">
        <v>45</v>
      </c>
      <c r="F7">
        <v>2</v>
      </c>
      <c r="G7" t="s">
        <v>38</v>
      </c>
      <c r="H7" t="s">
        <v>75</v>
      </c>
      <c r="I7">
        <v>4</v>
      </c>
      <c r="J7" t="s">
        <v>46</v>
      </c>
      <c r="K7">
        <v>3</v>
      </c>
      <c r="L7">
        <v>1</v>
      </c>
      <c r="M7" t="s">
        <v>50</v>
      </c>
      <c r="N7">
        <v>4</v>
      </c>
      <c r="O7" t="s">
        <v>41</v>
      </c>
      <c r="P7" s="1">
        <v>3068</v>
      </c>
      <c r="Q7" t="s">
        <v>72</v>
      </c>
      <c r="R7" t="s">
        <v>43</v>
      </c>
      <c r="S7">
        <v>3</v>
      </c>
      <c r="T7">
        <v>8</v>
      </c>
      <c r="U7">
        <v>2</v>
      </c>
      <c r="V7">
        <v>7</v>
      </c>
      <c r="W7">
        <v>7</v>
      </c>
      <c r="X7">
        <v>3</v>
      </c>
      <c r="Y7">
        <v>6</v>
      </c>
      <c r="Z7" t="s">
        <v>1551</v>
      </c>
      <c r="AA7" t="s">
        <v>69</v>
      </c>
      <c r="AB7" t="str" cm="1">
        <f t="array" ref="AB7">_xlfn.IFS(cleaned_data[[#This Row],[YearsAtCompany]]&lt;=5, "0-5",cleaned_data[[#This Row],[YearsAtCompany]]&lt;=10,"6-10",TRUE,"10+")</f>
        <v>6-10</v>
      </c>
    </row>
    <row r="8" spans="1:28" ht="16.8" customHeight="1" x14ac:dyDescent="0.3">
      <c r="A8" s="2">
        <v>59</v>
      </c>
      <c r="B8" t="s">
        <v>43</v>
      </c>
      <c r="C8">
        <v>0</v>
      </c>
      <c r="D8" t="s">
        <v>36</v>
      </c>
      <c r="E8" t="s">
        <v>45</v>
      </c>
      <c r="F8">
        <v>3</v>
      </c>
      <c r="G8" t="s">
        <v>51</v>
      </c>
      <c r="H8" t="s">
        <v>76</v>
      </c>
      <c r="I8">
        <v>3</v>
      </c>
      <c r="J8" t="s">
        <v>39</v>
      </c>
      <c r="K8">
        <v>4</v>
      </c>
      <c r="L8">
        <v>1</v>
      </c>
      <c r="M8" t="s">
        <v>50</v>
      </c>
      <c r="N8">
        <v>1</v>
      </c>
      <c r="O8" t="s">
        <v>48</v>
      </c>
      <c r="P8" s="6">
        <v>2670</v>
      </c>
      <c r="Q8" t="s">
        <v>72</v>
      </c>
      <c r="R8" t="s">
        <v>35</v>
      </c>
      <c r="S8">
        <v>4</v>
      </c>
      <c r="T8">
        <v>12</v>
      </c>
      <c r="U8">
        <v>2</v>
      </c>
      <c r="V8">
        <v>1</v>
      </c>
      <c r="W8">
        <v>0</v>
      </c>
      <c r="X8">
        <v>0</v>
      </c>
      <c r="Y8">
        <v>0</v>
      </c>
      <c r="Z8" t="s">
        <v>106</v>
      </c>
      <c r="AA8" t="s">
        <v>69</v>
      </c>
      <c r="AB8" t="str" cm="1">
        <f t="array" ref="AB8">_xlfn.IFS(cleaned_data[[#This Row],[YearsAtCompany]]&lt;=5, "0-5",cleaned_data[[#This Row],[YearsAtCompany]]&lt;=10,"6-10",TRUE,"10+")</f>
        <v>0-5</v>
      </c>
    </row>
    <row r="9" spans="1:28" x14ac:dyDescent="0.3">
      <c r="A9" s="2">
        <v>30</v>
      </c>
      <c r="B9" t="s">
        <v>43</v>
      </c>
      <c r="C9">
        <v>0</v>
      </c>
      <c r="D9" t="s">
        <v>36</v>
      </c>
      <c r="E9" t="s">
        <v>45</v>
      </c>
      <c r="F9">
        <v>24</v>
      </c>
      <c r="G9" t="s">
        <v>38</v>
      </c>
      <c r="H9" t="s">
        <v>77</v>
      </c>
      <c r="I9">
        <v>4</v>
      </c>
      <c r="J9" t="s">
        <v>46</v>
      </c>
      <c r="K9">
        <v>3</v>
      </c>
      <c r="L9">
        <v>1</v>
      </c>
      <c r="M9" t="s">
        <v>50</v>
      </c>
      <c r="N9">
        <v>3</v>
      </c>
      <c r="O9" t="s">
        <v>52</v>
      </c>
      <c r="P9" s="1">
        <v>2693</v>
      </c>
      <c r="Q9" t="s">
        <v>72</v>
      </c>
      <c r="R9" t="s">
        <v>43</v>
      </c>
      <c r="S9">
        <v>4</v>
      </c>
      <c r="T9">
        <v>1</v>
      </c>
      <c r="U9">
        <v>3</v>
      </c>
      <c r="V9">
        <v>1</v>
      </c>
      <c r="W9">
        <v>0</v>
      </c>
      <c r="X9">
        <v>0</v>
      </c>
      <c r="Y9">
        <v>0</v>
      </c>
      <c r="Z9" t="s">
        <v>1551</v>
      </c>
      <c r="AA9" t="s">
        <v>78</v>
      </c>
      <c r="AB9" t="str" cm="1">
        <f t="array" ref="AB9">_xlfn.IFS(cleaned_data[[#This Row],[YearsAtCompany]]&lt;=5, "0-5",cleaned_data[[#This Row],[YearsAtCompany]]&lt;=10,"6-10",TRUE,"10+")</f>
        <v>0-5</v>
      </c>
    </row>
    <row r="10" spans="1:28" x14ac:dyDescent="0.3">
      <c r="A10" s="2">
        <v>38</v>
      </c>
      <c r="B10" t="s">
        <v>43</v>
      </c>
      <c r="C10">
        <v>0</v>
      </c>
      <c r="D10" t="s">
        <v>44</v>
      </c>
      <c r="E10" t="s">
        <v>45</v>
      </c>
      <c r="F10">
        <v>23</v>
      </c>
      <c r="G10" t="s">
        <v>38</v>
      </c>
      <c r="H10" t="s">
        <v>79</v>
      </c>
      <c r="I10">
        <v>4</v>
      </c>
      <c r="J10" t="s">
        <v>46</v>
      </c>
      <c r="K10">
        <v>2</v>
      </c>
      <c r="L10">
        <v>3</v>
      </c>
      <c r="M10" t="s">
        <v>53</v>
      </c>
      <c r="N10">
        <v>3</v>
      </c>
      <c r="O10" t="s">
        <v>41</v>
      </c>
      <c r="P10" s="1">
        <v>9526</v>
      </c>
      <c r="Q10" t="s">
        <v>67</v>
      </c>
      <c r="R10" t="s">
        <v>43</v>
      </c>
      <c r="S10">
        <v>4</v>
      </c>
      <c r="T10">
        <v>10</v>
      </c>
      <c r="U10">
        <v>3</v>
      </c>
      <c r="V10">
        <v>9</v>
      </c>
      <c r="W10">
        <v>7</v>
      </c>
      <c r="X10">
        <v>1</v>
      </c>
      <c r="Y10">
        <v>8</v>
      </c>
      <c r="Z10" t="s">
        <v>1550</v>
      </c>
      <c r="AA10" t="s">
        <v>69</v>
      </c>
      <c r="AB10" t="str" cm="1">
        <f t="array" ref="AB10">_xlfn.IFS(cleaned_data[[#This Row],[YearsAtCompany]]&lt;=5, "0-5",cleaned_data[[#This Row],[YearsAtCompany]]&lt;=10,"6-10",TRUE,"10+")</f>
        <v>6-10</v>
      </c>
    </row>
    <row r="11" spans="1:28" x14ac:dyDescent="0.3">
      <c r="A11" s="2">
        <v>36</v>
      </c>
      <c r="B11" t="s">
        <v>43</v>
      </c>
      <c r="C11">
        <v>0</v>
      </c>
      <c r="D11" t="s">
        <v>36</v>
      </c>
      <c r="E11" t="s">
        <v>45</v>
      </c>
      <c r="F11">
        <v>27</v>
      </c>
      <c r="G11" t="s">
        <v>51</v>
      </c>
      <c r="H11" t="s">
        <v>80</v>
      </c>
      <c r="I11">
        <v>3</v>
      </c>
      <c r="J11" t="s">
        <v>46</v>
      </c>
      <c r="K11">
        <v>3</v>
      </c>
      <c r="L11">
        <v>2</v>
      </c>
      <c r="M11" t="s">
        <v>54</v>
      </c>
      <c r="N11">
        <v>3</v>
      </c>
      <c r="O11" t="s">
        <v>48</v>
      </c>
      <c r="P11" s="1">
        <v>5237</v>
      </c>
      <c r="Q11" t="s">
        <v>67</v>
      </c>
      <c r="R11" t="s">
        <v>43</v>
      </c>
      <c r="S11">
        <v>3</v>
      </c>
      <c r="T11">
        <v>17</v>
      </c>
      <c r="U11">
        <v>2</v>
      </c>
      <c r="V11">
        <v>7</v>
      </c>
      <c r="W11">
        <v>7</v>
      </c>
      <c r="X11">
        <v>7</v>
      </c>
      <c r="Y11">
        <v>7</v>
      </c>
      <c r="Z11" t="s">
        <v>1550</v>
      </c>
      <c r="AA11" t="s">
        <v>82</v>
      </c>
      <c r="AB11" t="str" cm="1">
        <f t="array" ref="AB11">_xlfn.IFS(cleaned_data[[#This Row],[YearsAtCompany]]&lt;=5, "0-5",cleaned_data[[#This Row],[YearsAtCompany]]&lt;=10,"6-10",TRUE,"10+")</f>
        <v>6-10</v>
      </c>
    </row>
    <row r="12" spans="1:28" x14ac:dyDescent="0.3">
      <c r="A12" s="2">
        <v>35</v>
      </c>
      <c r="B12" t="s">
        <v>43</v>
      </c>
      <c r="C12">
        <v>0</v>
      </c>
      <c r="D12" t="s">
        <v>36</v>
      </c>
      <c r="E12" t="s">
        <v>45</v>
      </c>
      <c r="F12">
        <v>16</v>
      </c>
      <c r="G12" t="s">
        <v>51</v>
      </c>
      <c r="H12" t="s">
        <v>81</v>
      </c>
      <c r="I12">
        <v>1</v>
      </c>
      <c r="J12" t="s">
        <v>46</v>
      </c>
      <c r="K12">
        <v>4</v>
      </c>
      <c r="L12">
        <v>1</v>
      </c>
      <c r="M12" t="s">
        <v>50</v>
      </c>
      <c r="N12">
        <v>2</v>
      </c>
      <c r="O12" t="s">
        <v>48</v>
      </c>
      <c r="P12" s="1">
        <v>2426</v>
      </c>
      <c r="Q12" t="s">
        <v>72</v>
      </c>
      <c r="R12" t="s">
        <v>43</v>
      </c>
      <c r="S12">
        <v>3</v>
      </c>
      <c r="T12">
        <v>6</v>
      </c>
      <c r="U12">
        <v>3</v>
      </c>
      <c r="V12">
        <v>5</v>
      </c>
      <c r="W12">
        <v>4</v>
      </c>
      <c r="X12">
        <v>0</v>
      </c>
      <c r="Y12">
        <v>3</v>
      </c>
      <c r="Z12" t="s">
        <v>1551</v>
      </c>
      <c r="AA12" t="s">
        <v>69</v>
      </c>
      <c r="AB12" t="str" cm="1">
        <f t="array" ref="AB12">_xlfn.IFS(cleaned_data[[#This Row],[YearsAtCompany]]&lt;=5, "0-5",cleaned_data[[#This Row],[YearsAtCompany]]&lt;=10,"6-10",TRUE,"10+")</f>
        <v>0-5</v>
      </c>
    </row>
    <row r="13" spans="1:28" x14ac:dyDescent="0.3">
      <c r="A13" s="2">
        <v>29</v>
      </c>
      <c r="B13" t="s">
        <v>43</v>
      </c>
      <c r="C13">
        <v>0</v>
      </c>
      <c r="D13" t="s">
        <v>36</v>
      </c>
      <c r="E13" t="s">
        <v>45</v>
      </c>
      <c r="F13">
        <v>15</v>
      </c>
      <c r="G13" t="s">
        <v>38</v>
      </c>
      <c r="H13" t="s">
        <v>82</v>
      </c>
      <c r="I13">
        <v>4</v>
      </c>
      <c r="J13" t="s">
        <v>39</v>
      </c>
      <c r="K13">
        <v>2</v>
      </c>
      <c r="L13">
        <v>2</v>
      </c>
      <c r="M13" t="s">
        <v>50</v>
      </c>
      <c r="N13">
        <v>3</v>
      </c>
      <c r="O13" t="s">
        <v>41</v>
      </c>
      <c r="P13" s="1">
        <v>4193</v>
      </c>
      <c r="Q13" t="s">
        <v>72</v>
      </c>
      <c r="R13" t="s">
        <v>35</v>
      </c>
      <c r="S13">
        <v>3</v>
      </c>
      <c r="T13">
        <v>10</v>
      </c>
      <c r="U13">
        <v>3</v>
      </c>
      <c r="V13">
        <v>9</v>
      </c>
      <c r="W13">
        <v>5</v>
      </c>
      <c r="X13">
        <v>0</v>
      </c>
      <c r="Y13">
        <v>8</v>
      </c>
      <c r="Z13" t="s">
        <v>1551</v>
      </c>
      <c r="AA13" t="s">
        <v>69</v>
      </c>
      <c r="AB13" t="str" cm="1">
        <f t="array" ref="AB13">_xlfn.IFS(cleaned_data[[#This Row],[YearsAtCompany]]&lt;=5, "0-5",cleaned_data[[#This Row],[YearsAtCompany]]&lt;=10,"6-10",TRUE,"10+")</f>
        <v>6-10</v>
      </c>
    </row>
    <row r="14" spans="1:28" x14ac:dyDescent="0.3">
      <c r="A14" s="2">
        <v>31</v>
      </c>
      <c r="B14" t="s">
        <v>43</v>
      </c>
      <c r="C14">
        <v>0</v>
      </c>
      <c r="D14" t="s">
        <v>36</v>
      </c>
      <c r="E14" t="s">
        <v>45</v>
      </c>
      <c r="F14">
        <v>26</v>
      </c>
      <c r="G14" t="s">
        <v>38</v>
      </c>
      <c r="H14" t="s">
        <v>83</v>
      </c>
      <c r="I14">
        <v>1</v>
      </c>
      <c r="J14" t="s">
        <v>46</v>
      </c>
      <c r="K14">
        <v>3</v>
      </c>
      <c r="L14">
        <v>1</v>
      </c>
      <c r="M14" t="s">
        <v>47</v>
      </c>
      <c r="N14">
        <v>3</v>
      </c>
      <c r="O14" t="s">
        <v>52</v>
      </c>
      <c r="P14" s="1">
        <v>2911</v>
      </c>
      <c r="Q14" t="s">
        <v>72</v>
      </c>
      <c r="R14" t="s">
        <v>43</v>
      </c>
      <c r="S14">
        <v>3</v>
      </c>
      <c r="T14">
        <v>5</v>
      </c>
      <c r="U14">
        <v>2</v>
      </c>
      <c r="V14">
        <v>5</v>
      </c>
      <c r="W14">
        <v>2</v>
      </c>
      <c r="X14">
        <v>4</v>
      </c>
      <c r="Y14">
        <v>3</v>
      </c>
      <c r="Z14" t="s">
        <v>1551</v>
      </c>
      <c r="AA14" t="s">
        <v>78</v>
      </c>
      <c r="AB14" t="str" cm="1">
        <f t="array" ref="AB14">_xlfn.IFS(cleaned_data[[#This Row],[YearsAtCompany]]&lt;=5, "0-5",cleaned_data[[#This Row],[YearsAtCompany]]&lt;=10,"6-10",TRUE,"10+")</f>
        <v>0-5</v>
      </c>
    </row>
    <row r="15" spans="1:28" x14ac:dyDescent="0.3">
      <c r="A15" s="2">
        <v>34</v>
      </c>
      <c r="B15" t="s">
        <v>43</v>
      </c>
      <c r="C15">
        <v>0</v>
      </c>
      <c r="D15" t="s">
        <v>36</v>
      </c>
      <c r="E15" t="s">
        <v>45</v>
      </c>
      <c r="F15">
        <v>19</v>
      </c>
      <c r="G15" t="s">
        <v>51</v>
      </c>
      <c r="H15" t="s">
        <v>84</v>
      </c>
      <c r="I15">
        <v>2</v>
      </c>
      <c r="J15" t="s">
        <v>46</v>
      </c>
      <c r="K15">
        <v>3</v>
      </c>
      <c r="L15">
        <v>1</v>
      </c>
      <c r="M15" t="s">
        <v>50</v>
      </c>
      <c r="N15">
        <v>4</v>
      </c>
      <c r="O15" t="s">
        <v>52</v>
      </c>
      <c r="P15" s="1">
        <v>2661</v>
      </c>
      <c r="Q15" t="s">
        <v>72</v>
      </c>
      <c r="R15" t="s">
        <v>43</v>
      </c>
      <c r="S15">
        <v>3</v>
      </c>
      <c r="T15">
        <v>3</v>
      </c>
      <c r="U15">
        <v>3</v>
      </c>
      <c r="V15">
        <v>2</v>
      </c>
      <c r="W15">
        <v>2</v>
      </c>
      <c r="X15">
        <v>1</v>
      </c>
      <c r="Y15">
        <v>2</v>
      </c>
      <c r="Z15" t="s">
        <v>1551</v>
      </c>
      <c r="AA15" t="s">
        <v>78</v>
      </c>
      <c r="AB15" t="str" cm="1">
        <f t="array" ref="AB15">_xlfn.IFS(cleaned_data[[#This Row],[YearsAtCompany]]&lt;=5, "0-5",cleaned_data[[#This Row],[YearsAtCompany]]&lt;=10,"6-10",TRUE,"10+")</f>
        <v>0-5</v>
      </c>
    </row>
    <row r="16" spans="1:28" x14ac:dyDescent="0.3">
      <c r="A16" s="2">
        <v>28</v>
      </c>
      <c r="B16" t="s">
        <v>35</v>
      </c>
      <c r="C16">
        <v>1</v>
      </c>
      <c r="D16" t="s">
        <v>36</v>
      </c>
      <c r="E16" t="s">
        <v>45</v>
      </c>
      <c r="F16">
        <v>24</v>
      </c>
      <c r="G16" t="s">
        <v>38</v>
      </c>
      <c r="H16" t="s">
        <v>85</v>
      </c>
      <c r="I16">
        <v>3</v>
      </c>
      <c r="J16" t="s">
        <v>46</v>
      </c>
      <c r="K16">
        <v>2</v>
      </c>
      <c r="L16">
        <v>1</v>
      </c>
      <c r="M16" t="s">
        <v>50</v>
      </c>
      <c r="N16">
        <v>3</v>
      </c>
      <c r="O16" t="s">
        <v>41</v>
      </c>
      <c r="P16" s="1">
        <v>2028</v>
      </c>
      <c r="Q16" t="s">
        <v>72</v>
      </c>
      <c r="R16" t="s">
        <v>35</v>
      </c>
      <c r="S16">
        <v>3</v>
      </c>
      <c r="T16">
        <v>6</v>
      </c>
      <c r="U16">
        <v>3</v>
      </c>
      <c r="V16">
        <v>4</v>
      </c>
      <c r="W16">
        <v>2</v>
      </c>
      <c r="X16">
        <v>0</v>
      </c>
      <c r="Y16">
        <v>3</v>
      </c>
      <c r="Z16" t="s">
        <v>1551</v>
      </c>
      <c r="AA16" t="s">
        <v>69</v>
      </c>
      <c r="AB16" t="str" cm="1">
        <f t="array" ref="AB16">_xlfn.IFS(cleaned_data[[#This Row],[YearsAtCompany]]&lt;=5, "0-5",cleaned_data[[#This Row],[YearsAtCompany]]&lt;=10,"6-10",TRUE,"10+")</f>
        <v>0-5</v>
      </c>
    </row>
    <row r="17" spans="1:28" x14ac:dyDescent="0.3">
      <c r="A17" s="2">
        <v>29</v>
      </c>
      <c r="B17" t="s">
        <v>43</v>
      </c>
      <c r="C17">
        <v>0</v>
      </c>
      <c r="D17" t="s">
        <v>36</v>
      </c>
      <c r="E17" t="s">
        <v>45</v>
      </c>
      <c r="F17">
        <v>21</v>
      </c>
      <c r="G17" t="s">
        <v>38</v>
      </c>
      <c r="H17" t="s">
        <v>86</v>
      </c>
      <c r="I17">
        <v>2</v>
      </c>
      <c r="J17" t="s">
        <v>39</v>
      </c>
      <c r="K17">
        <v>4</v>
      </c>
      <c r="L17">
        <v>3</v>
      </c>
      <c r="M17" t="s">
        <v>53</v>
      </c>
      <c r="N17">
        <v>1</v>
      </c>
      <c r="O17" t="s">
        <v>52</v>
      </c>
      <c r="P17" s="6">
        <v>9980</v>
      </c>
      <c r="Q17" t="s">
        <v>67</v>
      </c>
      <c r="R17" t="s">
        <v>43</v>
      </c>
      <c r="S17">
        <v>3</v>
      </c>
      <c r="T17">
        <v>10</v>
      </c>
      <c r="U17">
        <v>3</v>
      </c>
      <c r="V17">
        <v>10</v>
      </c>
      <c r="W17">
        <v>9</v>
      </c>
      <c r="X17">
        <v>8</v>
      </c>
      <c r="Y17">
        <v>8</v>
      </c>
      <c r="Z17" t="s">
        <v>1551</v>
      </c>
      <c r="AA17" t="s">
        <v>69</v>
      </c>
      <c r="AB17" t="str" cm="1">
        <f t="array" ref="AB17">_xlfn.IFS(cleaned_data[[#This Row],[YearsAtCompany]]&lt;=5, "0-5",cleaned_data[[#This Row],[YearsAtCompany]]&lt;=10,"6-10",TRUE,"10+")</f>
        <v>6-10</v>
      </c>
    </row>
    <row r="18" spans="1:28" x14ac:dyDescent="0.3">
      <c r="A18" s="2">
        <v>32</v>
      </c>
      <c r="B18" t="s">
        <v>43</v>
      </c>
      <c r="C18">
        <v>0</v>
      </c>
      <c r="D18" t="s">
        <v>36</v>
      </c>
      <c r="E18" t="s">
        <v>45</v>
      </c>
      <c r="F18">
        <v>5</v>
      </c>
      <c r="G18" t="s">
        <v>38</v>
      </c>
      <c r="H18" t="s">
        <v>87</v>
      </c>
      <c r="I18">
        <v>1</v>
      </c>
      <c r="J18" t="s">
        <v>46</v>
      </c>
      <c r="K18">
        <v>4</v>
      </c>
      <c r="L18">
        <v>1</v>
      </c>
      <c r="M18" t="s">
        <v>47</v>
      </c>
      <c r="N18">
        <v>2</v>
      </c>
      <c r="O18" t="s">
        <v>52</v>
      </c>
      <c r="P18" s="1">
        <v>3298</v>
      </c>
      <c r="Q18" t="s">
        <v>72</v>
      </c>
      <c r="R18" t="s">
        <v>35</v>
      </c>
      <c r="S18">
        <v>3</v>
      </c>
      <c r="T18">
        <v>7</v>
      </c>
      <c r="U18">
        <v>2</v>
      </c>
      <c r="V18">
        <v>6</v>
      </c>
      <c r="W18">
        <v>2</v>
      </c>
      <c r="X18">
        <v>0</v>
      </c>
      <c r="Y18">
        <v>5</v>
      </c>
      <c r="Z18" t="s">
        <v>1551</v>
      </c>
      <c r="AA18" t="s">
        <v>69</v>
      </c>
      <c r="AB18" t="str" cm="1">
        <f t="array" ref="AB18">_xlfn.IFS(cleaned_data[[#This Row],[YearsAtCompany]]&lt;=5, "0-5",cleaned_data[[#This Row],[YearsAtCompany]]&lt;=10,"6-10",TRUE,"10+")</f>
        <v>6-10</v>
      </c>
    </row>
    <row r="19" spans="1:28" x14ac:dyDescent="0.3">
      <c r="A19" s="2">
        <v>22</v>
      </c>
      <c r="B19" t="s">
        <v>43</v>
      </c>
      <c r="C19">
        <v>0</v>
      </c>
      <c r="D19" t="s">
        <v>55</v>
      </c>
      <c r="E19" t="s">
        <v>45</v>
      </c>
      <c r="F19">
        <v>16</v>
      </c>
      <c r="G19" t="s">
        <v>51</v>
      </c>
      <c r="H19" t="s">
        <v>88</v>
      </c>
      <c r="I19">
        <v>4</v>
      </c>
      <c r="J19" t="s">
        <v>46</v>
      </c>
      <c r="K19">
        <v>4</v>
      </c>
      <c r="L19">
        <v>1</v>
      </c>
      <c r="M19" t="s">
        <v>50</v>
      </c>
      <c r="N19">
        <v>4</v>
      </c>
      <c r="O19" t="s">
        <v>52</v>
      </c>
      <c r="P19" s="1">
        <v>2935</v>
      </c>
      <c r="Q19" t="s">
        <v>72</v>
      </c>
      <c r="R19" t="s">
        <v>35</v>
      </c>
      <c r="S19">
        <v>3</v>
      </c>
      <c r="T19">
        <v>1</v>
      </c>
      <c r="U19">
        <v>2</v>
      </c>
      <c r="V19">
        <v>1</v>
      </c>
      <c r="W19">
        <v>0</v>
      </c>
      <c r="X19">
        <v>0</v>
      </c>
      <c r="Y19">
        <v>0</v>
      </c>
      <c r="Z19" t="s">
        <v>68</v>
      </c>
      <c r="AA19" t="s">
        <v>78</v>
      </c>
      <c r="AB19" t="str" cm="1">
        <f t="array" ref="AB19">_xlfn.IFS(cleaned_data[[#This Row],[YearsAtCompany]]&lt;=5, "0-5",cleaned_data[[#This Row],[YearsAtCompany]]&lt;=10,"6-10",TRUE,"10+")</f>
        <v>0-5</v>
      </c>
    </row>
    <row r="20" spans="1:28" x14ac:dyDescent="0.3">
      <c r="A20" s="2">
        <v>53</v>
      </c>
      <c r="B20" t="s">
        <v>43</v>
      </c>
      <c r="C20">
        <v>0</v>
      </c>
      <c r="D20" t="s">
        <v>36</v>
      </c>
      <c r="E20" t="s">
        <v>37</v>
      </c>
      <c r="F20">
        <v>2</v>
      </c>
      <c r="G20" t="s">
        <v>38</v>
      </c>
      <c r="H20" t="s">
        <v>89</v>
      </c>
      <c r="I20">
        <v>1</v>
      </c>
      <c r="J20" t="s">
        <v>39</v>
      </c>
      <c r="K20">
        <v>2</v>
      </c>
      <c r="L20">
        <v>4</v>
      </c>
      <c r="M20" t="s">
        <v>56</v>
      </c>
      <c r="N20">
        <v>4</v>
      </c>
      <c r="O20" t="s">
        <v>48</v>
      </c>
      <c r="P20" s="1">
        <v>15427</v>
      </c>
      <c r="Q20" t="s">
        <v>90</v>
      </c>
      <c r="R20" t="s">
        <v>43</v>
      </c>
      <c r="S20">
        <v>3</v>
      </c>
      <c r="T20">
        <v>31</v>
      </c>
      <c r="U20">
        <v>3</v>
      </c>
      <c r="V20">
        <v>25</v>
      </c>
      <c r="W20">
        <v>8</v>
      </c>
      <c r="X20">
        <v>3</v>
      </c>
      <c r="Y20">
        <v>7</v>
      </c>
      <c r="Z20" t="s">
        <v>106</v>
      </c>
      <c r="AA20" t="s">
        <v>82</v>
      </c>
      <c r="AB20" t="str" cm="1">
        <f t="array" ref="AB20">_xlfn.IFS(cleaned_data[[#This Row],[YearsAtCompany]]&lt;=5, "0-5",cleaned_data[[#This Row],[YearsAtCompany]]&lt;=10,"6-10",TRUE,"10+")</f>
        <v>10+</v>
      </c>
    </row>
    <row r="21" spans="1:28" x14ac:dyDescent="0.3">
      <c r="A21" s="2">
        <v>38</v>
      </c>
      <c r="B21" t="s">
        <v>43</v>
      </c>
      <c r="C21">
        <v>0</v>
      </c>
      <c r="D21" t="s">
        <v>36</v>
      </c>
      <c r="E21" t="s">
        <v>45</v>
      </c>
      <c r="F21">
        <v>2</v>
      </c>
      <c r="G21" t="s">
        <v>38</v>
      </c>
      <c r="H21" t="s">
        <v>91</v>
      </c>
      <c r="I21">
        <v>4</v>
      </c>
      <c r="J21" t="s">
        <v>46</v>
      </c>
      <c r="K21">
        <v>3</v>
      </c>
      <c r="L21">
        <v>1</v>
      </c>
      <c r="M21" t="s">
        <v>47</v>
      </c>
      <c r="N21">
        <v>4</v>
      </c>
      <c r="O21" t="s">
        <v>41</v>
      </c>
      <c r="P21" s="1">
        <v>3944</v>
      </c>
      <c r="Q21" t="s">
        <v>72</v>
      </c>
      <c r="R21" t="s">
        <v>35</v>
      </c>
      <c r="S21">
        <v>3</v>
      </c>
      <c r="T21">
        <v>6</v>
      </c>
      <c r="U21">
        <v>3</v>
      </c>
      <c r="V21">
        <v>3</v>
      </c>
      <c r="W21">
        <v>2</v>
      </c>
      <c r="X21">
        <v>1</v>
      </c>
      <c r="Y21">
        <v>2</v>
      </c>
      <c r="Z21" t="s">
        <v>1550</v>
      </c>
      <c r="AA21" t="s">
        <v>69</v>
      </c>
      <c r="AB21" t="str" cm="1">
        <f t="array" ref="AB21">_xlfn.IFS(cleaned_data[[#This Row],[YearsAtCompany]]&lt;=5, "0-5",cleaned_data[[#This Row],[YearsAtCompany]]&lt;=10,"6-10",TRUE,"10+")</f>
        <v>0-5</v>
      </c>
    </row>
    <row r="22" spans="1:28" x14ac:dyDescent="0.3">
      <c r="A22" s="2">
        <v>24</v>
      </c>
      <c r="B22" t="s">
        <v>43</v>
      </c>
      <c r="C22">
        <v>0</v>
      </c>
      <c r="D22" t="s">
        <v>55</v>
      </c>
      <c r="E22" t="s">
        <v>45</v>
      </c>
      <c r="F22">
        <v>11</v>
      </c>
      <c r="G22" t="s">
        <v>49</v>
      </c>
      <c r="H22" t="s">
        <v>92</v>
      </c>
      <c r="I22">
        <v>1</v>
      </c>
      <c r="J22" t="s">
        <v>39</v>
      </c>
      <c r="K22">
        <v>4</v>
      </c>
      <c r="L22">
        <v>2</v>
      </c>
      <c r="M22" t="s">
        <v>53</v>
      </c>
      <c r="N22">
        <v>3</v>
      </c>
      <c r="O22" t="s">
        <v>52</v>
      </c>
      <c r="P22" s="1">
        <v>4011</v>
      </c>
      <c r="Q22" t="s">
        <v>72</v>
      </c>
      <c r="R22" t="s">
        <v>43</v>
      </c>
      <c r="S22">
        <v>3</v>
      </c>
      <c r="T22">
        <v>5</v>
      </c>
      <c r="U22">
        <v>2</v>
      </c>
      <c r="V22">
        <v>4</v>
      </c>
      <c r="W22">
        <v>2</v>
      </c>
      <c r="X22">
        <v>1</v>
      </c>
      <c r="Y22">
        <v>3</v>
      </c>
      <c r="Z22" t="s">
        <v>68</v>
      </c>
      <c r="AA22" t="s">
        <v>78</v>
      </c>
      <c r="AB22" t="str" cm="1">
        <f t="array" ref="AB22">_xlfn.IFS(cleaned_data[[#This Row],[YearsAtCompany]]&lt;=5, "0-5",cleaned_data[[#This Row],[YearsAtCompany]]&lt;=10,"6-10",TRUE,"10+")</f>
        <v>0-5</v>
      </c>
    </row>
    <row r="23" spans="1:28" x14ac:dyDescent="0.3">
      <c r="A23" s="2">
        <v>36</v>
      </c>
      <c r="B23" t="s">
        <v>35</v>
      </c>
      <c r="C23">
        <v>1</v>
      </c>
      <c r="D23" t="s">
        <v>36</v>
      </c>
      <c r="E23" t="s">
        <v>37</v>
      </c>
      <c r="F23">
        <v>9</v>
      </c>
      <c r="G23" t="s">
        <v>38</v>
      </c>
      <c r="H23" t="s">
        <v>93</v>
      </c>
      <c r="I23">
        <v>3</v>
      </c>
      <c r="J23" t="s">
        <v>46</v>
      </c>
      <c r="K23">
        <v>2</v>
      </c>
      <c r="L23">
        <v>1</v>
      </c>
      <c r="M23" t="s">
        <v>57</v>
      </c>
      <c r="N23">
        <v>1</v>
      </c>
      <c r="O23" t="s">
        <v>41</v>
      </c>
      <c r="P23" s="6">
        <v>3407</v>
      </c>
      <c r="Q23" t="s">
        <v>72</v>
      </c>
      <c r="R23" t="s">
        <v>43</v>
      </c>
      <c r="S23">
        <v>4</v>
      </c>
      <c r="T23">
        <v>10</v>
      </c>
      <c r="U23">
        <v>3</v>
      </c>
      <c r="V23">
        <v>5</v>
      </c>
      <c r="W23">
        <v>3</v>
      </c>
      <c r="X23">
        <v>0</v>
      </c>
      <c r="Y23">
        <v>3</v>
      </c>
      <c r="Z23" t="s">
        <v>1550</v>
      </c>
      <c r="AA23" t="s">
        <v>69</v>
      </c>
      <c r="AB23" t="str" cm="1">
        <f t="array" ref="AB23">_xlfn.IFS(cleaned_data[[#This Row],[YearsAtCompany]]&lt;=5, "0-5",cleaned_data[[#This Row],[YearsAtCompany]]&lt;=10,"6-10",TRUE,"10+")</f>
        <v>0-5</v>
      </c>
    </row>
    <row r="24" spans="1:28" x14ac:dyDescent="0.3">
      <c r="A24" s="2">
        <v>34</v>
      </c>
      <c r="B24" t="s">
        <v>43</v>
      </c>
      <c r="C24">
        <v>0</v>
      </c>
      <c r="D24" t="s">
        <v>36</v>
      </c>
      <c r="E24" t="s">
        <v>45</v>
      </c>
      <c r="F24">
        <v>7</v>
      </c>
      <c r="G24" t="s">
        <v>38</v>
      </c>
      <c r="H24" t="s">
        <v>94</v>
      </c>
      <c r="I24">
        <v>1</v>
      </c>
      <c r="J24" t="s">
        <v>39</v>
      </c>
      <c r="K24">
        <v>3</v>
      </c>
      <c r="L24">
        <v>3</v>
      </c>
      <c r="M24" t="s">
        <v>58</v>
      </c>
      <c r="N24">
        <v>2</v>
      </c>
      <c r="O24" t="s">
        <v>41</v>
      </c>
      <c r="P24" s="1">
        <v>11994</v>
      </c>
      <c r="Q24" t="s">
        <v>67</v>
      </c>
      <c r="R24" t="s">
        <v>43</v>
      </c>
      <c r="S24">
        <v>3</v>
      </c>
      <c r="T24">
        <v>13</v>
      </c>
      <c r="U24">
        <v>3</v>
      </c>
      <c r="V24">
        <v>12</v>
      </c>
      <c r="W24">
        <v>6</v>
      </c>
      <c r="X24">
        <v>2</v>
      </c>
      <c r="Y24">
        <v>11</v>
      </c>
      <c r="Z24" t="s">
        <v>1551</v>
      </c>
      <c r="AA24" t="s">
        <v>69</v>
      </c>
      <c r="AB24" t="str" cm="1">
        <f t="array" ref="AB24">_xlfn.IFS(cleaned_data[[#This Row],[YearsAtCompany]]&lt;=5, "0-5",cleaned_data[[#This Row],[YearsAtCompany]]&lt;=10,"6-10",TRUE,"10+")</f>
        <v>10+</v>
      </c>
    </row>
    <row r="25" spans="1:28" x14ac:dyDescent="0.3">
      <c r="A25" s="2">
        <v>21</v>
      </c>
      <c r="B25" t="s">
        <v>43</v>
      </c>
      <c r="C25">
        <v>0</v>
      </c>
      <c r="D25" t="s">
        <v>36</v>
      </c>
      <c r="E25" t="s">
        <v>45</v>
      </c>
      <c r="F25">
        <v>15</v>
      </c>
      <c r="G25" t="s">
        <v>38</v>
      </c>
      <c r="H25" t="s">
        <v>95</v>
      </c>
      <c r="I25">
        <v>3</v>
      </c>
      <c r="J25" t="s">
        <v>46</v>
      </c>
      <c r="K25">
        <v>3</v>
      </c>
      <c r="L25">
        <v>1</v>
      </c>
      <c r="M25" t="s">
        <v>47</v>
      </c>
      <c r="N25">
        <v>4</v>
      </c>
      <c r="O25" t="s">
        <v>41</v>
      </c>
      <c r="P25" s="1">
        <v>1232</v>
      </c>
      <c r="Q25" t="s">
        <v>72</v>
      </c>
      <c r="R25" t="s">
        <v>43</v>
      </c>
      <c r="S25">
        <v>3</v>
      </c>
      <c r="T25">
        <v>0</v>
      </c>
      <c r="U25">
        <v>3</v>
      </c>
      <c r="V25">
        <v>0</v>
      </c>
      <c r="W25">
        <v>0</v>
      </c>
      <c r="X25">
        <v>0</v>
      </c>
      <c r="Y25">
        <v>0</v>
      </c>
      <c r="Z25" t="s">
        <v>68</v>
      </c>
      <c r="AA25" t="s">
        <v>78</v>
      </c>
      <c r="AB25" t="str" cm="1">
        <f t="array" ref="AB25">_xlfn.IFS(cleaned_data[[#This Row],[YearsAtCompany]]&lt;=5, "0-5",cleaned_data[[#This Row],[YearsAtCompany]]&lt;=10,"6-10",TRUE,"10+")</f>
        <v>0-5</v>
      </c>
    </row>
    <row r="26" spans="1:28" x14ac:dyDescent="0.3">
      <c r="A26" s="2">
        <v>34</v>
      </c>
      <c r="B26" t="s">
        <v>35</v>
      </c>
      <c r="C26">
        <v>1</v>
      </c>
      <c r="D26" t="s">
        <v>36</v>
      </c>
      <c r="E26" t="s">
        <v>45</v>
      </c>
      <c r="F26">
        <v>6</v>
      </c>
      <c r="G26" t="s">
        <v>51</v>
      </c>
      <c r="H26" t="s">
        <v>96</v>
      </c>
      <c r="I26">
        <v>2</v>
      </c>
      <c r="J26" t="s">
        <v>46</v>
      </c>
      <c r="K26">
        <v>3</v>
      </c>
      <c r="L26">
        <v>1</v>
      </c>
      <c r="M26" t="s">
        <v>47</v>
      </c>
      <c r="N26">
        <v>1</v>
      </c>
      <c r="O26" t="s">
        <v>41</v>
      </c>
      <c r="P26" s="6">
        <v>2960</v>
      </c>
      <c r="Q26" t="s">
        <v>72</v>
      </c>
      <c r="R26" t="s">
        <v>43</v>
      </c>
      <c r="S26">
        <v>3</v>
      </c>
      <c r="T26">
        <v>8</v>
      </c>
      <c r="U26">
        <v>3</v>
      </c>
      <c r="V26">
        <v>4</v>
      </c>
      <c r="W26">
        <v>2</v>
      </c>
      <c r="X26">
        <v>1</v>
      </c>
      <c r="Y26">
        <v>3</v>
      </c>
      <c r="Z26" t="s">
        <v>1551</v>
      </c>
      <c r="AA26" t="s">
        <v>69</v>
      </c>
      <c r="AB26" t="str" cm="1">
        <f t="array" ref="AB26">_xlfn.IFS(cleaned_data[[#This Row],[YearsAtCompany]]&lt;=5, "0-5",cleaned_data[[#This Row],[YearsAtCompany]]&lt;=10,"6-10",TRUE,"10+")</f>
        <v>0-5</v>
      </c>
    </row>
    <row r="27" spans="1:28" x14ac:dyDescent="0.3">
      <c r="A27" s="2">
        <v>53</v>
      </c>
      <c r="B27" t="s">
        <v>43</v>
      </c>
      <c r="C27">
        <v>0</v>
      </c>
      <c r="D27" t="s">
        <v>36</v>
      </c>
      <c r="E27" t="s">
        <v>45</v>
      </c>
      <c r="F27">
        <v>5</v>
      </c>
      <c r="G27" t="s">
        <v>49</v>
      </c>
      <c r="H27" t="s">
        <v>97</v>
      </c>
      <c r="I27">
        <v>3</v>
      </c>
      <c r="J27" t="s">
        <v>39</v>
      </c>
      <c r="K27">
        <v>3</v>
      </c>
      <c r="L27">
        <v>5</v>
      </c>
      <c r="M27" t="s">
        <v>56</v>
      </c>
      <c r="N27">
        <v>3</v>
      </c>
      <c r="O27" t="s">
        <v>52</v>
      </c>
      <c r="P27" s="1">
        <v>19094</v>
      </c>
      <c r="Q27" t="s">
        <v>90</v>
      </c>
      <c r="R27" t="s">
        <v>43</v>
      </c>
      <c r="S27">
        <v>3</v>
      </c>
      <c r="T27">
        <v>26</v>
      </c>
      <c r="U27">
        <v>2</v>
      </c>
      <c r="V27">
        <v>14</v>
      </c>
      <c r="W27">
        <v>13</v>
      </c>
      <c r="X27">
        <v>4</v>
      </c>
      <c r="Y27">
        <v>8</v>
      </c>
      <c r="Z27" t="s">
        <v>106</v>
      </c>
      <c r="AA27" t="s">
        <v>82</v>
      </c>
      <c r="AB27" t="str" cm="1">
        <f t="array" ref="AB27">_xlfn.IFS(cleaned_data[[#This Row],[YearsAtCompany]]&lt;=5, "0-5",cleaned_data[[#This Row],[YearsAtCompany]]&lt;=10,"6-10",TRUE,"10+")</f>
        <v>10+</v>
      </c>
    </row>
    <row r="28" spans="1:28" x14ac:dyDescent="0.3">
      <c r="A28" s="2">
        <v>32</v>
      </c>
      <c r="B28" t="s">
        <v>35</v>
      </c>
      <c r="C28">
        <v>1</v>
      </c>
      <c r="D28" t="s">
        <v>44</v>
      </c>
      <c r="E28" t="s">
        <v>45</v>
      </c>
      <c r="F28">
        <v>16</v>
      </c>
      <c r="G28" t="s">
        <v>38</v>
      </c>
      <c r="H28" t="s">
        <v>98</v>
      </c>
      <c r="I28">
        <v>2</v>
      </c>
      <c r="J28" t="s">
        <v>39</v>
      </c>
      <c r="K28">
        <v>1</v>
      </c>
      <c r="L28">
        <v>1</v>
      </c>
      <c r="M28" t="s">
        <v>47</v>
      </c>
      <c r="N28">
        <v>1</v>
      </c>
      <c r="O28" t="s">
        <v>41</v>
      </c>
      <c r="P28" s="6">
        <v>3919</v>
      </c>
      <c r="Q28" t="s">
        <v>72</v>
      </c>
      <c r="R28" t="s">
        <v>35</v>
      </c>
      <c r="S28">
        <v>4</v>
      </c>
      <c r="T28">
        <v>10</v>
      </c>
      <c r="U28">
        <v>3</v>
      </c>
      <c r="V28">
        <v>10</v>
      </c>
      <c r="W28">
        <v>2</v>
      </c>
      <c r="X28">
        <v>6</v>
      </c>
      <c r="Y28">
        <v>7</v>
      </c>
      <c r="Z28" t="s">
        <v>1551</v>
      </c>
      <c r="AA28" t="s">
        <v>69</v>
      </c>
      <c r="AB28" t="str" cm="1">
        <f t="array" ref="AB28">_xlfn.IFS(cleaned_data[[#This Row],[YearsAtCompany]]&lt;=5, "0-5",cleaned_data[[#This Row],[YearsAtCompany]]&lt;=10,"6-10",TRUE,"10+")</f>
        <v>6-10</v>
      </c>
    </row>
    <row r="29" spans="1:28" x14ac:dyDescent="0.3">
      <c r="A29" s="2">
        <v>42</v>
      </c>
      <c r="B29" t="s">
        <v>43</v>
      </c>
      <c r="C29">
        <v>0</v>
      </c>
      <c r="D29" t="s">
        <v>36</v>
      </c>
      <c r="E29" t="s">
        <v>37</v>
      </c>
      <c r="F29">
        <v>8</v>
      </c>
      <c r="G29" t="s">
        <v>59</v>
      </c>
      <c r="H29" t="s">
        <v>99</v>
      </c>
      <c r="I29">
        <v>3</v>
      </c>
      <c r="J29" t="s">
        <v>46</v>
      </c>
      <c r="K29">
        <v>3</v>
      </c>
      <c r="L29">
        <v>2</v>
      </c>
      <c r="M29" t="s">
        <v>40</v>
      </c>
      <c r="N29">
        <v>2</v>
      </c>
      <c r="O29" t="s">
        <v>48</v>
      </c>
      <c r="P29" s="1">
        <v>6825</v>
      </c>
      <c r="Q29" t="s">
        <v>67</v>
      </c>
      <c r="R29" t="s">
        <v>43</v>
      </c>
      <c r="S29">
        <v>3</v>
      </c>
      <c r="T29">
        <v>10</v>
      </c>
      <c r="U29">
        <v>3</v>
      </c>
      <c r="V29">
        <v>9</v>
      </c>
      <c r="W29">
        <v>7</v>
      </c>
      <c r="X29">
        <v>4</v>
      </c>
      <c r="Y29">
        <v>2</v>
      </c>
      <c r="Z29" t="s">
        <v>1550</v>
      </c>
      <c r="AA29" t="s">
        <v>69</v>
      </c>
      <c r="AB29" t="str" cm="1">
        <f t="array" ref="AB29">_xlfn.IFS(cleaned_data[[#This Row],[YearsAtCompany]]&lt;=5, "0-5",cleaned_data[[#This Row],[YearsAtCompany]]&lt;=10,"6-10",TRUE,"10+")</f>
        <v>6-10</v>
      </c>
    </row>
    <row r="30" spans="1:28" x14ac:dyDescent="0.3">
      <c r="A30" s="2">
        <v>44</v>
      </c>
      <c r="B30" t="s">
        <v>43</v>
      </c>
      <c r="C30">
        <v>0</v>
      </c>
      <c r="D30" t="s">
        <v>36</v>
      </c>
      <c r="E30" t="s">
        <v>45</v>
      </c>
      <c r="F30">
        <v>7</v>
      </c>
      <c r="G30" t="s">
        <v>51</v>
      </c>
      <c r="H30" t="s">
        <v>100</v>
      </c>
      <c r="I30">
        <v>1</v>
      </c>
      <c r="J30" t="s">
        <v>39</v>
      </c>
      <c r="K30">
        <v>2</v>
      </c>
      <c r="L30">
        <v>3</v>
      </c>
      <c r="M30" t="s">
        <v>54</v>
      </c>
      <c r="N30">
        <v>4</v>
      </c>
      <c r="O30" t="s">
        <v>48</v>
      </c>
      <c r="P30" s="1">
        <v>10248</v>
      </c>
      <c r="Q30" t="s">
        <v>67</v>
      </c>
      <c r="R30" t="s">
        <v>43</v>
      </c>
      <c r="S30">
        <v>3</v>
      </c>
      <c r="T30">
        <v>24</v>
      </c>
      <c r="U30">
        <v>3</v>
      </c>
      <c r="V30">
        <v>22</v>
      </c>
      <c r="W30">
        <v>6</v>
      </c>
      <c r="X30">
        <v>5</v>
      </c>
      <c r="Y30">
        <v>17</v>
      </c>
      <c r="Z30" t="s">
        <v>1550</v>
      </c>
      <c r="AA30" t="s">
        <v>82</v>
      </c>
      <c r="AB30" t="str" cm="1">
        <f t="array" ref="AB30">_xlfn.IFS(cleaned_data[[#This Row],[YearsAtCompany]]&lt;=5, "0-5",cleaned_data[[#This Row],[YearsAtCompany]]&lt;=10,"6-10",TRUE,"10+")</f>
        <v>10+</v>
      </c>
    </row>
    <row r="31" spans="1:28" x14ac:dyDescent="0.3">
      <c r="A31" s="2">
        <v>46</v>
      </c>
      <c r="B31" t="s">
        <v>43</v>
      </c>
      <c r="C31">
        <v>0</v>
      </c>
      <c r="D31" t="s">
        <v>36</v>
      </c>
      <c r="E31" t="s">
        <v>37</v>
      </c>
      <c r="F31">
        <v>2</v>
      </c>
      <c r="G31" t="s">
        <v>59</v>
      </c>
      <c r="H31" t="s">
        <v>101</v>
      </c>
      <c r="I31">
        <v>2</v>
      </c>
      <c r="J31" t="s">
        <v>39</v>
      </c>
      <c r="K31">
        <v>3</v>
      </c>
      <c r="L31">
        <v>5</v>
      </c>
      <c r="M31" t="s">
        <v>56</v>
      </c>
      <c r="N31">
        <v>1</v>
      </c>
      <c r="O31" t="s">
        <v>41</v>
      </c>
      <c r="P31" s="6">
        <v>18947</v>
      </c>
      <c r="Q31" t="s">
        <v>90</v>
      </c>
      <c r="R31" t="s">
        <v>43</v>
      </c>
      <c r="S31">
        <v>3</v>
      </c>
      <c r="T31">
        <v>22</v>
      </c>
      <c r="U31">
        <v>2</v>
      </c>
      <c r="V31">
        <v>2</v>
      </c>
      <c r="W31">
        <v>2</v>
      </c>
      <c r="X31">
        <v>2</v>
      </c>
      <c r="Y31">
        <v>1</v>
      </c>
      <c r="Z31" t="s">
        <v>106</v>
      </c>
      <c r="AA31" t="s">
        <v>82</v>
      </c>
      <c r="AB31" t="str" cm="1">
        <f t="array" ref="AB31">_xlfn.IFS(cleaned_data[[#This Row],[YearsAtCompany]]&lt;=5, "0-5",cleaned_data[[#This Row],[YearsAtCompany]]&lt;=10,"6-10",TRUE,"10+")</f>
        <v>0-5</v>
      </c>
    </row>
    <row r="32" spans="1:28" x14ac:dyDescent="0.3">
      <c r="A32" s="2">
        <v>33</v>
      </c>
      <c r="B32" t="s">
        <v>43</v>
      </c>
      <c r="C32">
        <v>0</v>
      </c>
      <c r="D32" t="s">
        <v>36</v>
      </c>
      <c r="E32" t="s">
        <v>45</v>
      </c>
      <c r="F32">
        <v>2</v>
      </c>
      <c r="G32" t="s">
        <v>51</v>
      </c>
      <c r="H32" t="s">
        <v>102</v>
      </c>
      <c r="I32">
        <v>3</v>
      </c>
      <c r="J32" t="s">
        <v>46</v>
      </c>
      <c r="K32">
        <v>3</v>
      </c>
      <c r="L32">
        <v>1</v>
      </c>
      <c r="M32" t="s">
        <v>50</v>
      </c>
      <c r="N32">
        <v>4</v>
      </c>
      <c r="O32" t="s">
        <v>41</v>
      </c>
      <c r="P32" s="1">
        <v>2496</v>
      </c>
      <c r="Q32" t="s">
        <v>72</v>
      </c>
      <c r="R32" t="s">
        <v>43</v>
      </c>
      <c r="S32">
        <v>3</v>
      </c>
      <c r="T32">
        <v>7</v>
      </c>
      <c r="U32">
        <v>3</v>
      </c>
      <c r="V32">
        <v>1</v>
      </c>
      <c r="W32">
        <v>1</v>
      </c>
      <c r="X32">
        <v>0</v>
      </c>
      <c r="Y32">
        <v>0</v>
      </c>
      <c r="Z32" t="s">
        <v>1551</v>
      </c>
      <c r="AA32" t="s">
        <v>69</v>
      </c>
      <c r="AB32" t="str" cm="1">
        <f t="array" ref="AB32">_xlfn.IFS(cleaned_data[[#This Row],[YearsAtCompany]]&lt;=5, "0-5",cleaned_data[[#This Row],[YearsAtCompany]]&lt;=10,"6-10",TRUE,"10+")</f>
        <v>0-5</v>
      </c>
    </row>
    <row r="33" spans="1:28" x14ac:dyDescent="0.3">
      <c r="A33" s="2">
        <v>44</v>
      </c>
      <c r="B33" t="s">
        <v>43</v>
      </c>
      <c r="C33">
        <v>0</v>
      </c>
      <c r="D33" t="s">
        <v>36</v>
      </c>
      <c r="E33" t="s">
        <v>45</v>
      </c>
      <c r="F33">
        <v>10</v>
      </c>
      <c r="G33" t="s">
        <v>49</v>
      </c>
      <c r="H33" t="s">
        <v>103</v>
      </c>
      <c r="I33">
        <v>4</v>
      </c>
      <c r="J33" t="s">
        <v>46</v>
      </c>
      <c r="K33">
        <v>3</v>
      </c>
      <c r="L33">
        <v>2</v>
      </c>
      <c r="M33" t="s">
        <v>54</v>
      </c>
      <c r="N33">
        <v>4</v>
      </c>
      <c r="O33" t="s">
        <v>48</v>
      </c>
      <c r="P33" s="1">
        <v>6465</v>
      </c>
      <c r="Q33" t="s">
        <v>67</v>
      </c>
      <c r="R33" t="s">
        <v>35</v>
      </c>
      <c r="S33">
        <v>3</v>
      </c>
      <c r="T33">
        <v>9</v>
      </c>
      <c r="U33">
        <v>4</v>
      </c>
      <c r="V33">
        <v>4</v>
      </c>
      <c r="W33">
        <v>2</v>
      </c>
      <c r="X33">
        <v>1</v>
      </c>
      <c r="Y33">
        <v>3</v>
      </c>
      <c r="Z33" t="s">
        <v>1550</v>
      </c>
      <c r="AA33" t="s">
        <v>69</v>
      </c>
      <c r="AB33" t="str" cm="1">
        <f t="array" ref="AB33">_xlfn.IFS(cleaned_data[[#This Row],[YearsAtCompany]]&lt;=5, "0-5",cleaned_data[[#This Row],[YearsAtCompany]]&lt;=10,"6-10",TRUE,"10+")</f>
        <v>0-5</v>
      </c>
    </row>
    <row r="34" spans="1:28" x14ac:dyDescent="0.3">
      <c r="A34" s="2">
        <v>30</v>
      </c>
      <c r="B34" t="s">
        <v>43</v>
      </c>
      <c r="C34">
        <v>0</v>
      </c>
      <c r="D34" t="s">
        <v>36</v>
      </c>
      <c r="E34" t="s">
        <v>45</v>
      </c>
      <c r="F34">
        <v>9</v>
      </c>
      <c r="G34" t="s">
        <v>51</v>
      </c>
      <c r="H34" t="s">
        <v>104</v>
      </c>
      <c r="I34">
        <v>4</v>
      </c>
      <c r="J34" t="s">
        <v>46</v>
      </c>
      <c r="K34">
        <v>2</v>
      </c>
      <c r="L34">
        <v>1</v>
      </c>
      <c r="M34" t="s">
        <v>50</v>
      </c>
      <c r="N34">
        <v>3</v>
      </c>
      <c r="O34" t="s">
        <v>41</v>
      </c>
      <c r="P34" s="1">
        <v>2206</v>
      </c>
      <c r="Q34" t="s">
        <v>72</v>
      </c>
      <c r="R34" t="s">
        <v>43</v>
      </c>
      <c r="S34">
        <v>3</v>
      </c>
      <c r="T34">
        <v>10</v>
      </c>
      <c r="U34">
        <v>3</v>
      </c>
      <c r="V34">
        <v>10</v>
      </c>
      <c r="W34">
        <v>0</v>
      </c>
      <c r="X34">
        <v>1</v>
      </c>
      <c r="Y34">
        <v>8</v>
      </c>
      <c r="Z34" t="s">
        <v>1551</v>
      </c>
      <c r="AA34" t="s">
        <v>69</v>
      </c>
      <c r="AB34" t="str" cm="1">
        <f t="array" ref="AB34">_xlfn.IFS(cleaned_data[[#This Row],[YearsAtCompany]]&lt;=5, "0-5",cleaned_data[[#This Row],[YearsAtCompany]]&lt;=10,"6-10",TRUE,"10+")</f>
        <v>6-10</v>
      </c>
    </row>
    <row r="35" spans="1:28" x14ac:dyDescent="0.3">
      <c r="A35" s="2">
        <v>39</v>
      </c>
      <c r="B35" t="s">
        <v>35</v>
      </c>
      <c r="C35">
        <v>1</v>
      </c>
      <c r="D35" t="s">
        <v>36</v>
      </c>
      <c r="E35" t="s">
        <v>37</v>
      </c>
      <c r="F35">
        <v>5</v>
      </c>
      <c r="G35" t="s">
        <v>60</v>
      </c>
      <c r="H35" t="s">
        <v>105</v>
      </c>
      <c r="I35">
        <v>4</v>
      </c>
      <c r="J35" t="s">
        <v>46</v>
      </c>
      <c r="K35">
        <v>3</v>
      </c>
      <c r="L35">
        <v>2</v>
      </c>
      <c r="M35" t="s">
        <v>57</v>
      </c>
      <c r="N35">
        <v>4</v>
      </c>
      <c r="O35" t="s">
        <v>48</v>
      </c>
      <c r="P35" s="1">
        <v>2086</v>
      </c>
      <c r="Q35" t="s">
        <v>72</v>
      </c>
      <c r="R35" t="s">
        <v>43</v>
      </c>
      <c r="S35">
        <v>3</v>
      </c>
      <c r="T35">
        <v>19</v>
      </c>
      <c r="U35">
        <v>4</v>
      </c>
      <c r="V35">
        <v>1</v>
      </c>
      <c r="W35">
        <v>0</v>
      </c>
      <c r="X35">
        <v>0</v>
      </c>
      <c r="Y35">
        <v>0</v>
      </c>
      <c r="Z35" t="s">
        <v>1550</v>
      </c>
      <c r="AA35" t="s">
        <v>82</v>
      </c>
      <c r="AB35" t="str" cm="1">
        <f t="array" ref="AB35">_xlfn.IFS(cleaned_data[[#This Row],[YearsAtCompany]]&lt;=5, "0-5",cleaned_data[[#This Row],[YearsAtCompany]]&lt;=10,"6-10",TRUE,"10+")</f>
        <v>0-5</v>
      </c>
    </row>
    <row r="36" spans="1:28" x14ac:dyDescent="0.3">
      <c r="A36" s="2">
        <v>24</v>
      </c>
      <c r="B36" t="s">
        <v>35</v>
      </c>
      <c r="C36">
        <v>1</v>
      </c>
      <c r="D36" t="s">
        <v>36</v>
      </c>
      <c r="E36" t="s">
        <v>45</v>
      </c>
      <c r="F36">
        <v>1</v>
      </c>
      <c r="G36" t="s">
        <v>51</v>
      </c>
      <c r="H36" t="s">
        <v>106</v>
      </c>
      <c r="I36">
        <v>2</v>
      </c>
      <c r="J36" t="s">
        <v>46</v>
      </c>
      <c r="K36">
        <v>3</v>
      </c>
      <c r="L36">
        <v>1</v>
      </c>
      <c r="M36" t="s">
        <v>47</v>
      </c>
      <c r="N36">
        <v>4</v>
      </c>
      <c r="O36" t="s">
        <v>48</v>
      </c>
      <c r="P36" s="1">
        <v>2293</v>
      </c>
      <c r="Q36" t="s">
        <v>72</v>
      </c>
      <c r="R36" t="s">
        <v>35</v>
      </c>
      <c r="S36">
        <v>3</v>
      </c>
      <c r="T36">
        <v>6</v>
      </c>
      <c r="U36">
        <v>2</v>
      </c>
      <c r="V36">
        <v>2</v>
      </c>
      <c r="W36">
        <v>0</v>
      </c>
      <c r="X36">
        <v>2</v>
      </c>
      <c r="Y36">
        <v>0</v>
      </c>
      <c r="Z36" t="s">
        <v>68</v>
      </c>
      <c r="AA36" t="s">
        <v>69</v>
      </c>
      <c r="AB36" t="str" cm="1">
        <f t="array" ref="AB36">_xlfn.IFS(cleaned_data[[#This Row],[YearsAtCompany]]&lt;=5, "0-5",cleaned_data[[#This Row],[YearsAtCompany]]&lt;=10,"6-10",TRUE,"10+")</f>
        <v>0-5</v>
      </c>
    </row>
    <row r="37" spans="1:28" x14ac:dyDescent="0.3">
      <c r="A37" s="2">
        <v>43</v>
      </c>
      <c r="B37" t="s">
        <v>43</v>
      </c>
      <c r="C37">
        <v>0</v>
      </c>
      <c r="D37" t="s">
        <v>36</v>
      </c>
      <c r="E37" t="s">
        <v>45</v>
      </c>
      <c r="F37">
        <v>2</v>
      </c>
      <c r="G37" t="s">
        <v>51</v>
      </c>
      <c r="H37" t="s">
        <v>107</v>
      </c>
      <c r="I37">
        <v>4</v>
      </c>
      <c r="J37" t="s">
        <v>39</v>
      </c>
      <c r="K37">
        <v>4</v>
      </c>
      <c r="L37">
        <v>1</v>
      </c>
      <c r="M37" t="s">
        <v>47</v>
      </c>
      <c r="N37">
        <v>3</v>
      </c>
      <c r="O37" t="s">
        <v>52</v>
      </c>
      <c r="P37" s="1">
        <v>2645</v>
      </c>
      <c r="Q37" t="s">
        <v>72</v>
      </c>
      <c r="R37" t="s">
        <v>43</v>
      </c>
      <c r="S37">
        <v>3</v>
      </c>
      <c r="T37">
        <v>6</v>
      </c>
      <c r="U37">
        <v>2</v>
      </c>
      <c r="V37">
        <v>5</v>
      </c>
      <c r="W37">
        <v>3</v>
      </c>
      <c r="X37">
        <v>1</v>
      </c>
      <c r="Y37">
        <v>4</v>
      </c>
      <c r="Z37" t="s">
        <v>1550</v>
      </c>
      <c r="AA37" t="s">
        <v>69</v>
      </c>
      <c r="AB37" t="str" cm="1">
        <f t="array" ref="AB37">_xlfn.IFS(cleaned_data[[#This Row],[YearsAtCompany]]&lt;=5, "0-5",cleaned_data[[#This Row],[YearsAtCompany]]&lt;=10,"6-10",TRUE,"10+")</f>
        <v>0-5</v>
      </c>
    </row>
    <row r="38" spans="1:28" x14ac:dyDescent="0.3">
      <c r="A38" s="2">
        <v>50</v>
      </c>
      <c r="B38" t="s">
        <v>35</v>
      </c>
      <c r="C38">
        <v>1</v>
      </c>
      <c r="D38" t="s">
        <v>36</v>
      </c>
      <c r="E38" t="s">
        <v>37</v>
      </c>
      <c r="F38">
        <v>3</v>
      </c>
      <c r="G38" t="s">
        <v>59</v>
      </c>
      <c r="H38" t="s">
        <v>108</v>
      </c>
      <c r="I38">
        <v>1</v>
      </c>
      <c r="J38" t="s">
        <v>46</v>
      </c>
      <c r="K38">
        <v>2</v>
      </c>
      <c r="L38">
        <v>1</v>
      </c>
      <c r="M38" t="s">
        <v>57</v>
      </c>
      <c r="N38">
        <v>3</v>
      </c>
      <c r="O38" t="s">
        <v>48</v>
      </c>
      <c r="P38" s="1">
        <v>2683</v>
      </c>
      <c r="Q38" t="s">
        <v>72</v>
      </c>
      <c r="R38" t="s">
        <v>35</v>
      </c>
      <c r="S38">
        <v>3</v>
      </c>
      <c r="T38">
        <v>3</v>
      </c>
      <c r="U38">
        <v>3</v>
      </c>
      <c r="V38">
        <v>3</v>
      </c>
      <c r="W38">
        <v>2</v>
      </c>
      <c r="X38">
        <v>0</v>
      </c>
      <c r="Y38">
        <v>2</v>
      </c>
      <c r="Z38" t="s">
        <v>106</v>
      </c>
      <c r="AA38" t="s">
        <v>78</v>
      </c>
      <c r="AB38" t="str" cm="1">
        <f t="array" ref="AB38">_xlfn.IFS(cleaned_data[[#This Row],[YearsAtCompany]]&lt;=5, "0-5",cleaned_data[[#This Row],[YearsAtCompany]]&lt;=10,"6-10",TRUE,"10+")</f>
        <v>0-5</v>
      </c>
    </row>
    <row r="39" spans="1:28" x14ac:dyDescent="0.3">
      <c r="A39" s="2">
        <v>35</v>
      </c>
      <c r="B39" t="s">
        <v>43</v>
      </c>
      <c r="C39">
        <v>0</v>
      </c>
      <c r="D39" t="s">
        <v>36</v>
      </c>
      <c r="E39" t="s">
        <v>37</v>
      </c>
      <c r="F39">
        <v>2</v>
      </c>
      <c r="G39" t="s">
        <v>59</v>
      </c>
      <c r="H39" t="s">
        <v>109</v>
      </c>
      <c r="I39">
        <v>4</v>
      </c>
      <c r="J39" t="s">
        <v>39</v>
      </c>
      <c r="K39">
        <v>3</v>
      </c>
      <c r="L39">
        <v>1</v>
      </c>
      <c r="M39" t="s">
        <v>57</v>
      </c>
      <c r="N39">
        <v>4</v>
      </c>
      <c r="O39" t="s">
        <v>48</v>
      </c>
      <c r="P39" s="1">
        <v>2014</v>
      </c>
      <c r="Q39" t="s">
        <v>72</v>
      </c>
      <c r="R39" t="s">
        <v>43</v>
      </c>
      <c r="S39">
        <v>3</v>
      </c>
      <c r="T39">
        <v>2</v>
      </c>
      <c r="U39">
        <v>3</v>
      </c>
      <c r="V39">
        <v>2</v>
      </c>
      <c r="W39">
        <v>2</v>
      </c>
      <c r="X39">
        <v>2</v>
      </c>
      <c r="Y39">
        <v>2</v>
      </c>
      <c r="Z39" t="s">
        <v>1551</v>
      </c>
      <c r="AA39" t="s">
        <v>78</v>
      </c>
      <c r="AB39" t="str" cm="1">
        <f t="array" ref="AB39">_xlfn.IFS(cleaned_data[[#This Row],[YearsAtCompany]]&lt;=5, "0-5",cleaned_data[[#This Row],[YearsAtCompany]]&lt;=10,"6-10",TRUE,"10+")</f>
        <v>0-5</v>
      </c>
    </row>
    <row r="40" spans="1:28" x14ac:dyDescent="0.3">
      <c r="A40" s="2">
        <v>36</v>
      </c>
      <c r="B40" t="s">
        <v>43</v>
      </c>
      <c r="C40">
        <v>0</v>
      </c>
      <c r="D40" t="s">
        <v>36</v>
      </c>
      <c r="E40" t="s">
        <v>45</v>
      </c>
      <c r="F40">
        <v>5</v>
      </c>
      <c r="G40" t="s">
        <v>38</v>
      </c>
      <c r="H40" t="s">
        <v>110</v>
      </c>
      <c r="I40">
        <v>2</v>
      </c>
      <c r="J40" t="s">
        <v>39</v>
      </c>
      <c r="K40">
        <v>2</v>
      </c>
      <c r="L40">
        <v>1</v>
      </c>
      <c r="M40" t="s">
        <v>47</v>
      </c>
      <c r="N40">
        <v>1</v>
      </c>
      <c r="O40" t="s">
        <v>48</v>
      </c>
      <c r="P40" s="6">
        <v>3419</v>
      </c>
      <c r="Q40" t="s">
        <v>72</v>
      </c>
      <c r="R40" t="s">
        <v>35</v>
      </c>
      <c r="S40">
        <v>3</v>
      </c>
      <c r="T40">
        <v>6</v>
      </c>
      <c r="U40">
        <v>4</v>
      </c>
      <c r="V40">
        <v>1</v>
      </c>
      <c r="W40">
        <v>1</v>
      </c>
      <c r="X40">
        <v>0</v>
      </c>
      <c r="Y40">
        <v>0</v>
      </c>
      <c r="Z40" t="s">
        <v>1550</v>
      </c>
      <c r="AA40" t="s">
        <v>69</v>
      </c>
      <c r="AB40" t="str" cm="1">
        <f t="array" ref="AB40">_xlfn.IFS(cleaned_data[[#This Row],[YearsAtCompany]]&lt;=5, "0-5",cleaned_data[[#This Row],[YearsAtCompany]]&lt;=10,"6-10",TRUE,"10+")</f>
        <v>0-5</v>
      </c>
    </row>
    <row r="41" spans="1:28" x14ac:dyDescent="0.3">
      <c r="A41" s="2">
        <v>33</v>
      </c>
      <c r="B41" t="s">
        <v>43</v>
      </c>
      <c r="C41">
        <v>0</v>
      </c>
      <c r="D41" t="s">
        <v>44</v>
      </c>
      <c r="E41" t="s">
        <v>37</v>
      </c>
      <c r="F41">
        <v>1</v>
      </c>
      <c r="G41" t="s">
        <v>38</v>
      </c>
      <c r="H41" t="s">
        <v>111</v>
      </c>
      <c r="I41">
        <v>3</v>
      </c>
      <c r="J41" t="s">
        <v>39</v>
      </c>
      <c r="K41">
        <v>4</v>
      </c>
      <c r="L41">
        <v>2</v>
      </c>
      <c r="M41" t="s">
        <v>40</v>
      </c>
      <c r="N41">
        <v>1</v>
      </c>
      <c r="O41" t="s">
        <v>48</v>
      </c>
      <c r="P41" s="6">
        <v>5376</v>
      </c>
      <c r="Q41" t="s">
        <v>67</v>
      </c>
      <c r="R41" t="s">
        <v>43</v>
      </c>
      <c r="S41">
        <v>3</v>
      </c>
      <c r="T41">
        <v>10</v>
      </c>
      <c r="U41">
        <v>3</v>
      </c>
      <c r="V41">
        <v>5</v>
      </c>
      <c r="W41">
        <v>3</v>
      </c>
      <c r="X41">
        <v>1</v>
      </c>
      <c r="Y41">
        <v>3</v>
      </c>
      <c r="Z41" t="s">
        <v>1551</v>
      </c>
      <c r="AA41" t="s">
        <v>69</v>
      </c>
      <c r="AB41" t="str" cm="1">
        <f t="array" ref="AB41">_xlfn.IFS(cleaned_data[[#This Row],[YearsAtCompany]]&lt;=5, "0-5",cleaned_data[[#This Row],[YearsAtCompany]]&lt;=10,"6-10",TRUE,"10+")</f>
        <v>0-5</v>
      </c>
    </row>
    <row r="42" spans="1:28" x14ac:dyDescent="0.3">
      <c r="A42" s="2">
        <v>35</v>
      </c>
      <c r="B42" t="s">
        <v>43</v>
      </c>
      <c r="C42">
        <v>0</v>
      </c>
      <c r="D42" t="s">
        <v>36</v>
      </c>
      <c r="E42" t="s">
        <v>45</v>
      </c>
      <c r="F42">
        <v>4</v>
      </c>
      <c r="G42" t="s">
        <v>49</v>
      </c>
      <c r="H42" t="s">
        <v>112</v>
      </c>
      <c r="I42">
        <v>3</v>
      </c>
      <c r="J42" t="s">
        <v>46</v>
      </c>
      <c r="K42">
        <v>3</v>
      </c>
      <c r="L42">
        <v>1</v>
      </c>
      <c r="M42" t="s">
        <v>50</v>
      </c>
      <c r="N42">
        <v>4</v>
      </c>
      <c r="O42" t="s">
        <v>52</v>
      </c>
      <c r="P42" s="1">
        <v>1951</v>
      </c>
      <c r="Q42" t="s">
        <v>72</v>
      </c>
      <c r="R42" t="s">
        <v>43</v>
      </c>
      <c r="S42">
        <v>3</v>
      </c>
      <c r="T42">
        <v>1</v>
      </c>
      <c r="U42">
        <v>3</v>
      </c>
      <c r="V42">
        <v>1</v>
      </c>
      <c r="W42">
        <v>0</v>
      </c>
      <c r="X42">
        <v>0</v>
      </c>
      <c r="Y42">
        <v>0</v>
      </c>
      <c r="Z42" t="s">
        <v>1551</v>
      </c>
      <c r="AA42" t="s">
        <v>78</v>
      </c>
      <c r="AB42" t="str" cm="1">
        <f t="array" ref="AB42">_xlfn.IFS(cleaned_data[[#This Row],[YearsAtCompany]]&lt;=5, "0-5",cleaned_data[[#This Row],[YearsAtCompany]]&lt;=10,"6-10",TRUE,"10+")</f>
        <v>0-5</v>
      </c>
    </row>
    <row r="43" spans="1:28" x14ac:dyDescent="0.3">
      <c r="A43" s="2">
        <v>27</v>
      </c>
      <c r="B43" t="s">
        <v>43</v>
      </c>
      <c r="C43">
        <v>0</v>
      </c>
      <c r="D43" t="s">
        <v>36</v>
      </c>
      <c r="E43" t="s">
        <v>45</v>
      </c>
      <c r="F43">
        <v>2</v>
      </c>
      <c r="G43" t="s">
        <v>38</v>
      </c>
      <c r="H43" t="s">
        <v>113</v>
      </c>
      <c r="I43">
        <v>4</v>
      </c>
      <c r="J43" t="s">
        <v>39</v>
      </c>
      <c r="K43">
        <v>3</v>
      </c>
      <c r="L43">
        <v>1</v>
      </c>
      <c r="M43" t="s">
        <v>50</v>
      </c>
      <c r="N43">
        <v>1</v>
      </c>
      <c r="O43" t="s">
        <v>52</v>
      </c>
      <c r="P43" s="6">
        <v>2341</v>
      </c>
      <c r="Q43" t="s">
        <v>72</v>
      </c>
      <c r="R43" t="s">
        <v>43</v>
      </c>
      <c r="S43">
        <v>3</v>
      </c>
      <c r="T43">
        <v>1</v>
      </c>
      <c r="U43">
        <v>3</v>
      </c>
      <c r="V43">
        <v>1</v>
      </c>
      <c r="W43">
        <v>0</v>
      </c>
      <c r="X43">
        <v>0</v>
      </c>
      <c r="Y43">
        <v>0</v>
      </c>
      <c r="Z43" t="s">
        <v>1551</v>
      </c>
      <c r="AA43" t="s">
        <v>78</v>
      </c>
      <c r="AB43" t="str" cm="1">
        <f t="array" ref="AB43">_xlfn.IFS(cleaned_data[[#This Row],[YearsAtCompany]]&lt;=5, "0-5",cleaned_data[[#This Row],[YearsAtCompany]]&lt;=10,"6-10",TRUE,"10+")</f>
        <v>0-5</v>
      </c>
    </row>
    <row r="44" spans="1:28" x14ac:dyDescent="0.3">
      <c r="A44" s="2">
        <v>26</v>
      </c>
      <c r="B44" t="s">
        <v>35</v>
      </c>
      <c r="C44">
        <v>1</v>
      </c>
      <c r="D44" t="s">
        <v>36</v>
      </c>
      <c r="E44" t="s">
        <v>45</v>
      </c>
      <c r="F44">
        <v>25</v>
      </c>
      <c r="G44" t="s">
        <v>38</v>
      </c>
      <c r="H44" t="s">
        <v>114</v>
      </c>
      <c r="I44">
        <v>1</v>
      </c>
      <c r="J44" t="s">
        <v>46</v>
      </c>
      <c r="K44">
        <v>1</v>
      </c>
      <c r="L44">
        <v>1</v>
      </c>
      <c r="M44" t="s">
        <v>50</v>
      </c>
      <c r="N44">
        <v>3</v>
      </c>
      <c r="O44" t="s">
        <v>41</v>
      </c>
      <c r="P44" s="1">
        <v>2293</v>
      </c>
      <c r="Q44" t="s">
        <v>72</v>
      </c>
      <c r="R44" t="s">
        <v>43</v>
      </c>
      <c r="S44">
        <v>3</v>
      </c>
      <c r="T44">
        <v>1</v>
      </c>
      <c r="U44">
        <v>2</v>
      </c>
      <c r="V44">
        <v>1</v>
      </c>
      <c r="W44">
        <v>0</v>
      </c>
      <c r="X44">
        <v>0</v>
      </c>
      <c r="Y44">
        <v>1</v>
      </c>
      <c r="Z44" t="s">
        <v>1551</v>
      </c>
      <c r="AA44" t="s">
        <v>78</v>
      </c>
      <c r="AB44" t="str" cm="1">
        <f t="array" ref="AB44">_xlfn.IFS(cleaned_data[[#This Row],[YearsAtCompany]]&lt;=5, "0-5",cleaned_data[[#This Row],[YearsAtCompany]]&lt;=10,"6-10",TRUE,"10+")</f>
        <v>0-5</v>
      </c>
    </row>
    <row r="45" spans="1:28" x14ac:dyDescent="0.3">
      <c r="A45" s="2">
        <v>27</v>
      </c>
      <c r="B45" t="s">
        <v>43</v>
      </c>
      <c r="C45">
        <v>0</v>
      </c>
      <c r="D45" t="s">
        <v>44</v>
      </c>
      <c r="E45" t="s">
        <v>37</v>
      </c>
      <c r="F45">
        <v>8</v>
      </c>
      <c r="G45" t="s">
        <v>38</v>
      </c>
      <c r="H45" t="s">
        <v>115</v>
      </c>
      <c r="I45">
        <v>4</v>
      </c>
      <c r="J45" t="s">
        <v>46</v>
      </c>
      <c r="K45">
        <v>3</v>
      </c>
      <c r="L45">
        <v>3</v>
      </c>
      <c r="M45" t="s">
        <v>40</v>
      </c>
      <c r="N45">
        <v>3</v>
      </c>
      <c r="O45" t="s">
        <v>41</v>
      </c>
      <c r="P45" s="1">
        <v>8726</v>
      </c>
      <c r="Q45" t="s">
        <v>67</v>
      </c>
      <c r="R45" t="s">
        <v>43</v>
      </c>
      <c r="S45">
        <v>3</v>
      </c>
      <c r="T45">
        <v>9</v>
      </c>
      <c r="U45">
        <v>3</v>
      </c>
      <c r="V45">
        <v>9</v>
      </c>
      <c r="W45">
        <v>8</v>
      </c>
      <c r="X45">
        <v>1</v>
      </c>
      <c r="Y45">
        <v>7</v>
      </c>
      <c r="Z45" t="s">
        <v>1551</v>
      </c>
      <c r="AA45" t="s">
        <v>69</v>
      </c>
      <c r="AB45" t="str" cm="1">
        <f t="array" ref="AB45">_xlfn.IFS(cleaned_data[[#This Row],[YearsAtCompany]]&lt;=5, "0-5",cleaned_data[[#This Row],[YearsAtCompany]]&lt;=10,"6-10",TRUE,"10+")</f>
        <v>6-10</v>
      </c>
    </row>
    <row r="46" spans="1:28" x14ac:dyDescent="0.3">
      <c r="A46" s="2">
        <v>30</v>
      </c>
      <c r="B46" t="s">
        <v>43</v>
      </c>
      <c r="C46">
        <v>0</v>
      </c>
      <c r="D46" t="s">
        <v>44</v>
      </c>
      <c r="E46" t="s">
        <v>45</v>
      </c>
      <c r="F46">
        <v>1</v>
      </c>
      <c r="G46" t="s">
        <v>51</v>
      </c>
      <c r="H46" t="s">
        <v>116</v>
      </c>
      <c r="I46">
        <v>3</v>
      </c>
      <c r="J46" t="s">
        <v>39</v>
      </c>
      <c r="K46">
        <v>3</v>
      </c>
      <c r="L46">
        <v>2</v>
      </c>
      <c r="M46" t="s">
        <v>50</v>
      </c>
      <c r="N46">
        <v>4</v>
      </c>
      <c r="O46" t="s">
        <v>41</v>
      </c>
      <c r="P46" s="1">
        <v>4011</v>
      </c>
      <c r="Q46" t="s">
        <v>72</v>
      </c>
      <c r="R46" t="s">
        <v>43</v>
      </c>
      <c r="S46">
        <v>4</v>
      </c>
      <c r="T46">
        <v>12</v>
      </c>
      <c r="U46">
        <v>3</v>
      </c>
      <c r="V46">
        <v>12</v>
      </c>
      <c r="W46">
        <v>8</v>
      </c>
      <c r="X46">
        <v>3</v>
      </c>
      <c r="Y46">
        <v>7</v>
      </c>
      <c r="Z46" t="s">
        <v>1551</v>
      </c>
      <c r="AA46" t="s">
        <v>69</v>
      </c>
      <c r="AB46" t="str" cm="1">
        <f t="array" ref="AB46">_xlfn.IFS(cleaned_data[[#This Row],[YearsAtCompany]]&lt;=5, "0-5",cleaned_data[[#This Row],[YearsAtCompany]]&lt;=10,"6-10",TRUE,"10+")</f>
        <v>10+</v>
      </c>
    </row>
    <row r="47" spans="1:28" x14ac:dyDescent="0.3">
      <c r="A47" s="2">
        <v>41</v>
      </c>
      <c r="B47" t="s">
        <v>35</v>
      </c>
      <c r="C47">
        <v>1</v>
      </c>
      <c r="D47" t="s">
        <v>36</v>
      </c>
      <c r="E47" t="s">
        <v>45</v>
      </c>
      <c r="F47">
        <v>12</v>
      </c>
      <c r="G47" t="s">
        <v>60</v>
      </c>
      <c r="H47" t="s">
        <v>117</v>
      </c>
      <c r="I47">
        <v>2</v>
      </c>
      <c r="J47" t="s">
        <v>39</v>
      </c>
      <c r="K47">
        <v>3</v>
      </c>
      <c r="L47">
        <v>5</v>
      </c>
      <c r="M47" t="s">
        <v>58</v>
      </c>
      <c r="N47">
        <v>3</v>
      </c>
      <c r="O47" t="s">
        <v>48</v>
      </c>
      <c r="P47" s="1">
        <v>19545</v>
      </c>
      <c r="Q47" t="s">
        <v>90</v>
      </c>
      <c r="R47" t="s">
        <v>43</v>
      </c>
      <c r="S47">
        <v>3</v>
      </c>
      <c r="T47">
        <v>23</v>
      </c>
      <c r="U47">
        <v>3</v>
      </c>
      <c r="V47">
        <v>22</v>
      </c>
      <c r="W47">
        <v>15</v>
      </c>
      <c r="X47">
        <v>15</v>
      </c>
      <c r="Y47">
        <v>8</v>
      </c>
      <c r="Z47" t="s">
        <v>1550</v>
      </c>
      <c r="AA47" t="s">
        <v>82</v>
      </c>
      <c r="AB47" t="str" cm="1">
        <f t="array" ref="AB47">_xlfn.IFS(cleaned_data[[#This Row],[YearsAtCompany]]&lt;=5, "0-5",cleaned_data[[#This Row],[YearsAtCompany]]&lt;=10,"6-10",TRUE,"10+")</f>
        <v>10+</v>
      </c>
    </row>
    <row r="48" spans="1:28" x14ac:dyDescent="0.3">
      <c r="A48" s="2">
        <v>34</v>
      </c>
      <c r="B48" t="s">
        <v>43</v>
      </c>
      <c r="C48">
        <v>0</v>
      </c>
      <c r="D48" t="s">
        <v>55</v>
      </c>
      <c r="E48" t="s">
        <v>37</v>
      </c>
      <c r="F48">
        <v>23</v>
      </c>
      <c r="G48" t="s">
        <v>59</v>
      </c>
      <c r="H48" t="s">
        <v>118</v>
      </c>
      <c r="I48">
        <v>2</v>
      </c>
      <c r="J48" t="s">
        <v>46</v>
      </c>
      <c r="K48">
        <v>3</v>
      </c>
      <c r="L48">
        <v>2</v>
      </c>
      <c r="M48" t="s">
        <v>40</v>
      </c>
      <c r="N48">
        <v>3</v>
      </c>
      <c r="O48" t="s">
        <v>41</v>
      </c>
      <c r="P48" s="1">
        <v>4568</v>
      </c>
      <c r="Q48" t="s">
        <v>72</v>
      </c>
      <c r="R48" t="s">
        <v>43</v>
      </c>
      <c r="S48">
        <v>4</v>
      </c>
      <c r="T48">
        <v>10</v>
      </c>
      <c r="U48">
        <v>3</v>
      </c>
      <c r="V48">
        <v>9</v>
      </c>
      <c r="W48">
        <v>5</v>
      </c>
      <c r="X48">
        <v>8</v>
      </c>
      <c r="Y48">
        <v>7</v>
      </c>
      <c r="Z48" t="s">
        <v>1551</v>
      </c>
      <c r="AA48" t="s">
        <v>69</v>
      </c>
      <c r="AB48" t="str" cm="1">
        <f t="array" ref="AB48">_xlfn.IFS(cleaned_data[[#This Row],[YearsAtCompany]]&lt;=5, "0-5",cleaned_data[[#This Row],[YearsAtCompany]]&lt;=10,"6-10",TRUE,"10+")</f>
        <v>6-10</v>
      </c>
    </row>
    <row r="49" spans="1:28" x14ac:dyDescent="0.3">
      <c r="A49" s="2">
        <v>37</v>
      </c>
      <c r="B49" t="s">
        <v>43</v>
      </c>
      <c r="C49">
        <v>0</v>
      </c>
      <c r="D49" t="s">
        <v>36</v>
      </c>
      <c r="E49" t="s">
        <v>45</v>
      </c>
      <c r="F49">
        <v>19</v>
      </c>
      <c r="G49" t="s">
        <v>38</v>
      </c>
      <c r="H49" t="s">
        <v>119</v>
      </c>
      <c r="I49">
        <v>2</v>
      </c>
      <c r="J49" t="s">
        <v>46</v>
      </c>
      <c r="K49">
        <v>3</v>
      </c>
      <c r="L49">
        <v>1</v>
      </c>
      <c r="M49" t="s">
        <v>47</v>
      </c>
      <c r="N49">
        <v>2</v>
      </c>
      <c r="O49" t="s">
        <v>48</v>
      </c>
      <c r="P49" s="1">
        <v>3022</v>
      </c>
      <c r="Q49" t="s">
        <v>72</v>
      </c>
      <c r="R49" t="s">
        <v>43</v>
      </c>
      <c r="S49">
        <v>4</v>
      </c>
      <c r="T49">
        <v>8</v>
      </c>
      <c r="U49">
        <v>3</v>
      </c>
      <c r="V49">
        <v>1</v>
      </c>
      <c r="W49">
        <v>0</v>
      </c>
      <c r="X49">
        <v>0</v>
      </c>
      <c r="Y49">
        <v>0</v>
      </c>
      <c r="Z49" t="s">
        <v>1550</v>
      </c>
      <c r="AA49" t="s">
        <v>69</v>
      </c>
      <c r="AB49" t="str" cm="1">
        <f t="array" ref="AB49">_xlfn.IFS(cleaned_data[[#This Row],[YearsAtCompany]]&lt;=5, "0-5",cleaned_data[[#This Row],[YearsAtCompany]]&lt;=10,"6-10",TRUE,"10+")</f>
        <v>0-5</v>
      </c>
    </row>
    <row r="50" spans="1:28" x14ac:dyDescent="0.3">
      <c r="A50" s="2">
        <v>46</v>
      </c>
      <c r="B50" t="s">
        <v>43</v>
      </c>
      <c r="C50">
        <v>0</v>
      </c>
      <c r="D50" t="s">
        <v>44</v>
      </c>
      <c r="E50" t="s">
        <v>37</v>
      </c>
      <c r="F50">
        <v>5</v>
      </c>
      <c r="G50" t="s">
        <v>59</v>
      </c>
      <c r="H50" t="s">
        <v>120</v>
      </c>
      <c r="I50">
        <v>1</v>
      </c>
      <c r="J50" t="s">
        <v>46</v>
      </c>
      <c r="K50">
        <v>3</v>
      </c>
      <c r="L50">
        <v>2</v>
      </c>
      <c r="M50" t="s">
        <v>40</v>
      </c>
      <c r="N50">
        <v>4</v>
      </c>
      <c r="O50" t="s">
        <v>41</v>
      </c>
      <c r="P50" s="1">
        <v>5772</v>
      </c>
      <c r="Q50" t="s">
        <v>67</v>
      </c>
      <c r="R50" t="s">
        <v>35</v>
      </c>
      <c r="S50">
        <v>4</v>
      </c>
      <c r="T50">
        <v>14</v>
      </c>
      <c r="U50">
        <v>3</v>
      </c>
      <c r="V50">
        <v>9</v>
      </c>
      <c r="W50">
        <v>6</v>
      </c>
      <c r="X50">
        <v>0</v>
      </c>
      <c r="Y50">
        <v>8</v>
      </c>
      <c r="Z50" t="s">
        <v>106</v>
      </c>
      <c r="AA50" t="s">
        <v>69</v>
      </c>
      <c r="AB50" t="str" cm="1">
        <f t="array" ref="AB50">_xlfn.IFS(cleaned_data[[#This Row],[YearsAtCompany]]&lt;=5, "0-5",cleaned_data[[#This Row],[YearsAtCompany]]&lt;=10,"6-10",TRUE,"10+")</f>
        <v>6-10</v>
      </c>
    </row>
    <row r="51" spans="1:28" x14ac:dyDescent="0.3">
      <c r="A51" s="2">
        <v>35</v>
      </c>
      <c r="B51" t="s">
        <v>43</v>
      </c>
      <c r="C51">
        <v>0</v>
      </c>
      <c r="D51" t="s">
        <v>36</v>
      </c>
      <c r="E51" t="s">
        <v>45</v>
      </c>
      <c r="F51">
        <v>8</v>
      </c>
      <c r="G51" t="s">
        <v>38</v>
      </c>
      <c r="H51" t="s">
        <v>121</v>
      </c>
      <c r="I51">
        <v>4</v>
      </c>
      <c r="J51" t="s">
        <v>46</v>
      </c>
      <c r="K51">
        <v>4</v>
      </c>
      <c r="L51">
        <v>1</v>
      </c>
      <c r="M51" t="s">
        <v>50</v>
      </c>
      <c r="N51">
        <v>4</v>
      </c>
      <c r="O51" t="s">
        <v>48</v>
      </c>
      <c r="P51" s="1">
        <v>2269</v>
      </c>
      <c r="Q51" t="s">
        <v>72</v>
      </c>
      <c r="R51" t="s">
        <v>43</v>
      </c>
      <c r="S51">
        <v>3</v>
      </c>
      <c r="T51">
        <v>1</v>
      </c>
      <c r="U51">
        <v>3</v>
      </c>
      <c r="V51">
        <v>1</v>
      </c>
      <c r="W51">
        <v>0</v>
      </c>
      <c r="X51">
        <v>0</v>
      </c>
      <c r="Y51">
        <v>1</v>
      </c>
      <c r="Z51" t="s">
        <v>1551</v>
      </c>
      <c r="AA51" t="s">
        <v>78</v>
      </c>
      <c r="AB51" t="str" cm="1">
        <f t="array" ref="AB51">_xlfn.IFS(cleaned_data[[#This Row],[YearsAtCompany]]&lt;=5, "0-5",cleaned_data[[#This Row],[YearsAtCompany]]&lt;=10,"6-10",TRUE,"10+")</f>
        <v>0-5</v>
      </c>
    </row>
    <row r="52" spans="1:28" x14ac:dyDescent="0.3">
      <c r="A52" s="2">
        <v>48</v>
      </c>
      <c r="B52" t="s">
        <v>35</v>
      </c>
      <c r="C52">
        <v>1</v>
      </c>
      <c r="D52" t="s">
        <v>36</v>
      </c>
      <c r="E52" t="s">
        <v>45</v>
      </c>
      <c r="F52">
        <v>1</v>
      </c>
      <c r="G52" t="s">
        <v>38</v>
      </c>
      <c r="H52" t="s">
        <v>122</v>
      </c>
      <c r="I52">
        <v>1</v>
      </c>
      <c r="J52" t="s">
        <v>46</v>
      </c>
      <c r="K52">
        <v>2</v>
      </c>
      <c r="L52">
        <v>3</v>
      </c>
      <c r="M52" t="s">
        <v>50</v>
      </c>
      <c r="N52">
        <v>3</v>
      </c>
      <c r="O52" t="s">
        <v>41</v>
      </c>
      <c r="P52" s="1">
        <v>5381</v>
      </c>
      <c r="Q52" t="s">
        <v>67</v>
      </c>
      <c r="R52" t="s">
        <v>35</v>
      </c>
      <c r="S52">
        <v>3</v>
      </c>
      <c r="T52">
        <v>23</v>
      </c>
      <c r="U52">
        <v>3</v>
      </c>
      <c r="V52">
        <v>1</v>
      </c>
      <c r="W52">
        <v>0</v>
      </c>
      <c r="X52">
        <v>0</v>
      </c>
      <c r="Y52">
        <v>0</v>
      </c>
      <c r="Z52" t="s">
        <v>106</v>
      </c>
      <c r="AA52" t="s">
        <v>82</v>
      </c>
      <c r="AB52" t="str" cm="1">
        <f t="array" ref="AB52">_xlfn.IFS(cleaned_data[[#This Row],[YearsAtCompany]]&lt;=5, "0-5",cleaned_data[[#This Row],[YearsAtCompany]]&lt;=10,"6-10",TRUE,"10+")</f>
        <v>0-5</v>
      </c>
    </row>
    <row r="53" spans="1:28" x14ac:dyDescent="0.3">
      <c r="A53" s="2">
        <v>28</v>
      </c>
      <c r="B53" t="s">
        <v>35</v>
      </c>
      <c r="C53">
        <v>1</v>
      </c>
      <c r="D53" t="s">
        <v>36</v>
      </c>
      <c r="E53" t="s">
        <v>45</v>
      </c>
      <c r="F53">
        <v>5</v>
      </c>
      <c r="G53" t="s">
        <v>60</v>
      </c>
      <c r="H53" t="s">
        <v>123</v>
      </c>
      <c r="I53">
        <v>3</v>
      </c>
      <c r="J53" t="s">
        <v>46</v>
      </c>
      <c r="K53">
        <v>3</v>
      </c>
      <c r="L53">
        <v>1</v>
      </c>
      <c r="M53" t="s">
        <v>50</v>
      </c>
      <c r="N53">
        <v>3</v>
      </c>
      <c r="O53" t="s">
        <v>41</v>
      </c>
      <c r="P53" s="1">
        <v>3441</v>
      </c>
      <c r="Q53" t="s">
        <v>72</v>
      </c>
      <c r="R53" t="s">
        <v>35</v>
      </c>
      <c r="S53">
        <v>3</v>
      </c>
      <c r="T53">
        <v>2</v>
      </c>
      <c r="U53">
        <v>2</v>
      </c>
      <c r="V53">
        <v>2</v>
      </c>
      <c r="W53">
        <v>2</v>
      </c>
      <c r="X53">
        <v>2</v>
      </c>
      <c r="Y53">
        <v>2</v>
      </c>
      <c r="Z53" t="s">
        <v>1551</v>
      </c>
      <c r="AA53" t="s">
        <v>78</v>
      </c>
      <c r="AB53" t="str" cm="1">
        <f t="array" ref="AB53">_xlfn.IFS(cleaned_data[[#This Row],[YearsAtCompany]]&lt;=5, "0-5",cleaned_data[[#This Row],[YearsAtCompany]]&lt;=10,"6-10",TRUE,"10+")</f>
        <v>0-5</v>
      </c>
    </row>
    <row r="54" spans="1:28" x14ac:dyDescent="0.3">
      <c r="A54" s="2">
        <v>44</v>
      </c>
      <c r="B54" t="s">
        <v>43</v>
      </c>
      <c r="C54">
        <v>0</v>
      </c>
      <c r="D54" t="s">
        <v>36</v>
      </c>
      <c r="E54" t="s">
        <v>37</v>
      </c>
      <c r="F54">
        <v>1</v>
      </c>
      <c r="G54" t="s">
        <v>59</v>
      </c>
      <c r="H54" t="s">
        <v>124</v>
      </c>
      <c r="I54">
        <v>2</v>
      </c>
      <c r="J54" t="s">
        <v>39</v>
      </c>
      <c r="K54">
        <v>3</v>
      </c>
      <c r="L54">
        <v>2</v>
      </c>
      <c r="M54" t="s">
        <v>40</v>
      </c>
      <c r="N54">
        <v>1</v>
      </c>
      <c r="O54" t="s">
        <v>52</v>
      </c>
      <c r="P54" s="6">
        <v>5454</v>
      </c>
      <c r="Q54" t="s">
        <v>67</v>
      </c>
      <c r="R54" t="s">
        <v>35</v>
      </c>
      <c r="S54">
        <v>4</v>
      </c>
      <c r="T54">
        <v>9</v>
      </c>
      <c r="U54">
        <v>2</v>
      </c>
      <c r="V54">
        <v>4</v>
      </c>
      <c r="W54">
        <v>3</v>
      </c>
      <c r="X54">
        <v>1</v>
      </c>
      <c r="Y54">
        <v>3</v>
      </c>
      <c r="Z54" t="s">
        <v>1550</v>
      </c>
      <c r="AA54" t="s">
        <v>69</v>
      </c>
      <c r="AB54" t="str" cm="1">
        <f t="array" ref="AB54">_xlfn.IFS(cleaned_data[[#This Row],[YearsAtCompany]]&lt;=5, "0-5",cleaned_data[[#This Row],[YearsAtCompany]]&lt;=10,"6-10",TRUE,"10+")</f>
        <v>0-5</v>
      </c>
    </row>
    <row r="55" spans="1:28" x14ac:dyDescent="0.3">
      <c r="A55" s="2">
        <v>35</v>
      </c>
      <c r="B55" t="s">
        <v>43</v>
      </c>
      <c r="C55">
        <v>0</v>
      </c>
      <c r="D55" t="s">
        <v>55</v>
      </c>
      <c r="E55" t="s">
        <v>45</v>
      </c>
      <c r="F55">
        <v>11</v>
      </c>
      <c r="G55" t="s">
        <v>51</v>
      </c>
      <c r="H55" t="s">
        <v>125</v>
      </c>
      <c r="I55">
        <v>3</v>
      </c>
      <c r="J55" t="s">
        <v>46</v>
      </c>
      <c r="K55">
        <v>2</v>
      </c>
      <c r="L55">
        <v>3</v>
      </c>
      <c r="M55" t="s">
        <v>54</v>
      </c>
      <c r="N55">
        <v>1</v>
      </c>
      <c r="O55" t="s">
        <v>48</v>
      </c>
      <c r="P55" s="6">
        <v>9884</v>
      </c>
      <c r="Q55" t="s">
        <v>67</v>
      </c>
      <c r="R55" t="s">
        <v>35</v>
      </c>
      <c r="S55">
        <v>3</v>
      </c>
      <c r="T55">
        <v>10</v>
      </c>
      <c r="U55">
        <v>3</v>
      </c>
      <c r="V55">
        <v>4</v>
      </c>
      <c r="W55">
        <v>0</v>
      </c>
      <c r="X55">
        <v>2</v>
      </c>
      <c r="Y55">
        <v>3</v>
      </c>
      <c r="Z55" t="s">
        <v>1551</v>
      </c>
      <c r="AA55" t="s">
        <v>69</v>
      </c>
      <c r="AB55" t="str" cm="1">
        <f t="array" ref="AB55">_xlfn.IFS(cleaned_data[[#This Row],[YearsAtCompany]]&lt;=5, "0-5",cleaned_data[[#This Row],[YearsAtCompany]]&lt;=10,"6-10",TRUE,"10+")</f>
        <v>0-5</v>
      </c>
    </row>
    <row r="56" spans="1:28" x14ac:dyDescent="0.3">
      <c r="A56" s="2">
        <v>26</v>
      </c>
      <c r="B56" t="s">
        <v>43</v>
      </c>
      <c r="C56">
        <v>0</v>
      </c>
      <c r="D56" t="s">
        <v>36</v>
      </c>
      <c r="E56" t="s">
        <v>37</v>
      </c>
      <c r="F56">
        <v>23</v>
      </c>
      <c r="G56" t="s">
        <v>59</v>
      </c>
      <c r="H56" t="s">
        <v>126</v>
      </c>
      <c r="I56">
        <v>3</v>
      </c>
      <c r="J56" t="s">
        <v>39</v>
      </c>
      <c r="K56">
        <v>2</v>
      </c>
      <c r="L56">
        <v>2</v>
      </c>
      <c r="M56" t="s">
        <v>40</v>
      </c>
      <c r="N56">
        <v>4</v>
      </c>
      <c r="O56" t="s">
        <v>48</v>
      </c>
      <c r="P56" s="1">
        <v>4157</v>
      </c>
      <c r="Q56" t="s">
        <v>72</v>
      </c>
      <c r="R56" t="s">
        <v>35</v>
      </c>
      <c r="S56">
        <v>3</v>
      </c>
      <c r="T56">
        <v>5</v>
      </c>
      <c r="U56">
        <v>2</v>
      </c>
      <c r="V56">
        <v>2</v>
      </c>
      <c r="W56">
        <v>2</v>
      </c>
      <c r="X56">
        <v>0</v>
      </c>
      <c r="Y56">
        <v>0</v>
      </c>
      <c r="Z56" t="s">
        <v>1551</v>
      </c>
      <c r="AA56" t="s">
        <v>78</v>
      </c>
      <c r="AB56" t="str" cm="1">
        <f t="array" ref="AB56">_xlfn.IFS(cleaned_data[[#This Row],[YearsAtCompany]]&lt;=5, "0-5",cleaned_data[[#This Row],[YearsAtCompany]]&lt;=10,"6-10",TRUE,"10+")</f>
        <v>0-5</v>
      </c>
    </row>
    <row r="57" spans="1:28" x14ac:dyDescent="0.3">
      <c r="A57" s="2">
        <v>33</v>
      </c>
      <c r="B57" t="s">
        <v>43</v>
      </c>
      <c r="C57">
        <v>0</v>
      </c>
      <c r="D57" t="s">
        <v>44</v>
      </c>
      <c r="E57" t="s">
        <v>45</v>
      </c>
      <c r="F57">
        <v>1</v>
      </c>
      <c r="G57" t="s">
        <v>38</v>
      </c>
      <c r="H57" t="s">
        <v>127</v>
      </c>
      <c r="I57">
        <v>1</v>
      </c>
      <c r="J57" t="s">
        <v>39</v>
      </c>
      <c r="K57">
        <v>3</v>
      </c>
      <c r="L57">
        <v>3</v>
      </c>
      <c r="M57" t="s">
        <v>58</v>
      </c>
      <c r="N57">
        <v>4</v>
      </c>
      <c r="O57" t="s">
        <v>41</v>
      </c>
      <c r="P57" s="1">
        <v>13458</v>
      </c>
      <c r="Q57" t="s">
        <v>90</v>
      </c>
      <c r="R57" t="s">
        <v>35</v>
      </c>
      <c r="S57">
        <v>3</v>
      </c>
      <c r="T57">
        <v>15</v>
      </c>
      <c r="U57">
        <v>3</v>
      </c>
      <c r="V57">
        <v>15</v>
      </c>
      <c r="W57">
        <v>14</v>
      </c>
      <c r="X57">
        <v>8</v>
      </c>
      <c r="Y57">
        <v>12</v>
      </c>
      <c r="Z57" t="s">
        <v>1551</v>
      </c>
      <c r="AA57" t="s">
        <v>69</v>
      </c>
      <c r="AB57" t="str" cm="1">
        <f t="array" ref="AB57">_xlfn.IFS(cleaned_data[[#This Row],[YearsAtCompany]]&lt;=5, "0-5",cleaned_data[[#This Row],[YearsAtCompany]]&lt;=10,"6-10",TRUE,"10+")</f>
        <v>10+</v>
      </c>
    </row>
    <row r="58" spans="1:28" x14ac:dyDescent="0.3">
      <c r="A58" s="2">
        <v>35</v>
      </c>
      <c r="B58" t="s">
        <v>43</v>
      </c>
      <c r="C58">
        <v>0</v>
      </c>
      <c r="D58" t="s">
        <v>44</v>
      </c>
      <c r="E58" t="s">
        <v>37</v>
      </c>
      <c r="F58">
        <v>18</v>
      </c>
      <c r="G58" t="s">
        <v>38</v>
      </c>
      <c r="H58" t="s">
        <v>128</v>
      </c>
      <c r="I58">
        <v>2</v>
      </c>
      <c r="J58" t="s">
        <v>46</v>
      </c>
      <c r="K58">
        <v>3</v>
      </c>
      <c r="L58">
        <v>3</v>
      </c>
      <c r="M58" t="s">
        <v>40</v>
      </c>
      <c r="N58">
        <v>1</v>
      </c>
      <c r="O58" t="s">
        <v>48</v>
      </c>
      <c r="P58" s="6">
        <v>9069</v>
      </c>
      <c r="Q58" t="s">
        <v>67</v>
      </c>
      <c r="R58" t="s">
        <v>43</v>
      </c>
      <c r="S58">
        <v>4</v>
      </c>
      <c r="T58">
        <v>9</v>
      </c>
      <c r="U58">
        <v>2</v>
      </c>
      <c r="V58">
        <v>9</v>
      </c>
      <c r="W58">
        <v>8</v>
      </c>
      <c r="X58">
        <v>1</v>
      </c>
      <c r="Y58">
        <v>8</v>
      </c>
      <c r="Z58" t="s">
        <v>1551</v>
      </c>
      <c r="AA58" t="s">
        <v>69</v>
      </c>
      <c r="AB58" t="str" cm="1">
        <f t="array" ref="AB58">_xlfn.IFS(cleaned_data[[#This Row],[YearsAtCompany]]&lt;=5, "0-5",cleaned_data[[#This Row],[YearsAtCompany]]&lt;=10,"6-10",TRUE,"10+")</f>
        <v>6-10</v>
      </c>
    </row>
    <row r="59" spans="1:28" x14ac:dyDescent="0.3">
      <c r="A59" s="2">
        <v>35</v>
      </c>
      <c r="B59" t="s">
        <v>43</v>
      </c>
      <c r="C59">
        <v>0</v>
      </c>
      <c r="D59" t="s">
        <v>36</v>
      </c>
      <c r="E59" t="s">
        <v>45</v>
      </c>
      <c r="F59">
        <v>23</v>
      </c>
      <c r="G59" t="s">
        <v>51</v>
      </c>
      <c r="H59" t="s">
        <v>129</v>
      </c>
      <c r="I59">
        <v>3</v>
      </c>
      <c r="J59" t="s">
        <v>39</v>
      </c>
      <c r="K59">
        <v>3</v>
      </c>
      <c r="L59">
        <v>1</v>
      </c>
      <c r="M59" t="s">
        <v>50</v>
      </c>
      <c r="N59">
        <v>1</v>
      </c>
      <c r="O59" t="s">
        <v>48</v>
      </c>
      <c r="P59" s="6">
        <v>4014</v>
      </c>
      <c r="Q59" t="s">
        <v>72</v>
      </c>
      <c r="R59" t="s">
        <v>35</v>
      </c>
      <c r="S59">
        <v>3</v>
      </c>
      <c r="T59">
        <v>4</v>
      </c>
      <c r="U59">
        <v>3</v>
      </c>
      <c r="V59">
        <v>2</v>
      </c>
      <c r="W59">
        <v>2</v>
      </c>
      <c r="X59">
        <v>2</v>
      </c>
      <c r="Y59">
        <v>2</v>
      </c>
      <c r="Z59" t="s">
        <v>1551</v>
      </c>
      <c r="AA59" t="s">
        <v>78</v>
      </c>
      <c r="AB59" t="str" cm="1">
        <f t="array" ref="AB59">_xlfn.IFS(cleaned_data[[#This Row],[YearsAtCompany]]&lt;=5, "0-5",cleaned_data[[#This Row],[YearsAtCompany]]&lt;=10,"6-10",TRUE,"10+")</f>
        <v>0-5</v>
      </c>
    </row>
    <row r="60" spans="1:28" x14ac:dyDescent="0.3">
      <c r="A60" s="2">
        <v>31</v>
      </c>
      <c r="B60" t="s">
        <v>43</v>
      </c>
      <c r="C60">
        <v>0</v>
      </c>
      <c r="D60" t="s">
        <v>36</v>
      </c>
      <c r="E60" t="s">
        <v>45</v>
      </c>
      <c r="F60">
        <v>7</v>
      </c>
      <c r="G60" t="s">
        <v>38</v>
      </c>
      <c r="H60" t="s">
        <v>130</v>
      </c>
      <c r="I60">
        <v>4</v>
      </c>
      <c r="J60" t="s">
        <v>46</v>
      </c>
      <c r="K60">
        <v>3</v>
      </c>
      <c r="L60">
        <v>2</v>
      </c>
      <c r="M60" t="s">
        <v>50</v>
      </c>
      <c r="N60">
        <v>4</v>
      </c>
      <c r="O60" t="s">
        <v>52</v>
      </c>
      <c r="P60" s="1">
        <v>5915</v>
      </c>
      <c r="Q60" t="s">
        <v>67</v>
      </c>
      <c r="R60" t="s">
        <v>43</v>
      </c>
      <c r="S60">
        <v>4</v>
      </c>
      <c r="T60">
        <v>10</v>
      </c>
      <c r="U60">
        <v>2</v>
      </c>
      <c r="V60">
        <v>7</v>
      </c>
      <c r="W60">
        <v>7</v>
      </c>
      <c r="X60">
        <v>1</v>
      </c>
      <c r="Y60">
        <v>7</v>
      </c>
      <c r="Z60" t="s">
        <v>1551</v>
      </c>
      <c r="AA60" t="s">
        <v>69</v>
      </c>
      <c r="AB60" t="str" cm="1">
        <f t="array" ref="AB60">_xlfn.IFS(cleaned_data[[#This Row],[YearsAtCompany]]&lt;=5, "0-5",cleaned_data[[#This Row],[YearsAtCompany]]&lt;=10,"6-10",TRUE,"10+")</f>
        <v>6-10</v>
      </c>
    </row>
    <row r="61" spans="1:28" x14ac:dyDescent="0.3">
      <c r="A61" s="2">
        <v>37</v>
      </c>
      <c r="B61" t="s">
        <v>43</v>
      </c>
      <c r="C61">
        <v>0</v>
      </c>
      <c r="D61" t="s">
        <v>36</v>
      </c>
      <c r="E61" t="s">
        <v>45</v>
      </c>
      <c r="F61">
        <v>1</v>
      </c>
      <c r="G61" t="s">
        <v>38</v>
      </c>
      <c r="H61" t="s">
        <v>131</v>
      </c>
      <c r="I61">
        <v>1</v>
      </c>
      <c r="J61" t="s">
        <v>46</v>
      </c>
      <c r="K61">
        <v>2</v>
      </c>
      <c r="L61">
        <v>2</v>
      </c>
      <c r="M61" t="s">
        <v>53</v>
      </c>
      <c r="N61">
        <v>3</v>
      </c>
      <c r="O61" t="s">
        <v>52</v>
      </c>
      <c r="P61" s="1">
        <v>5993</v>
      </c>
      <c r="Q61" t="s">
        <v>67</v>
      </c>
      <c r="R61" t="s">
        <v>43</v>
      </c>
      <c r="S61">
        <v>3</v>
      </c>
      <c r="T61">
        <v>7</v>
      </c>
      <c r="U61">
        <v>4</v>
      </c>
      <c r="V61">
        <v>7</v>
      </c>
      <c r="W61">
        <v>5</v>
      </c>
      <c r="X61">
        <v>0</v>
      </c>
      <c r="Y61">
        <v>7</v>
      </c>
      <c r="Z61" t="s">
        <v>1550</v>
      </c>
      <c r="AA61" t="s">
        <v>69</v>
      </c>
      <c r="AB61" t="str" cm="1">
        <f t="array" ref="AB61">_xlfn.IFS(cleaned_data[[#This Row],[YearsAtCompany]]&lt;=5, "0-5",cleaned_data[[#This Row],[YearsAtCompany]]&lt;=10,"6-10",TRUE,"10+")</f>
        <v>6-10</v>
      </c>
    </row>
    <row r="62" spans="1:28" x14ac:dyDescent="0.3">
      <c r="A62" s="2">
        <v>32</v>
      </c>
      <c r="B62" t="s">
        <v>43</v>
      </c>
      <c r="C62">
        <v>0</v>
      </c>
      <c r="D62" t="s">
        <v>36</v>
      </c>
      <c r="E62" t="s">
        <v>45</v>
      </c>
      <c r="F62">
        <v>1</v>
      </c>
      <c r="G62" t="s">
        <v>51</v>
      </c>
      <c r="H62" t="s">
        <v>132</v>
      </c>
      <c r="I62">
        <v>1</v>
      </c>
      <c r="J62" t="s">
        <v>46</v>
      </c>
      <c r="K62">
        <v>3</v>
      </c>
      <c r="L62">
        <v>2</v>
      </c>
      <c r="M62" t="s">
        <v>53</v>
      </c>
      <c r="N62">
        <v>4</v>
      </c>
      <c r="O62" t="s">
        <v>48</v>
      </c>
      <c r="P62" s="1">
        <v>6162</v>
      </c>
      <c r="Q62" t="s">
        <v>67</v>
      </c>
      <c r="R62" t="s">
        <v>35</v>
      </c>
      <c r="S62">
        <v>4</v>
      </c>
      <c r="T62">
        <v>9</v>
      </c>
      <c r="U62">
        <v>3</v>
      </c>
      <c r="V62">
        <v>9</v>
      </c>
      <c r="W62">
        <v>8</v>
      </c>
      <c r="X62">
        <v>7</v>
      </c>
      <c r="Y62">
        <v>8</v>
      </c>
      <c r="Z62" t="s">
        <v>1551</v>
      </c>
      <c r="AA62" t="s">
        <v>69</v>
      </c>
      <c r="AB62" t="str" cm="1">
        <f t="array" ref="AB62">_xlfn.IFS(cleaned_data[[#This Row],[YearsAtCompany]]&lt;=5, "0-5",cleaned_data[[#This Row],[YearsAtCompany]]&lt;=10,"6-10",TRUE,"10+")</f>
        <v>6-10</v>
      </c>
    </row>
    <row r="63" spans="1:28" x14ac:dyDescent="0.3">
      <c r="A63" s="2">
        <v>38</v>
      </c>
      <c r="B63" t="s">
        <v>43</v>
      </c>
      <c r="C63">
        <v>0</v>
      </c>
      <c r="D63" t="s">
        <v>44</v>
      </c>
      <c r="E63" t="s">
        <v>45</v>
      </c>
      <c r="F63">
        <v>29</v>
      </c>
      <c r="G63" t="s">
        <v>38</v>
      </c>
      <c r="H63" t="s">
        <v>133</v>
      </c>
      <c r="I63">
        <v>4</v>
      </c>
      <c r="J63" t="s">
        <v>39</v>
      </c>
      <c r="K63">
        <v>3</v>
      </c>
      <c r="L63">
        <v>2</v>
      </c>
      <c r="M63" t="s">
        <v>50</v>
      </c>
      <c r="N63">
        <v>4</v>
      </c>
      <c r="O63" t="s">
        <v>41</v>
      </c>
      <c r="P63" s="1">
        <v>2406</v>
      </c>
      <c r="Q63" t="s">
        <v>72</v>
      </c>
      <c r="R63" t="s">
        <v>43</v>
      </c>
      <c r="S63">
        <v>3</v>
      </c>
      <c r="T63">
        <v>10</v>
      </c>
      <c r="U63">
        <v>3</v>
      </c>
      <c r="V63">
        <v>10</v>
      </c>
      <c r="W63">
        <v>3</v>
      </c>
      <c r="X63">
        <v>9</v>
      </c>
      <c r="Y63">
        <v>9</v>
      </c>
      <c r="Z63" t="s">
        <v>1550</v>
      </c>
      <c r="AA63" t="s">
        <v>69</v>
      </c>
      <c r="AB63" t="str" cm="1">
        <f t="array" ref="AB63">_xlfn.IFS(cleaned_data[[#This Row],[YearsAtCompany]]&lt;=5, "0-5",cleaned_data[[#This Row],[YearsAtCompany]]&lt;=10,"6-10",TRUE,"10+")</f>
        <v>6-10</v>
      </c>
    </row>
    <row r="64" spans="1:28" x14ac:dyDescent="0.3">
      <c r="A64" s="2">
        <v>50</v>
      </c>
      <c r="B64" t="s">
        <v>43</v>
      </c>
      <c r="C64">
        <v>0</v>
      </c>
      <c r="D64" t="s">
        <v>36</v>
      </c>
      <c r="E64" t="s">
        <v>45</v>
      </c>
      <c r="F64">
        <v>7</v>
      </c>
      <c r="G64" t="s">
        <v>51</v>
      </c>
      <c r="H64" t="s">
        <v>134</v>
      </c>
      <c r="I64">
        <v>2</v>
      </c>
      <c r="J64" t="s">
        <v>39</v>
      </c>
      <c r="K64">
        <v>2</v>
      </c>
      <c r="L64">
        <v>5</v>
      </c>
      <c r="M64" t="s">
        <v>58</v>
      </c>
      <c r="N64">
        <v>3</v>
      </c>
      <c r="O64" t="s">
        <v>52</v>
      </c>
      <c r="P64" s="1">
        <v>18740</v>
      </c>
      <c r="Q64" t="s">
        <v>90</v>
      </c>
      <c r="R64" t="s">
        <v>35</v>
      </c>
      <c r="S64">
        <v>3</v>
      </c>
      <c r="T64">
        <v>29</v>
      </c>
      <c r="U64">
        <v>2</v>
      </c>
      <c r="V64">
        <v>27</v>
      </c>
      <c r="W64">
        <v>3</v>
      </c>
      <c r="X64">
        <v>13</v>
      </c>
      <c r="Y64">
        <v>8</v>
      </c>
      <c r="Z64" t="s">
        <v>106</v>
      </c>
      <c r="AA64" t="s">
        <v>82</v>
      </c>
      <c r="AB64" t="str" cm="1">
        <f t="array" ref="AB64">_xlfn.IFS(cleaned_data[[#This Row],[YearsAtCompany]]&lt;=5, "0-5",cleaned_data[[#This Row],[YearsAtCompany]]&lt;=10,"6-10",TRUE,"10+")</f>
        <v>10+</v>
      </c>
    </row>
    <row r="65" spans="1:28" x14ac:dyDescent="0.3">
      <c r="A65" s="2">
        <v>59</v>
      </c>
      <c r="B65" t="s">
        <v>43</v>
      </c>
      <c r="C65">
        <v>0</v>
      </c>
      <c r="D65" t="s">
        <v>36</v>
      </c>
      <c r="E65" t="s">
        <v>37</v>
      </c>
      <c r="F65">
        <v>25</v>
      </c>
      <c r="G65" t="s">
        <v>38</v>
      </c>
      <c r="H65" t="s">
        <v>135</v>
      </c>
      <c r="I65">
        <v>1</v>
      </c>
      <c r="J65" t="s">
        <v>39</v>
      </c>
      <c r="K65">
        <v>3</v>
      </c>
      <c r="L65">
        <v>3</v>
      </c>
      <c r="M65" t="s">
        <v>40</v>
      </c>
      <c r="N65">
        <v>1</v>
      </c>
      <c r="O65" t="s">
        <v>41</v>
      </c>
      <c r="P65" s="6">
        <v>7637</v>
      </c>
      <c r="Q65" t="s">
        <v>67</v>
      </c>
      <c r="R65" t="s">
        <v>43</v>
      </c>
      <c r="S65">
        <v>3</v>
      </c>
      <c r="T65">
        <v>28</v>
      </c>
      <c r="U65">
        <v>2</v>
      </c>
      <c r="V65">
        <v>21</v>
      </c>
      <c r="W65">
        <v>16</v>
      </c>
      <c r="X65">
        <v>7</v>
      </c>
      <c r="Y65">
        <v>9</v>
      </c>
      <c r="Z65" t="s">
        <v>106</v>
      </c>
      <c r="AA65" t="s">
        <v>82</v>
      </c>
      <c r="AB65" t="str" cm="1">
        <f t="array" ref="AB65">_xlfn.IFS(cleaned_data[[#This Row],[YearsAtCompany]]&lt;=5, "0-5",cleaned_data[[#This Row],[YearsAtCompany]]&lt;=10,"6-10",TRUE,"10+")</f>
        <v>10+</v>
      </c>
    </row>
    <row r="66" spans="1:28" x14ac:dyDescent="0.3">
      <c r="A66" s="2">
        <v>36</v>
      </c>
      <c r="B66" t="s">
        <v>43</v>
      </c>
      <c r="C66">
        <v>0</v>
      </c>
      <c r="D66" t="s">
        <v>36</v>
      </c>
      <c r="E66" t="s">
        <v>45</v>
      </c>
      <c r="F66">
        <v>8</v>
      </c>
      <c r="G66" t="s">
        <v>60</v>
      </c>
      <c r="H66" t="s">
        <v>136</v>
      </c>
      <c r="I66">
        <v>3</v>
      </c>
      <c r="J66" t="s">
        <v>39</v>
      </c>
      <c r="K66">
        <v>3</v>
      </c>
      <c r="L66">
        <v>3</v>
      </c>
      <c r="M66" t="s">
        <v>54</v>
      </c>
      <c r="N66">
        <v>3</v>
      </c>
      <c r="O66" t="s">
        <v>52</v>
      </c>
      <c r="P66" s="1">
        <v>10096</v>
      </c>
      <c r="Q66" t="s">
        <v>67</v>
      </c>
      <c r="R66" t="s">
        <v>43</v>
      </c>
      <c r="S66">
        <v>3</v>
      </c>
      <c r="T66">
        <v>17</v>
      </c>
      <c r="U66">
        <v>3</v>
      </c>
      <c r="V66">
        <v>17</v>
      </c>
      <c r="W66">
        <v>14</v>
      </c>
      <c r="X66">
        <v>12</v>
      </c>
      <c r="Y66">
        <v>8</v>
      </c>
      <c r="Z66" t="s">
        <v>1550</v>
      </c>
      <c r="AA66" t="s">
        <v>82</v>
      </c>
      <c r="AB66" t="str" cm="1">
        <f t="array" ref="AB66">_xlfn.IFS(cleaned_data[[#This Row],[YearsAtCompany]]&lt;=5, "0-5",cleaned_data[[#This Row],[YearsAtCompany]]&lt;=10,"6-10",TRUE,"10+")</f>
        <v>10+</v>
      </c>
    </row>
    <row r="67" spans="1:28" x14ac:dyDescent="0.3">
      <c r="A67" s="2">
        <v>55</v>
      </c>
      <c r="B67" t="s">
        <v>43</v>
      </c>
      <c r="C67">
        <v>0</v>
      </c>
      <c r="D67" t="s">
        <v>36</v>
      </c>
      <c r="E67" t="s">
        <v>45</v>
      </c>
      <c r="F67">
        <v>8</v>
      </c>
      <c r="G67" t="s">
        <v>51</v>
      </c>
      <c r="H67" t="s">
        <v>137</v>
      </c>
      <c r="I67">
        <v>4</v>
      </c>
      <c r="J67" t="s">
        <v>39</v>
      </c>
      <c r="K67">
        <v>3</v>
      </c>
      <c r="L67">
        <v>4</v>
      </c>
      <c r="M67" t="s">
        <v>56</v>
      </c>
      <c r="N67">
        <v>3</v>
      </c>
      <c r="O67" t="s">
        <v>52</v>
      </c>
      <c r="P67" s="1">
        <v>14756</v>
      </c>
      <c r="Q67" t="s">
        <v>90</v>
      </c>
      <c r="R67" t="s">
        <v>35</v>
      </c>
      <c r="S67">
        <v>3</v>
      </c>
      <c r="T67">
        <v>21</v>
      </c>
      <c r="U67">
        <v>3</v>
      </c>
      <c r="V67">
        <v>5</v>
      </c>
      <c r="W67">
        <v>0</v>
      </c>
      <c r="X67">
        <v>0</v>
      </c>
      <c r="Y67">
        <v>2</v>
      </c>
      <c r="Z67" t="s">
        <v>106</v>
      </c>
      <c r="AA67" t="s">
        <v>82</v>
      </c>
      <c r="AB67" t="str" cm="1">
        <f t="array" ref="AB67">_xlfn.IFS(cleaned_data[[#This Row],[YearsAtCompany]]&lt;=5, "0-5",cleaned_data[[#This Row],[YearsAtCompany]]&lt;=10,"6-10",TRUE,"10+")</f>
        <v>0-5</v>
      </c>
    </row>
    <row r="68" spans="1:28" x14ac:dyDescent="0.3">
      <c r="A68" s="2">
        <v>36</v>
      </c>
      <c r="B68" t="s">
        <v>43</v>
      </c>
      <c r="C68">
        <v>0</v>
      </c>
      <c r="D68" t="s">
        <v>44</v>
      </c>
      <c r="E68" t="s">
        <v>45</v>
      </c>
      <c r="F68">
        <v>11</v>
      </c>
      <c r="G68" t="s">
        <v>38</v>
      </c>
      <c r="H68" t="s">
        <v>138</v>
      </c>
      <c r="I68">
        <v>2</v>
      </c>
      <c r="J68" t="s">
        <v>46</v>
      </c>
      <c r="K68">
        <v>2</v>
      </c>
      <c r="L68">
        <v>2</v>
      </c>
      <c r="M68" t="s">
        <v>53</v>
      </c>
      <c r="N68">
        <v>2</v>
      </c>
      <c r="O68" t="s">
        <v>41</v>
      </c>
      <c r="P68" s="1">
        <v>6499</v>
      </c>
      <c r="Q68" t="s">
        <v>67</v>
      </c>
      <c r="R68" t="s">
        <v>43</v>
      </c>
      <c r="S68">
        <v>3</v>
      </c>
      <c r="T68">
        <v>6</v>
      </c>
      <c r="U68">
        <v>3</v>
      </c>
      <c r="V68">
        <v>6</v>
      </c>
      <c r="W68">
        <v>5</v>
      </c>
      <c r="X68">
        <v>0</v>
      </c>
      <c r="Y68">
        <v>3</v>
      </c>
      <c r="Z68" t="s">
        <v>1550</v>
      </c>
      <c r="AA68" t="s">
        <v>69</v>
      </c>
      <c r="AB68" t="str" cm="1">
        <f t="array" ref="AB68">_xlfn.IFS(cleaned_data[[#This Row],[YearsAtCompany]]&lt;=5, "0-5",cleaned_data[[#This Row],[YearsAtCompany]]&lt;=10,"6-10",TRUE,"10+")</f>
        <v>6-10</v>
      </c>
    </row>
    <row r="69" spans="1:28" x14ac:dyDescent="0.3">
      <c r="A69" s="2">
        <v>45</v>
      </c>
      <c r="B69" t="s">
        <v>43</v>
      </c>
      <c r="C69">
        <v>0</v>
      </c>
      <c r="D69" t="s">
        <v>36</v>
      </c>
      <c r="E69" t="s">
        <v>45</v>
      </c>
      <c r="F69">
        <v>7</v>
      </c>
      <c r="G69" t="s">
        <v>38</v>
      </c>
      <c r="H69" t="s">
        <v>139</v>
      </c>
      <c r="I69">
        <v>2</v>
      </c>
      <c r="J69" t="s">
        <v>46</v>
      </c>
      <c r="K69">
        <v>3</v>
      </c>
      <c r="L69">
        <v>3</v>
      </c>
      <c r="M69" t="s">
        <v>47</v>
      </c>
      <c r="N69">
        <v>1</v>
      </c>
      <c r="O69" t="s">
        <v>52</v>
      </c>
      <c r="P69" s="6">
        <v>9724</v>
      </c>
      <c r="Q69" t="s">
        <v>67</v>
      </c>
      <c r="R69" t="s">
        <v>43</v>
      </c>
      <c r="S69">
        <v>3</v>
      </c>
      <c r="T69">
        <v>25</v>
      </c>
      <c r="U69">
        <v>3</v>
      </c>
      <c r="V69">
        <v>1</v>
      </c>
      <c r="W69">
        <v>0</v>
      </c>
      <c r="X69">
        <v>0</v>
      </c>
      <c r="Y69">
        <v>0</v>
      </c>
      <c r="Z69" t="s">
        <v>1550</v>
      </c>
      <c r="AA69" t="s">
        <v>82</v>
      </c>
      <c r="AB69" t="str" cm="1">
        <f t="array" ref="AB69">_xlfn.IFS(cleaned_data[[#This Row],[YearsAtCompany]]&lt;=5, "0-5",cleaned_data[[#This Row],[YearsAtCompany]]&lt;=10,"6-10",TRUE,"10+")</f>
        <v>0-5</v>
      </c>
    </row>
    <row r="70" spans="1:28" x14ac:dyDescent="0.3">
      <c r="A70" s="2">
        <v>35</v>
      </c>
      <c r="B70" t="s">
        <v>43</v>
      </c>
      <c r="C70">
        <v>0</v>
      </c>
      <c r="D70" t="s">
        <v>44</v>
      </c>
      <c r="E70" t="s">
        <v>45</v>
      </c>
      <c r="F70">
        <v>1</v>
      </c>
      <c r="G70" t="s">
        <v>51</v>
      </c>
      <c r="H70" t="s">
        <v>140</v>
      </c>
      <c r="I70">
        <v>2</v>
      </c>
      <c r="J70" t="s">
        <v>46</v>
      </c>
      <c r="K70">
        <v>3</v>
      </c>
      <c r="L70">
        <v>1</v>
      </c>
      <c r="M70" t="s">
        <v>47</v>
      </c>
      <c r="N70">
        <v>1</v>
      </c>
      <c r="O70" t="s">
        <v>48</v>
      </c>
      <c r="P70" s="6">
        <v>2194</v>
      </c>
      <c r="Q70" t="s">
        <v>72</v>
      </c>
      <c r="R70" t="s">
        <v>43</v>
      </c>
      <c r="S70">
        <v>3</v>
      </c>
      <c r="T70">
        <v>5</v>
      </c>
      <c r="U70">
        <v>2</v>
      </c>
      <c r="V70">
        <v>3</v>
      </c>
      <c r="W70">
        <v>2</v>
      </c>
      <c r="X70">
        <v>1</v>
      </c>
      <c r="Y70">
        <v>2</v>
      </c>
      <c r="Z70" t="s">
        <v>1551</v>
      </c>
      <c r="AA70" t="s">
        <v>78</v>
      </c>
      <c r="AB70" t="str" cm="1">
        <f t="array" ref="AB70">_xlfn.IFS(cleaned_data[[#This Row],[YearsAtCompany]]&lt;=5, "0-5",cleaned_data[[#This Row],[YearsAtCompany]]&lt;=10,"6-10",TRUE,"10+")</f>
        <v>0-5</v>
      </c>
    </row>
    <row r="71" spans="1:28" x14ac:dyDescent="0.3">
      <c r="A71" s="2">
        <v>36</v>
      </c>
      <c r="B71" t="s">
        <v>35</v>
      </c>
      <c r="C71">
        <v>1</v>
      </c>
      <c r="D71" t="s">
        <v>36</v>
      </c>
      <c r="E71" t="s">
        <v>45</v>
      </c>
      <c r="F71">
        <v>9</v>
      </c>
      <c r="G71" t="s">
        <v>51</v>
      </c>
      <c r="H71" t="s">
        <v>141</v>
      </c>
      <c r="I71">
        <v>4</v>
      </c>
      <c r="J71" t="s">
        <v>46</v>
      </c>
      <c r="K71">
        <v>2</v>
      </c>
      <c r="L71">
        <v>1</v>
      </c>
      <c r="M71" t="s">
        <v>47</v>
      </c>
      <c r="N71">
        <v>3</v>
      </c>
      <c r="O71" t="s">
        <v>48</v>
      </c>
      <c r="P71" s="1">
        <v>3388</v>
      </c>
      <c r="Q71" t="s">
        <v>72</v>
      </c>
      <c r="R71" t="s">
        <v>35</v>
      </c>
      <c r="S71">
        <v>3</v>
      </c>
      <c r="T71">
        <v>2</v>
      </c>
      <c r="U71">
        <v>2</v>
      </c>
      <c r="V71">
        <v>1</v>
      </c>
      <c r="W71">
        <v>0</v>
      </c>
      <c r="X71">
        <v>0</v>
      </c>
      <c r="Y71">
        <v>0</v>
      </c>
      <c r="Z71" t="s">
        <v>1550</v>
      </c>
      <c r="AA71" t="s">
        <v>78</v>
      </c>
      <c r="AB71" t="str" cm="1">
        <f t="array" ref="AB71">_xlfn.IFS(cleaned_data[[#This Row],[YearsAtCompany]]&lt;=5, "0-5",cleaned_data[[#This Row],[YearsAtCompany]]&lt;=10,"6-10",TRUE,"10+")</f>
        <v>0-5</v>
      </c>
    </row>
    <row r="72" spans="1:28" x14ac:dyDescent="0.3">
      <c r="A72" s="2">
        <v>59</v>
      </c>
      <c r="B72" t="s">
        <v>43</v>
      </c>
      <c r="C72">
        <v>0</v>
      </c>
      <c r="D72" t="s">
        <v>44</v>
      </c>
      <c r="E72" t="s">
        <v>37</v>
      </c>
      <c r="F72">
        <v>1</v>
      </c>
      <c r="G72" t="s">
        <v>38</v>
      </c>
      <c r="H72" t="s">
        <v>142</v>
      </c>
      <c r="I72">
        <v>1</v>
      </c>
      <c r="J72" t="s">
        <v>39</v>
      </c>
      <c r="K72">
        <v>2</v>
      </c>
      <c r="L72">
        <v>2</v>
      </c>
      <c r="M72" t="s">
        <v>40</v>
      </c>
      <c r="N72">
        <v>3</v>
      </c>
      <c r="O72" t="s">
        <v>41</v>
      </c>
      <c r="P72" s="1">
        <v>5473</v>
      </c>
      <c r="Q72" t="s">
        <v>67</v>
      </c>
      <c r="R72" t="s">
        <v>43</v>
      </c>
      <c r="S72">
        <v>3</v>
      </c>
      <c r="T72">
        <v>20</v>
      </c>
      <c r="U72">
        <v>2</v>
      </c>
      <c r="V72">
        <v>4</v>
      </c>
      <c r="W72">
        <v>3</v>
      </c>
      <c r="X72">
        <v>1</v>
      </c>
      <c r="Y72">
        <v>3</v>
      </c>
      <c r="Z72" t="s">
        <v>106</v>
      </c>
      <c r="AA72" t="s">
        <v>82</v>
      </c>
      <c r="AB72" t="str" cm="1">
        <f t="array" ref="AB72">_xlfn.IFS(cleaned_data[[#This Row],[YearsAtCompany]]&lt;=5, "0-5",cleaned_data[[#This Row],[YearsAtCompany]]&lt;=10,"6-10",TRUE,"10+")</f>
        <v>0-5</v>
      </c>
    </row>
    <row r="73" spans="1:28" x14ac:dyDescent="0.3">
      <c r="A73" s="2">
        <v>29</v>
      </c>
      <c r="B73" t="s">
        <v>43</v>
      </c>
      <c r="C73">
        <v>0</v>
      </c>
      <c r="D73" t="s">
        <v>36</v>
      </c>
      <c r="E73" t="s">
        <v>45</v>
      </c>
      <c r="F73">
        <v>2</v>
      </c>
      <c r="G73" t="s">
        <v>38</v>
      </c>
      <c r="H73" t="s">
        <v>143</v>
      </c>
      <c r="I73">
        <v>3</v>
      </c>
      <c r="J73" t="s">
        <v>46</v>
      </c>
      <c r="K73">
        <v>3</v>
      </c>
      <c r="L73">
        <v>1</v>
      </c>
      <c r="M73" t="s">
        <v>47</v>
      </c>
      <c r="N73">
        <v>2</v>
      </c>
      <c r="O73" t="s">
        <v>48</v>
      </c>
      <c r="P73" s="1">
        <v>2703</v>
      </c>
      <c r="Q73" t="s">
        <v>72</v>
      </c>
      <c r="R73" t="s">
        <v>43</v>
      </c>
      <c r="S73">
        <v>4</v>
      </c>
      <c r="T73">
        <v>6</v>
      </c>
      <c r="U73">
        <v>3</v>
      </c>
      <c r="V73">
        <v>5</v>
      </c>
      <c r="W73">
        <v>4</v>
      </c>
      <c r="X73">
        <v>0</v>
      </c>
      <c r="Y73">
        <v>4</v>
      </c>
      <c r="Z73" t="s">
        <v>1551</v>
      </c>
      <c r="AA73" t="s">
        <v>69</v>
      </c>
      <c r="AB73" t="str" cm="1">
        <f t="array" ref="AB73">_xlfn.IFS(cleaned_data[[#This Row],[YearsAtCompany]]&lt;=5, "0-5",cleaned_data[[#This Row],[YearsAtCompany]]&lt;=10,"6-10",TRUE,"10+")</f>
        <v>0-5</v>
      </c>
    </row>
    <row r="74" spans="1:28" x14ac:dyDescent="0.3">
      <c r="A74" s="2">
        <v>31</v>
      </c>
      <c r="B74" t="s">
        <v>43</v>
      </c>
      <c r="C74">
        <v>0</v>
      </c>
      <c r="D74" t="s">
        <v>36</v>
      </c>
      <c r="E74" t="s">
        <v>45</v>
      </c>
      <c r="F74">
        <v>1</v>
      </c>
      <c r="G74" t="s">
        <v>51</v>
      </c>
      <c r="H74" t="s">
        <v>144</v>
      </c>
      <c r="I74">
        <v>3</v>
      </c>
      <c r="J74" t="s">
        <v>46</v>
      </c>
      <c r="K74">
        <v>3</v>
      </c>
      <c r="L74">
        <v>1</v>
      </c>
      <c r="M74" t="s">
        <v>47</v>
      </c>
      <c r="N74">
        <v>2</v>
      </c>
      <c r="O74" t="s">
        <v>41</v>
      </c>
      <c r="P74" s="1">
        <v>2501</v>
      </c>
      <c r="Q74" t="s">
        <v>72</v>
      </c>
      <c r="R74" t="s">
        <v>43</v>
      </c>
      <c r="S74">
        <v>3</v>
      </c>
      <c r="T74">
        <v>1</v>
      </c>
      <c r="U74">
        <v>3</v>
      </c>
      <c r="V74">
        <v>1</v>
      </c>
      <c r="W74">
        <v>1</v>
      </c>
      <c r="X74">
        <v>1</v>
      </c>
      <c r="Y74">
        <v>0</v>
      </c>
      <c r="Z74" t="s">
        <v>1551</v>
      </c>
      <c r="AA74" t="s">
        <v>78</v>
      </c>
      <c r="AB74" t="str" cm="1">
        <f t="array" ref="AB74">_xlfn.IFS(cleaned_data[[#This Row],[YearsAtCompany]]&lt;=5, "0-5",cleaned_data[[#This Row],[YearsAtCompany]]&lt;=10,"6-10",TRUE,"10+")</f>
        <v>0-5</v>
      </c>
    </row>
    <row r="75" spans="1:28" x14ac:dyDescent="0.3">
      <c r="A75" s="2">
        <v>32</v>
      </c>
      <c r="B75" t="s">
        <v>43</v>
      </c>
      <c r="C75">
        <v>0</v>
      </c>
      <c r="D75" t="s">
        <v>36</v>
      </c>
      <c r="E75" t="s">
        <v>45</v>
      </c>
      <c r="F75">
        <v>1</v>
      </c>
      <c r="G75" t="s">
        <v>38</v>
      </c>
      <c r="H75" t="s">
        <v>145</v>
      </c>
      <c r="I75">
        <v>2</v>
      </c>
      <c r="J75" t="s">
        <v>46</v>
      </c>
      <c r="K75">
        <v>3</v>
      </c>
      <c r="L75">
        <v>2</v>
      </c>
      <c r="M75" t="s">
        <v>47</v>
      </c>
      <c r="N75">
        <v>2</v>
      </c>
      <c r="O75" t="s">
        <v>48</v>
      </c>
      <c r="P75" s="1">
        <v>6220</v>
      </c>
      <c r="Q75" t="s">
        <v>67</v>
      </c>
      <c r="R75" t="s">
        <v>43</v>
      </c>
      <c r="S75">
        <v>3</v>
      </c>
      <c r="T75">
        <v>10</v>
      </c>
      <c r="U75">
        <v>3</v>
      </c>
      <c r="V75">
        <v>10</v>
      </c>
      <c r="W75">
        <v>4</v>
      </c>
      <c r="X75">
        <v>0</v>
      </c>
      <c r="Y75">
        <v>9</v>
      </c>
      <c r="Z75" t="s">
        <v>1551</v>
      </c>
      <c r="AA75" t="s">
        <v>69</v>
      </c>
      <c r="AB75" t="str" cm="1">
        <f t="array" ref="AB75">_xlfn.IFS(cleaned_data[[#This Row],[YearsAtCompany]]&lt;=5, "0-5",cleaned_data[[#This Row],[YearsAtCompany]]&lt;=10,"6-10",TRUE,"10+")</f>
        <v>6-10</v>
      </c>
    </row>
    <row r="76" spans="1:28" x14ac:dyDescent="0.3">
      <c r="A76" s="2">
        <v>36</v>
      </c>
      <c r="B76" t="s">
        <v>43</v>
      </c>
      <c r="C76">
        <v>0</v>
      </c>
      <c r="D76" t="s">
        <v>36</v>
      </c>
      <c r="E76" t="s">
        <v>45</v>
      </c>
      <c r="F76">
        <v>6</v>
      </c>
      <c r="G76" t="s">
        <v>38</v>
      </c>
      <c r="H76" t="s">
        <v>146</v>
      </c>
      <c r="I76">
        <v>2</v>
      </c>
      <c r="J76" t="s">
        <v>39</v>
      </c>
      <c r="K76">
        <v>4</v>
      </c>
      <c r="L76">
        <v>1</v>
      </c>
      <c r="M76" t="s">
        <v>50</v>
      </c>
      <c r="N76">
        <v>4</v>
      </c>
      <c r="O76" t="s">
        <v>48</v>
      </c>
      <c r="P76" s="1">
        <v>3038</v>
      </c>
      <c r="Q76" t="s">
        <v>72</v>
      </c>
      <c r="R76" t="s">
        <v>43</v>
      </c>
      <c r="S76">
        <v>3</v>
      </c>
      <c r="T76">
        <v>5</v>
      </c>
      <c r="U76">
        <v>3</v>
      </c>
      <c r="V76">
        <v>1</v>
      </c>
      <c r="W76">
        <v>0</v>
      </c>
      <c r="X76">
        <v>0</v>
      </c>
      <c r="Y76">
        <v>0</v>
      </c>
      <c r="Z76" t="s">
        <v>1550</v>
      </c>
      <c r="AA76" t="s">
        <v>78</v>
      </c>
      <c r="AB76" t="str" cm="1">
        <f t="array" ref="AB76">_xlfn.IFS(cleaned_data[[#This Row],[YearsAtCompany]]&lt;=5, "0-5",cleaned_data[[#This Row],[YearsAtCompany]]&lt;=10,"6-10",TRUE,"10+")</f>
        <v>0-5</v>
      </c>
    </row>
    <row r="77" spans="1:28" x14ac:dyDescent="0.3">
      <c r="A77" s="2">
        <v>31</v>
      </c>
      <c r="B77" t="s">
        <v>43</v>
      </c>
      <c r="C77">
        <v>0</v>
      </c>
      <c r="D77" t="s">
        <v>36</v>
      </c>
      <c r="E77" t="s">
        <v>45</v>
      </c>
      <c r="F77">
        <v>8</v>
      </c>
      <c r="G77" t="s">
        <v>38</v>
      </c>
      <c r="H77" t="s">
        <v>147</v>
      </c>
      <c r="I77">
        <v>3</v>
      </c>
      <c r="J77" t="s">
        <v>39</v>
      </c>
      <c r="K77">
        <v>3</v>
      </c>
      <c r="L77">
        <v>2</v>
      </c>
      <c r="M77" t="s">
        <v>53</v>
      </c>
      <c r="N77">
        <v>4</v>
      </c>
      <c r="O77" t="s">
        <v>41</v>
      </c>
      <c r="P77" s="1">
        <v>4424</v>
      </c>
      <c r="Q77" t="s">
        <v>72</v>
      </c>
      <c r="R77" t="s">
        <v>43</v>
      </c>
      <c r="S77">
        <v>4</v>
      </c>
      <c r="T77">
        <v>11</v>
      </c>
      <c r="U77">
        <v>3</v>
      </c>
      <c r="V77">
        <v>11</v>
      </c>
      <c r="W77">
        <v>7</v>
      </c>
      <c r="X77">
        <v>1</v>
      </c>
      <c r="Y77">
        <v>8</v>
      </c>
      <c r="Z77" t="s">
        <v>1551</v>
      </c>
      <c r="AA77" t="s">
        <v>69</v>
      </c>
      <c r="AB77" t="str" cm="1">
        <f t="array" ref="AB77">_xlfn.IFS(cleaned_data[[#This Row],[YearsAtCompany]]&lt;=5, "0-5",cleaned_data[[#This Row],[YearsAtCompany]]&lt;=10,"6-10",TRUE,"10+")</f>
        <v>10+</v>
      </c>
    </row>
    <row r="78" spans="1:28" x14ac:dyDescent="0.3">
      <c r="A78" s="2">
        <v>35</v>
      </c>
      <c r="B78" t="s">
        <v>43</v>
      </c>
      <c r="C78">
        <v>0</v>
      </c>
      <c r="D78" t="s">
        <v>36</v>
      </c>
      <c r="E78" t="s">
        <v>37</v>
      </c>
      <c r="F78">
        <v>1</v>
      </c>
      <c r="G78" t="s">
        <v>59</v>
      </c>
      <c r="H78" t="s">
        <v>148</v>
      </c>
      <c r="I78">
        <v>3</v>
      </c>
      <c r="J78" t="s">
        <v>46</v>
      </c>
      <c r="K78">
        <v>2</v>
      </c>
      <c r="L78">
        <v>2</v>
      </c>
      <c r="M78" t="s">
        <v>40</v>
      </c>
      <c r="N78">
        <v>1</v>
      </c>
      <c r="O78" t="s">
        <v>41</v>
      </c>
      <c r="P78" s="6">
        <v>4312</v>
      </c>
      <c r="Q78" t="s">
        <v>72</v>
      </c>
      <c r="R78" t="s">
        <v>43</v>
      </c>
      <c r="S78">
        <v>3</v>
      </c>
      <c r="T78">
        <v>16</v>
      </c>
      <c r="U78">
        <v>3</v>
      </c>
      <c r="V78">
        <v>15</v>
      </c>
      <c r="W78">
        <v>13</v>
      </c>
      <c r="X78">
        <v>2</v>
      </c>
      <c r="Y78">
        <v>8</v>
      </c>
      <c r="Z78" t="s">
        <v>1551</v>
      </c>
      <c r="AA78" t="s">
        <v>82</v>
      </c>
      <c r="AB78" t="str" cm="1">
        <f t="array" ref="AB78">_xlfn.IFS(cleaned_data[[#This Row],[YearsAtCompany]]&lt;=5, "0-5",cleaned_data[[#This Row],[YearsAtCompany]]&lt;=10,"6-10",TRUE,"10+")</f>
        <v>10+</v>
      </c>
    </row>
    <row r="79" spans="1:28" x14ac:dyDescent="0.3">
      <c r="A79" s="2">
        <v>45</v>
      </c>
      <c r="B79" t="s">
        <v>43</v>
      </c>
      <c r="C79">
        <v>0</v>
      </c>
      <c r="D79" t="s">
        <v>36</v>
      </c>
      <c r="E79" t="s">
        <v>45</v>
      </c>
      <c r="F79">
        <v>6</v>
      </c>
      <c r="G79" t="s">
        <v>49</v>
      </c>
      <c r="H79" t="s">
        <v>149</v>
      </c>
      <c r="I79">
        <v>4</v>
      </c>
      <c r="J79" t="s">
        <v>46</v>
      </c>
      <c r="K79">
        <v>3</v>
      </c>
      <c r="L79">
        <v>3</v>
      </c>
      <c r="M79" t="s">
        <v>58</v>
      </c>
      <c r="N79">
        <v>1</v>
      </c>
      <c r="O79" t="s">
        <v>48</v>
      </c>
      <c r="P79" s="6">
        <v>13245</v>
      </c>
      <c r="Q79" t="s">
        <v>90</v>
      </c>
      <c r="R79" t="s">
        <v>35</v>
      </c>
      <c r="S79">
        <v>3</v>
      </c>
      <c r="T79">
        <v>17</v>
      </c>
      <c r="U79">
        <v>4</v>
      </c>
      <c r="V79">
        <v>0</v>
      </c>
      <c r="W79">
        <v>0</v>
      </c>
      <c r="X79">
        <v>0</v>
      </c>
      <c r="Y79">
        <v>0</v>
      </c>
      <c r="Z79" t="s">
        <v>1550</v>
      </c>
      <c r="AA79" t="s">
        <v>82</v>
      </c>
      <c r="AB79" t="str" cm="1">
        <f t="array" ref="AB79">_xlfn.IFS(cleaned_data[[#This Row],[YearsAtCompany]]&lt;=5, "0-5",cleaned_data[[#This Row],[YearsAtCompany]]&lt;=10,"6-10",TRUE,"10+")</f>
        <v>0-5</v>
      </c>
    </row>
    <row r="80" spans="1:28" x14ac:dyDescent="0.3">
      <c r="A80" s="2">
        <v>37</v>
      </c>
      <c r="B80" t="s">
        <v>43</v>
      </c>
      <c r="C80">
        <v>0</v>
      </c>
      <c r="D80" t="s">
        <v>36</v>
      </c>
      <c r="E80" t="s">
        <v>45</v>
      </c>
      <c r="F80">
        <v>7</v>
      </c>
      <c r="G80" t="s">
        <v>51</v>
      </c>
      <c r="H80" t="s">
        <v>150</v>
      </c>
      <c r="I80">
        <v>1</v>
      </c>
      <c r="J80" t="s">
        <v>46</v>
      </c>
      <c r="K80">
        <v>3</v>
      </c>
      <c r="L80">
        <v>3</v>
      </c>
      <c r="M80" t="s">
        <v>58</v>
      </c>
      <c r="N80">
        <v>3</v>
      </c>
      <c r="O80" t="s">
        <v>41</v>
      </c>
      <c r="P80" s="1">
        <v>13664</v>
      </c>
      <c r="Q80" t="s">
        <v>90</v>
      </c>
      <c r="R80" t="s">
        <v>43</v>
      </c>
      <c r="S80">
        <v>3</v>
      </c>
      <c r="T80">
        <v>16</v>
      </c>
      <c r="U80">
        <v>4</v>
      </c>
      <c r="V80">
        <v>5</v>
      </c>
      <c r="W80">
        <v>2</v>
      </c>
      <c r="X80">
        <v>0</v>
      </c>
      <c r="Y80">
        <v>2</v>
      </c>
      <c r="Z80" t="s">
        <v>1550</v>
      </c>
      <c r="AA80" t="s">
        <v>82</v>
      </c>
      <c r="AB80" t="str" cm="1">
        <f t="array" ref="AB80">_xlfn.IFS(cleaned_data[[#This Row],[YearsAtCompany]]&lt;=5, "0-5",cleaned_data[[#This Row],[YearsAtCompany]]&lt;=10,"6-10",TRUE,"10+")</f>
        <v>0-5</v>
      </c>
    </row>
    <row r="81" spans="1:28" x14ac:dyDescent="0.3">
      <c r="A81" s="2">
        <v>46</v>
      </c>
      <c r="B81" t="s">
        <v>43</v>
      </c>
      <c r="C81">
        <v>0</v>
      </c>
      <c r="D81" t="s">
        <v>36</v>
      </c>
      <c r="E81" t="s">
        <v>61</v>
      </c>
      <c r="F81">
        <v>5</v>
      </c>
      <c r="G81" t="s">
        <v>51</v>
      </c>
      <c r="H81" t="s">
        <v>151</v>
      </c>
      <c r="I81">
        <v>2</v>
      </c>
      <c r="J81" t="s">
        <v>46</v>
      </c>
      <c r="K81">
        <v>3</v>
      </c>
      <c r="L81">
        <v>2</v>
      </c>
      <c r="M81" t="s">
        <v>61</v>
      </c>
      <c r="N81">
        <v>2</v>
      </c>
      <c r="O81" t="s">
        <v>52</v>
      </c>
      <c r="P81" s="1">
        <v>5021</v>
      </c>
      <c r="Q81" t="s">
        <v>67</v>
      </c>
      <c r="R81" t="s">
        <v>35</v>
      </c>
      <c r="S81">
        <v>4</v>
      </c>
      <c r="T81">
        <v>16</v>
      </c>
      <c r="U81">
        <v>3</v>
      </c>
      <c r="V81">
        <v>4</v>
      </c>
      <c r="W81">
        <v>2</v>
      </c>
      <c r="X81">
        <v>0</v>
      </c>
      <c r="Y81">
        <v>2</v>
      </c>
      <c r="Z81" t="s">
        <v>106</v>
      </c>
      <c r="AA81" t="s">
        <v>82</v>
      </c>
      <c r="AB81" t="str" cm="1">
        <f t="array" ref="AB81">_xlfn.IFS(cleaned_data[[#This Row],[YearsAtCompany]]&lt;=5, "0-5",cleaned_data[[#This Row],[YearsAtCompany]]&lt;=10,"6-10",TRUE,"10+")</f>
        <v>0-5</v>
      </c>
    </row>
    <row r="82" spans="1:28" x14ac:dyDescent="0.3">
      <c r="A82" s="2">
        <v>30</v>
      </c>
      <c r="B82" t="s">
        <v>43</v>
      </c>
      <c r="C82">
        <v>0</v>
      </c>
      <c r="D82" t="s">
        <v>36</v>
      </c>
      <c r="E82" t="s">
        <v>45</v>
      </c>
      <c r="F82">
        <v>1</v>
      </c>
      <c r="G82" t="s">
        <v>38</v>
      </c>
      <c r="H82" t="s">
        <v>152</v>
      </c>
      <c r="I82">
        <v>4</v>
      </c>
      <c r="J82" t="s">
        <v>46</v>
      </c>
      <c r="K82">
        <v>2</v>
      </c>
      <c r="L82">
        <v>2</v>
      </c>
      <c r="M82" t="s">
        <v>50</v>
      </c>
      <c r="N82">
        <v>4</v>
      </c>
      <c r="O82" t="s">
        <v>48</v>
      </c>
      <c r="P82" s="1">
        <v>5126</v>
      </c>
      <c r="Q82" t="s">
        <v>67</v>
      </c>
      <c r="R82" t="s">
        <v>35</v>
      </c>
      <c r="S82">
        <v>3</v>
      </c>
      <c r="T82">
        <v>10</v>
      </c>
      <c r="U82">
        <v>2</v>
      </c>
      <c r="V82">
        <v>10</v>
      </c>
      <c r="W82">
        <v>8</v>
      </c>
      <c r="X82">
        <v>3</v>
      </c>
      <c r="Y82">
        <v>0</v>
      </c>
      <c r="Z82" t="s">
        <v>1551</v>
      </c>
      <c r="AA82" t="s">
        <v>69</v>
      </c>
      <c r="AB82" t="str" cm="1">
        <f t="array" ref="AB82">_xlfn.IFS(cleaned_data[[#This Row],[YearsAtCompany]]&lt;=5, "0-5",cleaned_data[[#This Row],[YearsAtCompany]]&lt;=10,"6-10",TRUE,"10+")</f>
        <v>6-10</v>
      </c>
    </row>
    <row r="83" spans="1:28" x14ac:dyDescent="0.3">
      <c r="A83" s="2">
        <v>35</v>
      </c>
      <c r="B83" t="s">
        <v>43</v>
      </c>
      <c r="C83">
        <v>0</v>
      </c>
      <c r="D83" t="s">
        <v>36</v>
      </c>
      <c r="E83" t="s">
        <v>45</v>
      </c>
      <c r="F83">
        <v>1</v>
      </c>
      <c r="G83" t="s">
        <v>51</v>
      </c>
      <c r="H83" t="s">
        <v>153</v>
      </c>
      <c r="I83">
        <v>2</v>
      </c>
      <c r="J83" t="s">
        <v>46</v>
      </c>
      <c r="K83">
        <v>2</v>
      </c>
      <c r="L83">
        <v>1</v>
      </c>
      <c r="M83" t="s">
        <v>47</v>
      </c>
      <c r="N83">
        <v>3</v>
      </c>
      <c r="O83" t="s">
        <v>41</v>
      </c>
      <c r="P83" s="1">
        <v>2859</v>
      </c>
      <c r="Q83" t="s">
        <v>72</v>
      </c>
      <c r="R83" t="s">
        <v>43</v>
      </c>
      <c r="S83">
        <v>3</v>
      </c>
      <c r="T83">
        <v>6</v>
      </c>
      <c r="U83">
        <v>3</v>
      </c>
      <c r="V83">
        <v>6</v>
      </c>
      <c r="W83">
        <v>4</v>
      </c>
      <c r="X83">
        <v>0</v>
      </c>
      <c r="Y83">
        <v>4</v>
      </c>
      <c r="Z83" t="s">
        <v>1551</v>
      </c>
      <c r="AA83" t="s">
        <v>69</v>
      </c>
      <c r="AB83" t="str" cm="1">
        <f t="array" ref="AB83">_xlfn.IFS(cleaned_data[[#This Row],[YearsAtCompany]]&lt;=5, "0-5",cleaned_data[[#This Row],[YearsAtCompany]]&lt;=10,"6-10",TRUE,"10+")</f>
        <v>6-10</v>
      </c>
    </row>
    <row r="84" spans="1:28" x14ac:dyDescent="0.3">
      <c r="A84" s="2">
        <v>55</v>
      </c>
      <c r="B84" t="s">
        <v>43</v>
      </c>
      <c r="C84">
        <v>0</v>
      </c>
      <c r="D84" t="s">
        <v>36</v>
      </c>
      <c r="E84" t="s">
        <v>37</v>
      </c>
      <c r="F84">
        <v>1</v>
      </c>
      <c r="G84" t="s">
        <v>38</v>
      </c>
      <c r="H84" t="s">
        <v>154</v>
      </c>
      <c r="I84">
        <v>1</v>
      </c>
      <c r="J84" t="s">
        <v>46</v>
      </c>
      <c r="K84">
        <v>3</v>
      </c>
      <c r="L84">
        <v>3</v>
      </c>
      <c r="M84" t="s">
        <v>40</v>
      </c>
      <c r="N84">
        <v>4</v>
      </c>
      <c r="O84" t="s">
        <v>48</v>
      </c>
      <c r="P84" s="1">
        <v>10239</v>
      </c>
      <c r="Q84" t="s">
        <v>67</v>
      </c>
      <c r="R84" t="s">
        <v>43</v>
      </c>
      <c r="S84">
        <v>3</v>
      </c>
      <c r="T84">
        <v>24</v>
      </c>
      <c r="U84">
        <v>3</v>
      </c>
      <c r="V84">
        <v>1</v>
      </c>
      <c r="W84">
        <v>0</v>
      </c>
      <c r="X84">
        <v>1</v>
      </c>
      <c r="Y84">
        <v>0</v>
      </c>
      <c r="Z84" t="s">
        <v>106</v>
      </c>
      <c r="AA84" t="s">
        <v>82</v>
      </c>
      <c r="AB84" t="str" cm="1">
        <f t="array" ref="AB84">_xlfn.IFS(cleaned_data[[#This Row],[YearsAtCompany]]&lt;=5, "0-5",cleaned_data[[#This Row],[YearsAtCompany]]&lt;=10,"6-10",TRUE,"10+")</f>
        <v>0-5</v>
      </c>
    </row>
    <row r="85" spans="1:28" x14ac:dyDescent="0.3">
      <c r="A85" s="2">
        <v>38</v>
      </c>
      <c r="B85" t="s">
        <v>43</v>
      </c>
      <c r="C85">
        <v>0</v>
      </c>
      <c r="D85" t="s">
        <v>55</v>
      </c>
      <c r="E85" t="s">
        <v>45</v>
      </c>
      <c r="F85">
        <v>6</v>
      </c>
      <c r="G85" t="s">
        <v>51</v>
      </c>
      <c r="H85" t="s">
        <v>155</v>
      </c>
      <c r="I85">
        <v>2</v>
      </c>
      <c r="J85" t="s">
        <v>39</v>
      </c>
      <c r="K85">
        <v>1</v>
      </c>
      <c r="L85">
        <v>2</v>
      </c>
      <c r="M85" t="s">
        <v>47</v>
      </c>
      <c r="N85">
        <v>4</v>
      </c>
      <c r="O85" t="s">
        <v>52</v>
      </c>
      <c r="P85" s="1">
        <v>5329</v>
      </c>
      <c r="Q85" t="s">
        <v>67</v>
      </c>
      <c r="R85" t="s">
        <v>35</v>
      </c>
      <c r="S85">
        <v>3</v>
      </c>
      <c r="T85">
        <v>17</v>
      </c>
      <c r="U85">
        <v>3</v>
      </c>
      <c r="V85">
        <v>13</v>
      </c>
      <c r="W85">
        <v>11</v>
      </c>
      <c r="X85">
        <v>1</v>
      </c>
      <c r="Y85">
        <v>9</v>
      </c>
      <c r="Z85" t="s">
        <v>1550</v>
      </c>
      <c r="AA85" t="s">
        <v>82</v>
      </c>
      <c r="AB85" t="str" cm="1">
        <f t="array" ref="AB85">_xlfn.IFS(cleaned_data[[#This Row],[YearsAtCompany]]&lt;=5, "0-5",cleaned_data[[#This Row],[YearsAtCompany]]&lt;=10,"6-10",TRUE,"10+")</f>
        <v>10+</v>
      </c>
    </row>
    <row r="86" spans="1:28" x14ac:dyDescent="0.3">
      <c r="A86" s="2">
        <v>34</v>
      </c>
      <c r="B86" t="s">
        <v>43</v>
      </c>
      <c r="C86">
        <v>0</v>
      </c>
      <c r="D86" t="s">
        <v>36</v>
      </c>
      <c r="E86" t="s">
        <v>45</v>
      </c>
      <c r="F86">
        <v>1</v>
      </c>
      <c r="G86" t="s">
        <v>51</v>
      </c>
      <c r="H86" t="s">
        <v>156</v>
      </c>
      <c r="I86">
        <v>1</v>
      </c>
      <c r="J86" t="s">
        <v>46</v>
      </c>
      <c r="K86">
        <v>3</v>
      </c>
      <c r="L86">
        <v>2</v>
      </c>
      <c r="M86" t="s">
        <v>53</v>
      </c>
      <c r="N86">
        <v>2</v>
      </c>
      <c r="O86" t="s">
        <v>48</v>
      </c>
      <c r="P86" s="1">
        <v>4325</v>
      </c>
      <c r="Q86" t="s">
        <v>72</v>
      </c>
      <c r="R86" t="s">
        <v>43</v>
      </c>
      <c r="S86">
        <v>3</v>
      </c>
      <c r="T86">
        <v>5</v>
      </c>
      <c r="U86">
        <v>3</v>
      </c>
      <c r="V86">
        <v>5</v>
      </c>
      <c r="W86">
        <v>2</v>
      </c>
      <c r="X86">
        <v>1</v>
      </c>
      <c r="Y86">
        <v>3</v>
      </c>
      <c r="Z86" t="s">
        <v>1551</v>
      </c>
      <c r="AA86" t="s">
        <v>78</v>
      </c>
      <c r="AB86" t="str" cm="1">
        <f t="array" ref="AB86">_xlfn.IFS(cleaned_data[[#This Row],[YearsAtCompany]]&lt;=5, "0-5",cleaned_data[[#This Row],[YearsAtCompany]]&lt;=10,"6-10",TRUE,"10+")</f>
        <v>0-5</v>
      </c>
    </row>
    <row r="87" spans="1:28" x14ac:dyDescent="0.3">
      <c r="A87" s="2">
        <v>56</v>
      </c>
      <c r="B87" t="s">
        <v>43</v>
      </c>
      <c r="C87">
        <v>0</v>
      </c>
      <c r="D87" t="s">
        <v>36</v>
      </c>
      <c r="E87" t="s">
        <v>45</v>
      </c>
      <c r="F87">
        <v>7</v>
      </c>
      <c r="G87" t="s">
        <v>38</v>
      </c>
      <c r="H87" t="s">
        <v>157</v>
      </c>
      <c r="I87">
        <v>4</v>
      </c>
      <c r="J87" t="s">
        <v>46</v>
      </c>
      <c r="K87">
        <v>1</v>
      </c>
      <c r="L87">
        <v>3</v>
      </c>
      <c r="M87" t="s">
        <v>53</v>
      </c>
      <c r="N87">
        <v>4</v>
      </c>
      <c r="O87" t="s">
        <v>41</v>
      </c>
      <c r="P87" s="1">
        <v>7260</v>
      </c>
      <c r="Q87" t="s">
        <v>67</v>
      </c>
      <c r="R87" t="s">
        <v>43</v>
      </c>
      <c r="S87">
        <v>3</v>
      </c>
      <c r="T87">
        <v>37</v>
      </c>
      <c r="U87">
        <v>2</v>
      </c>
      <c r="V87">
        <v>6</v>
      </c>
      <c r="W87">
        <v>4</v>
      </c>
      <c r="X87">
        <v>0</v>
      </c>
      <c r="Y87">
        <v>2</v>
      </c>
      <c r="Z87" t="s">
        <v>106</v>
      </c>
      <c r="AA87" t="s">
        <v>82</v>
      </c>
      <c r="AB87" t="str" cm="1">
        <f t="array" ref="AB87">_xlfn.IFS(cleaned_data[[#This Row],[YearsAtCompany]]&lt;=5, "0-5",cleaned_data[[#This Row],[YearsAtCompany]]&lt;=10,"6-10",TRUE,"10+")</f>
        <v>6-10</v>
      </c>
    </row>
    <row r="88" spans="1:28" x14ac:dyDescent="0.3">
      <c r="A88" s="2">
        <v>23</v>
      </c>
      <c r="B88" t="s">
        <v>43</v>
      </c>
      <c r="C88">
        <v>0</v>
      </c>
      <c r="D88" t="s">
        <v>36</v>
      </c>
      <c r="E88" t="s">
        <v>37</v>
      </c>
      <c r="F88">
        <v>2</v>
      </c>
      <c r="G88" t="s">
        <v>60</v>
      </c>
      <c r="H88" t="s">
        <v>158</v>
      </c>
      <c r="I88">
        <v>3</v>
      </c>
      <c r="J88" t="s">
        <v>46</v>
      </c>
      <c r="K88">
        <v>3</v>
      </c>
      <c r="L88">
        <v>1</v>
      </c>
      <c r="M88" t="s">
        <v>57</v>
      </c>
      <c r="N88">
        <v>1</v>
      </c>
      <c r="O88" t="s">
        <v>52</v>
      </c>
      <c r="P88" s="6">
        <v>2322</v>
      </c>
      <c r="Q88" t="s">
        <v>72</v>
      </c>
      <c r="R88" t="s">
        <v>43</v>
      </c>
      <c r="S88">
        <v>3</v>
      </c>
      <c r="T88">
        <v>3</v>
      </c>
      <c r="U88">
        <v>3</v>
      </c>
      <c r="V88">
        <v>0</v>
      </c>
      <c r="W88">
        <v>0</v>
      </c>
      <c r="X88">
        <v>0</v>
      </c>
      <c r="Y88">
        <v>0</v>
      </c>
      <c r="Z88" t="s">
        <v>68</v>
      </c>
      <c r="AA88" t="s">
        <v>78</v>
      </c>
      <c r="AB88" t="str" cm="1">
        <f t="array" ref="AB88">_xlfn.IFS(cleaned_data[[#This Row],[YearsAtCompany]]&lt;=5, "0-5",cleaned_data[[#This Row],[YearsAtCompany]]&lt;=10,"6-10",TRUE,"10+")</f>
        <v>0-5</v>
      </c>
    </row>
    <row r="89" spans="1:28" x14ac:dyDescent="0.3">
      <c r="A89" s="2">
        <v>51</v>
      </c>
      <c r="B89" t="s">
        <v>43</v>
      </c>
      <c r="C89">
        <v>0</v>
      </c>
      <c r="D89" t="s">
        <v>36</v>
      </c>
      <c r="E89" t="s">
        <v>45</v>
      </c>
      <c r="F89">
        <v>9</v>
      </c>
      <c r="G89" t="s">
        <v>38</v>
      </c>
      <c r="H89" t="s">
        <v>159</v>
      </c>
      <c r="I89">
        <v>4</v>
      </c>
      <c r="J89" t="s">
        <v>46</v>
      </c>
      <c r="K89">
        <v>3</v>
      </c>
      <c r="L89">
        <v>1</v>
      </c>
      <c r="M89" t="s">
        <v>50</v>
      </c>
      <c r="N89">
        <v>4</v>
      </c>
      <c r="O89" t="s">
        <v>48</v>
      </c>
      <c r="P89" s="1">
        <v>2075</v>
      </c>
      <c r="Q89" t="s">
        <v>72</v>
      </c>
      <c r="R89" t="s">
        <v>43</v>
      </c>
      <c r="S89">
        <v>4</v>
      </c>
      <c r="T89">
        <v>10</v>
      </c>
      <c r="U89">
        <v>3</v>
      </c>
      <c r="V89">
        <v>4</v>
      </c>
      <c r="W89">
        <v>2</v>
      </c>
      <c r="X89">
        <v>0</v>
      </c>
      <c r="Y89">
        <v>3</v>
      </c>
      <c r="Z89" t="s">
        <v>106</v>
      </c>
      <c r="AA89" t="s">
        <v>69</v>
      </c>
      <c r="AB89" t="str" cm="1">
        <f t="array" ref="AB89">_xlfn.IFS(cleaned_data[[#This Row],[YearsAtCompany]]&lt;=5, "0-5",cleaned_data[[#This Row],[YearsAtCompany]]&lt;=10,"6-10",TRUE,"10+")</f>
        <v>0-5</v>
      </c>
    </row>
    <row r="90" spans="1:28" x14ac:dyDescent="0.3">
      <c r="A90" s="2">
        <v>30</v>
      </c>
      <c r="B90" t="s">
        <v>43</v>
      </c>
      <c r="C90">
        <v>0</v>
      </c>
      <c r="D90" t="s">
        <v>36</v>
      </c>
      <c r="E90" t="s">
        <v>45</v>
      </c>
      <c r="F90">
        <v>2</v>
      </c>
      <c r="G90" t="s">
        <v>38</v>
      </c>
      <c r="H90" t="s">
        <v>160</v>
      </c>
      <c r="I90">
        <v>3</v>
      </c>
      <c r="J90" t="s">
        <v>46</v>
      </c>
      <c r="K90">
        <v>2</v>
      </c>
      <c r="L90">
        <v>2</v>
      </c>
      <c r="M90" t="s">
        <v>54</v>
      </c>
      <c r="N90">
        <v>4</v>
      </c>
      <c r="O90" t="s">
        <v>48</v>
      </c>
      <c r="P90" s="1">
        <v>4152</v>
      </c>
      <c r="Q90" t="s">
        <v>72</v>
      </c>
      <c r="R90" t="s">
        <v>43</v>
      </c>
      <c r="S90">
        <v>3</v>
      </c>
      <c r="T90">
        <v>11</v>
      </c>
      <c r="U90">
        <v>3</v>
      </c>
      <c r="V90">
        <v>11</v>
      </c>
      <c r="W90">
        <v>10</v>
      </c>
      <c r="X90">
        <v>10</v>
      </c>
      <c r="Y90">
        <v>8</v>
      </c>
      <c r="Z90" t="s">
        <v>1551</v>
      </c>
      <c r="AA90" t="s">
        <v>69</v>
      </c>
      <c r="AB90" t="str" cm="1">
        <f t="array" ref="AB90">_xlfn.IFS(cleaned_data[[#This Row],[YearsAtCompany]]&lt;=5, "0-5",cleaned_data[[#This Row],[YearsAtCompany]]&lt;=10,"6-10",TRUE,"10+")</f>
        <v>10+</v>
      </c>
    </row>
    <row r="91" spans="1:28" x14ac:dyDescent="0.3">
      <c r="A91" s="2">
        <v>46</v>
      </c>
      <c r="B91" t="s">
        <v>35</v>
      </c>
      <c r="C91">
        <v>1</v>
      </c>
      <c r="D91" t="s">
        <v>36</v>
      </c>
      <c r="E91" t="s">
        <v>37</v>
      </c>
      <c r="F91">
        <v>9</v>
      </c>
      <c r="G91" t="s">
        <v>51</v>
      </c>
      <c r="H91" t="s">
        <v>161</v>
      </c>
      <c r="I91">
        <v>3</v>
      </c>
      <c r="J91" t="s">
        <v>46</v>
      </c>
      <c r="K91">
        <v>2</v>
      </c>
      <c r="L91">
        <v>3</v>
      </c>
      <c r="M91" t="s">
        <v>40</v>
      </c>
      <c r="N91">
        <v>4</v>
      </c>
      <c r="O91" t="s">
        <v>41</v>
      </c>
      <c r="P91" s="1">
        <v>9619</v>
      </c>
      <c r="Q91" t="s">
        <v>67</v>
      </c>
      <c r="R91" t="s">
        <v>43</v>
      </c>
      <c r="S91">
        <v>3</v>
      </c>
      <c r="T91">
        <v>9</v>
      </c>
      <c r="U91">
        <v>3</v>
      </c>
      <c r="V91">
        <v>9</v>
      </c>
      <c r="W91">
        <v>8</v>
      </c>
      <c r="X91">
        <v>4</v>
      </c>
      <c r="Y91">
        <v>7</v>
      </c>
      <c r="Z91" t="s">
        <v>106</v>
      </c>
      <c r="AA91" t="s">
        <v>69</v>
      </c>
      <c r="AB91" t="str" cm="1">
        <f t="array" ref="AB91">_xlfn.IFS(cleaned_data[[#This Row],[YearsAtCompany]]&lt;=5, "0-5",cleaned_data[[#This Row],[YearsAtCompany]]&lt;=10,"6-10",TRUE,"10+")</f>
        <v>6-10</v>
      </c>
    </row>
    <row r="92" spans="1:28" x14ac:dyDescent="0.3">
      <c r="A92" s="2">
        <v>40</v>
      </c>
      <c r="B92" t="s">
        <v>43</v>
      </c>
      <c r="C92">
        <v>0</v>
      </c>
      <c r="D92" t="s">
        <v>44</v>
      </c>
      <c r="E92" t="s">
        <v>45</v>
      </c>
      <c r="F92">
        <v>1</v>
      </c>
      <c r="G92" t="s">
        <v>38</v>
      </c>
      <c r="H92" t="s">
        <v>162</v>
      </c>
      <c r="I92">
        <v>3</v>
      </c>
      <c r="J92" t="s">
        <v>46</v>
      </c>
      <c r="K92">
        <v>2</v>
      </c>
      <c r="L92">
        <v>4</v>
      </c>
      <c r="M92" t="s">
        <v>54</v>
      </c>
      <c r="N92">
        <v>2</v>
      </c>
      <c r="O92" t="s">
        <v>48</v>
      </c>
      <c r="P92" s="1">
        <v>13503</v>
      </c>
      <c r="Q92" t="s">
        <v>90</v>
      </c>
      <c r="R92" t="s">
        <v>43</v>
      </c>
      <c r="S92">
        <v>4</v>
      </c>
      <c r="T92">
        <v>22</v>
      </c>
      <c r="U92">
        <v>2</v>
      </c>
      <c r="V92">
        <v>22</v>
      </c>
      <c r="W92">
        <v>3</v>
      </c>
      <c r="X92">
        <v>11</v>
      </c>
      <c r="Y92">
        <v>11</v>
      </c>
      <c r="Z92" t="s">
        <v>1550</v>
      </c>
      <c r="AA92" t="s">
        <v>82</v>
      </c>
      <c r="AB92" t="str" cm="1">
        <f t="array" ref="AB92">_xlfn.IFS(cleaned_data[[#This Row],[YearsAtCompany]]&lt;=5, "0-5",cleaned_data[[#This Row],[YearsAtCompany]]&lt;=10,"6-10",TRUE,"10+")</f>
        <v>10+</v>
      </c>
    </row>
    <row r="93" spans="1:28" x14ac:dyDescent="0.3">
      <c r="A93" s="2">
        <v>51</v>
      </c>
      <c r="B93" t="s">
        <v>43</v>
      </c>
      <c r="C93">
        <v>0</v>
      </c>
      <c r="D93" t="s">
        <v>36</v>
      </c>
      <c r="E93" t="s">
        <v>37</v>
      </c>
      <c r="F93">
        <v>21</v>
      </c>
      <c r="G93" t="s">
        <v>59</v>
      </c>
      <c r="H93" t="s">
        <v>163</v>
      </c>
      <c r="I93">
        <v>3</v>
      </c>
      <c r="J93" t="s">
        <v>46</v>
      </c>
      <c r="K93">
        <v>3</v>
      </c>
      <c r="L93">
        <v>2</v>
      </c>
      <c r="M93" t="s">
        <v>40</v>
      </c>
      <c r="N93">
        <v>4</v>
      </c>
      <c r="O93" t="s">
        <v>41</v>
      </c>
      <c r="P93" s="1">
        <v>5441</v>
      </c>
      <c r="Q93" t="s">
        <v>67</v>
      </c>
      <c r="R93" t="s">
        <v>35</v>
      </c>
      <c r="S93">
        <v>4</v>
      </c>
      <c r="T93">
        <v>11</v>
      </c>
      <c r="U93">
        <v>1</v>
      </c>
      <c r="V93">
        <v>10</v>
      </c>
      <c r="W93">
        <v>7</v>
      </c>
      <c r="X93">
        <v>1</v>
      </c>
      <c r="Y93">
        <v>0</v>
      </c>
      <c r="Z93" t="s">
        <v>106</v>
      </c>
      <c r="AA93" t="s">
        <v>69</v>
      </c>
      <c r="AB93" t="str" cm="1">
        <f t="array" ref="AB93">_xlfn.IFS(cleaned_data[[#This Row],[YearsAtCompany]]&lt;=5, "0-5",cleaned_data[[#This Row],[YearsAtCompany]]&lt;=10,"6-10",TRUE,"10+")</f>
        <v>6-10</v>
      </c>
    </row>
    <row r="94" spans="1:28" x14ac:dyDescent="0.3">
      <c r="A94" s="2">
        <v>30</v>
      </c>
      <c r="B94" t="s">
        <v>43</v>
      </c>
      <c r="C94">
        <v>0</v>
      </c>
      <c r="D94" t="s">
        <v>36</v>
      </c>
      <c r="E94" t="s">
        <v>37</v>
      </c>
      <c r="F94">
        <v>4</v>
      </c>
      <c r="G94" t="s">
        <v>51</v>
      </c>
      <c r="H94" t="s">
        <v>164</v>
      </c>
      <c r="I94">
        <v>3</v>
      </c>
      <c r="J94" t="s">
        <v>39</v>
      </c>
      <c r="K94">
        <v>2</v>
      </c>
      <c r="L94">
        <v>2</v>
      </c>
      <c r="M94" t="s">
        <v>40</v>
      </c>
      <c r="N94">
        <v>2</v>
      </c>
      <c r="O94" t="s">
        <v>52</v>
      </c>
      <c r="P94" s="1">
        <v>5209</v>
      </c>
      <c r="Q94" t="s">
        <v>67</v>
      </c>
      <c r="R94" t="s">
        <v>35</v>
      </c>
      <c r="S94">
        <v>3</v>
      </c>
      <c r="T94">
        <v>11</v>
      </c>
      <c r="U94">
        <v>2</v>
      </c>
      <c r="V94">
        <v>11</v>
      </c>
      <c r="W94">
        <v>8</v>
      </c>
      <c r="X94">
        <v>2</v>
      </c>
      <c r="Y94">
        <v>7</v>
      </c>
      <c r="Z94" t="s">
        <v>1551</v>
      </c>
      <c r="AA94" t="s">
        <v>69</v>
      </c>
      <c r="AB94" t="str" cm="1">
        <f t="array" ref="AB94">_xlfn.IFS(cleaned_data[[#This Row],[YearsAtCompany]]&lt;=5, "0-5",cleaned_data[[#This Row],[YearsAtCompany]]&lt;=10,"6-10",TRUE,"10+")</f>
        <v>10+</v>
      </c>
    </row>
    <row r="95" spans="1:28" x14ac:dyDescent="0.3">
      <c r="A95" s="2">
        <v>46</v>
      </c>
      <c r="B95" t="s">
        <v>43</v>
      </c>
      <c r="C95">
        <v>0</v>
      </c>
      <c r="D95" t="s">
        <v>44</v>
      </c>
      <c r="E95" t="s">
        <v>45</v>
      </c>
      <c r="F95">
        <v>1</v>
      </c>
      <c r="G95" t="s">
        <v>51</v>
      </c>
      <c r="H95" t="s">
        <v>165</v>
      </c>
      <c r="I95">
        <v>3</v>
      </c>
      <c r="J95" t="s">
        <v>46</v>
      </c>
      <c r="K95">
        <v>2</v>
      </c>
      <c r="L95">
        <v>3</v>
      </c>
      <c r="M95" t="s">
        <v>54</v>
      </c>
      <c r="N95">
        <v>1</v>
      </c>
      <c r="O95" t="s">
        <v>48</v>
      </c>
      <c r="P95" s="6">
        <v>10673</v>
      </c>
      <c r="Q95" t="s">
        <v>67</v>
      </c>
      <c r="R95" t="s">
        <v>35</v>
      </c>
      <c r="S95">
        <v>3</v>
      </c>
      <c r="T95">
        <v>21</v>
      </c>
      <c r="U95">
        <v>2</v>
      </c>
      <c r="V95">
        <v>10</v>
      </c>
      <c r="W95">
        <v>9</v>
      </c>
      <c r="X95">
        <v>9</v>
      </c>
      <c r="Y95">
        <v>5</v>
      </c>
      <c r="Z95" t="s">
        <v>106</v>
      </c>
      <c r="AA95" t="s">
        <v>82</v>
      </c>
      <c r="AB95" t="str" cm="1">
        <f t="array" ref="AB95">_xlfn.IFS(cleaned_data[[#This Row],[YearsAtCompany]]&lt;=5, "0-5",cleaned_data[[#This Row],[YearsAtCompany]]&lt;=10,"6-10",TRUE,"10+")</f>
        <v>6-10</v>
      </c>
    </row>
    <row r="96" spans="1:28" x14ac:dyDescent="0.3">
      <c r="A96" s="2">
        <v>32</v>
      </c>
      <c r="B96" t="s">
        <v>43</v>
      </c>
      <c r="C96">
        <v>0</v>
      </c>
      <c r="D96" t="s">
        <v>36</v>
      </c>
      <c r="E96" t="s">
        <v>37</v>
      </c>
      <c r="F96">
        <v>6</v>
      </c>
      <c r="G96" t="s">
        <v>51</v>
      </c>
      <c r="H96" t="s">
        <v>166</v>
      </c>
      <c r="I96">
        <v>2</v>
      </c>
      <c r="J96" t="s">
        <v>46</v>
      </c>
      <c r="K96">
        <v>3</v>
      </c>
      <c r="L96">
        <v>2</v>
      </c>
      <c r="M96" t="s">
        <v>40</v>
      </c>
      <c r="N96">
        <v>3</v>
      </c>
      <c r="O96" t="s">
        <v>41</v>
      </c>
      <c r="P96" s="1">
        <v>5010</v>
      </c>
      <c r="Q96" t="s">
        <v>67</v>
      </c>
      <c r="R96" t="s">
        <v>43</v>
      </c>
      <c r="S96">
        <v>3</v>
      </c>
      <c r="T96">
        <v>12</v>
      </c>
      <c r="U96">
        <v>3</v>
      </c>
      <c r="V96">
        <v>11</v>
      </c>
      <c r="W96">
        <v>8</v>
      </c>
      <c r="X96">
        <v>5</v>
      </c>
      <c r="Y96">
        <v>7</v>
      </c>
      <c r="Z96" t="s">
        <v>1551</v>
      </c>
      <c r="AA96" t="s">
        <v>69</v>
      </c>
      <c r="AB96" t="str" cm="1">
        <f t="array" ref="AB96">_xlfn.IFS(cleaned_data[[#This Row],[YearsAtCompany]]&lt;=5, "0-5",cleaned_data[[#This Row],[YearsAtCompany]]&lt;=10,"6-10",TRUE,"10+")</f>
        <v>10+</v>
      </c>
    </row>
    <row r="97" spans="1:28" x14ac:dyDescent="0.3">
      <c r="A97" s="2">
        <v>54</v>
      </c>
      <c r="B97" t="s">
        <v>43</v>
      </c>
      <c r="C97">
        <v>0</v>
      </c>
      <c r="D97" t="s">
        <v>36</v>
      </c>
      <c r="E97" t="s">
        <v>45</v>
      </c>
      <c r="F97">
        <v>2</v>
      </c>
      <c r="G97" t="s">
        <v>60</v>
      </c>
      <c r="H97" t="s">
        <v>167</v>
      </c>
      <c r="I97">
        <v>1</v>
      </c>
      <c r="J97" t="s">
        <v>39</v>
      </c>
      <c r="K97">
        <v>3</v>
      </c>
      <c r="L97">
        <v>3</v>
      </c>
      <c r="M97" t="s">
        <v>58</v>
      </c>
      <c r="N97">
        <v>3</v>
      </c>
      <c r="O97" t="s">
        <v>48</v>
      </c>
      <c r="P97" s="1">
        <v>13549</v>
      </c>
      <c r="Q97" t="s">
        <v>90</v>
      </c>
      <c r="R97" t="s">
        <v>43</v>
      </c>
      <c r="S97">
        <v>3</v>
      </c>
      <c r="T97">
        <v>16</v>
      </c>
      <c r="U97">
        <v>1</v>
      </c>
      <c r="V97">
        <v>4</v>
      </c>
      <c r="W97">
        <v>3</v>
      </c>
      <c r="X97">
        <v>0</v>
      </c>
      <c r="Y97">
        <v>3</v>
      </c>
      <c r="Z97" t="s">
        <v>106</v>
      </c>
      <c r="AA97" t="s">
        <v>82</v>
      </c>
      <c r="AB97" t="str" cm="1">
        <f t="array" ref="AB97">_xlfn.IFS(cleaned_data[[#This Row],[YearsAtCompany]]&lt;=5, "0-5",cleaned_data[[#This Row],[YearsAtCompany]]&lt;=10,"6-10",TRUE,"10+")</f>
        <v>0-5</v>
      </c>
    </row>
    <row r="98" spans="1:28" x14ac:dyDescent="0.3">
      <c r="A98" s="2">
        <v>24</v>
      </c>
      <c r="B98" t="s">
        <v>43</v>
      </c>
      <c r="C98">
        <v>0</v>
      </c>
      <c r="D98" t="s">
        <v>36</v>
      </c>
      <c r="E98" t="s">
        <v>37</v>
      </c>
      <c r="F98">
        <v>3</v>
      </c>
      <c r="G98" t="s">
        <v>49</v>
      </c>
      <c r="H98" t="s">
        <v>168</v>
      </c>
      <c r="I98">
        <v>1</v>
      </c>
      <c r="J98" t="s">
        <v>39</v>
      </c>
      <c r="K98">
        <v>3</v>
      </c>
      <c r="L98">
        <v>2</v>
      </c>
      <c r="M98" t="s">
        <v>40</v>
      </c>
      <c r="N98">
        <v>3</v>
      </c>
      <c r="O98" t="s">
        <v>48</v>
      </c>
      <c r="P98" s="1">
        <v>4999</v>
      </c>
      <c r="Q98" t="s">
        <v>72</v>
      </c>
      <c r="R98" t="s">
        <v>43</v>
      </c>
      <c r="S98">
        <v>4</v>
      </c>
      <c r="T98">
        <v>4</v>
      </c>
      <c r="U98">
        <v>2</v>
      </c>
      <c r="V98">
        <v>3</v>
      </c>
      <c r="W98">
        <v>2</v>
      </c>
      <c r="X98">
        <v>0</v>
      </c>
      <c r="Y98">
        <v>2</v>
      </c>
      <c r="Z98" t="s">
        <v>68</v>
      </c>
      <c r="AA98" t="s">
        <v>78</v>
      </c>
      <c r="AB98" t="str" cm="1">
        <f t="array" ref="AB98">_xlfn.IFS(cleaned_data[[#This Row],[YearsAtCompany]]&lt;=5, "0-5",cleaned_data[[#This Row],[YearsAtCompany]]&lt;=10,"6-10",TRUE,"10+")</f>
        <v>0-5</v>
      </c>
    </row>
    <row r="99" spans="1:28" x14ac:dyDescent="0.3">
      <c r="A99" s="2">
        <v>28</v>
      </c>
      <c r="B99" t="s">
        <v>43</v>
      </c>
      <c r="C99">
        <v>0</v>
      </c>
      <c r="D99" t="s">
        <v>55</v>
      </c>
      <c r="E99" t="s">
        <v>37</v>
      </c>
      <c r="F99">
        <v>4</v>
      </c>
      <c r="G99" t="s">
        <v>51</v>
      </c>
      <c r="H99" t="s">
        <v>169</v>
      </c>
      <c r="I99">
        <v>2</v>
      </c>
      <c r="J99" t="s">
        <v>46</v>
      </c>
      <c r="K99">
        <v>3</v>
      </c>
      <c r="L99">
        <v>2</v>
      </c>
      <c r="M99" t="s">
        <v>40</v>
      </c>
      <c r="N99">
        <v>3</v>
      </c>
      <c r="O99" t="s">
        <v>48</v>
      </c>
      <c r="P99" s="1">
        <v>4221</v>
      </c>
      <c r="Q99" t="s">
        <v>72</v>
      </c>
      <c r="R99" t="s">
        <v>43</v>
      </c>
      <c r="S99">
        <v>3</v>
      </c>
      <c r="T99">
        <v>5</v>
      </c>
      <c r="U99">
        <v>4</v>
      </c>
      <c r="V99">
        <v>5</v>
      </c>
      <c r="W99">
        <v>4</v>
      </c>
      <c r="X99">
        <v>0</v>
      </c>
      <c r="Y99">
        <v>4</v>
      </c>
      <c r="Z99" t="s">
        <v>1551</v>
      </c>
      <c r="AA99" t="s">
        <v>78</v>
      </c>
      <c r="AB99" t="str" cm="1">
        <f t="array" ref="AB99">_xlfn.IFS(cleaned_data[[#This Row],[YearsAtCompany]]&lt;=5, "0-5",cleaned_data[[#This Row],[YearsAtCompany]]&lt;=10,"6-10",TRUE,"10+")</f>
        <v>0-5</v>
      </c>
    </row>
    <row r="100" spans="1:28" x14ac:dyDescent="0.3">
      <c r="A100" s="2">
        <v>58</v>
      </c>
      <c r="B100" t="s">
        <v>43</v>
      </c>
      <c r="C100">
        <v>0</v>
      </c>
      <c r="D100" t="s">
        <v>36</v>
      </c>
      <c r="E100" t="s">
        <v>37</v>
      </c>
      <c r="F100">
        <v>10</v>
      </c>
      <c r="G100" t="s">
        <v>51</v>
      </c>
      <c r="H100" t="s">
        <v>170</v>
      </c>
      <c r="I100">
        <v>4</v>
      </c>
      <c r="J100" t="s">
        <v>46</v>
      </c>
      <c r="K100">
        <v>3</v>
      </c>
      <c r="L100">
        <v>4</v>
      </c>
      <c r="M100" t="s">
        <v>40</v>
      </c>
      <c r="N100">
        <v>3</v>
      </c>
      <c r="O100" t="s">
        <v>41</v>
      </c>
      <c r="P100" s="1">
        <v>13872</v>
      </c>
      <c r="Q100" t="s">
        <v>90</v>
      </c>
      <c r="R100" t="s">
        <v>43</v>
      </c>
      <c r="S100">
        <v>3</v>
      </c>
      <c r="T100">
        <v>38</v>
      </c>
      <c r="U100">
        <v>2</v>
      </c>
      <c r="V100">
        <v>37</v>
      </c>
      <c r="W100">
        <v>10</v>
      </c>
      <c r="X100">
        <v>1</v>
      </c>
      <c r="Y100">
        <v>8</v>
      </c>
      <c r="Z100" t="s">
        <v>106</v>
      </c>
      <c r="AA100" t="s">
        <v>82</v>
      </c>
      <c r="AB100" t="str" cm="1">
        <f t="array" ref="AB100">_xlfn.IFS(cleaned_data[[#This Row],[YearsAtCompany]]&lt;=5, "0-5",cleaned_data[[#This Row],[YearsAtCompany]]&lt;=10,"6-10",TRUE,"10+")</f>
        <v>10+</v>
      </c>
    </row>
    <row r="101" spans="1:28" x14ac:dyDescent="0.3">
      <c r="A101" s="2">
        <v>44</v>
      </c>
      <c r="B101" t="s">
        <v>43</v>
      </c>
      <c r="C101">
        <v>0</v>
      </c>
      <c r="D101" t="s">
        <v>55</v>
      </c>
      <c r="E101" t="s">
        <v>45</v>
      </c>
      <c r="F101">
        <v>23</v>
      </c>
      <c r="G101" t="s">
        <v>51</v>
      </c>
      <c r="H101" t="s">
        <v>171</v>
      </c>
      <c r="I101">
        <v>2</v>
      </c>
      <c r="J101" t="s">
        <v>46</v>
      </c>
      <c r="K101">
        <v>3</v>
      </c>
      <c r="L101">
        <v>2</v>
      </c>
      <c r="M101" t="s">
        <v>50</v>
      </c>
      <c r="N101">
        <v>2</v>
      </c>
      <c r="O101" t="s">
        <v>48</v>
      </c>
      <c r="P101" s="1">
        <v>2042</v>
      </c>
      <c r="Q101" t="s">
        <v>72</v>
      </c>
      <c r="R101" t="s">
        <v>43</v>
      </c>
      <c r="S101">
        <v>3</v>
      </c>
      <c r="T101">
        <v>17</v>
      </c>
      <c r="U101">
        <v>4</v>
      </c>
      <c r="V101">
        <v>3</v>
      </c>
      <c r="W101">
        <v>2</v>
      </c>
      <c r="X101">
        <v>1</v>
      </c>
      <c r="Y101">
        <v>2</v>
      </c>
      <c r="Z101" t="s">
        <v>1550</v>
      </c>
      <c r="AA101" t="s">
        <v>82</v>
      </c>
      <c r="AB101" t="str" cm="1">
        <f t="array" ref="AB101">_xlfn.IFS(cleaned_data[[#This Row],[YearsAtCompany]]&lt;=5, "0-5",cleaned_data[[#This Row],[YearsAtCompany]]&lt;=10,"6-10",TRUE,"10+")</f>
        <v>0-5</v>
      </c>
    </row>
    <row r="102" spans="1:28" x14ac:dyDescent="0.3">
      <c r="A102" s="2">
        <v>37</v>
      </c>
      <c r="B102" t="s">
        <v>35</v>
      </c>
      <c r="C102">
        <v>1</v>
      </c>
      <c r="D102" t="s">
        <v>36</v>
      </c>
      <c r="E102" t="s">
        <v>61</v>
      </c>
      <c r="F102">
        <v>6</v>
      </c>
      <c r="G102" t="s">
        <v>61</v>
      </c>
      <c r="H102" t="s">
        <v>172</v>
      </c>
      <c r="I102">
        <v>3</v>
      </c>
      <c r="J102" t="s">
        <v>46</v>
      </c>
      <c r="K102">
        <v>3</v>
      </c>
      <c r="L102">
        <v>1</v>
      </c>
      <c r="M102" t="s">
        <v>61</v>
      </c>
      <c r="N102">
        <v>1</v>
      </c>
      <c r="O102" t="s">
        <v>52</v>
      </c>
      <c r="P102" s="6">
        <v>2073</v>
      </c>
      <c r="Q102" t="s">
        <v>72</v>
      </c>
      <c r="R102" t="s">
        <v>35</v>
      </c>
      <c r="S102">
        <v>4</v>
      </c>
      <c r="T102">
        <v>7</v>
      </c>
      <c r="U102">
        <v>3</v>
      </c>
      <c r="V102">
        <v>3</v>
      </c>
      <c r="W102">
        <v>2</v>
      </c>
      <c r="X102">
        <v>0</v>
      </c>
      <c r="Y102">
        <v>2</v>
      </c>
      <c r="Z102" t="s">
        <v>1550</v>
      </c>
      <c r="AA102" t="s">
        <v>69</v>
      </c>
      <c r="AB102" t="str" cm="1">
        <f t="array" ref="AB102">_xlfn.IFS(cleaned_data[[#This Row],[YearsAtCompany]]&lt;=5, "0-5",cleaned_data[[#This Row],[YearsAtCompany]]&lt;=10,"6-10",TRUE,"10+")</f>
        <v>0-5</v>
      </c>
    </row>
    <row r="103" spans="1:28" x14ac:dyDescent="0.3">
      <c r="A103" s="2">
        <v>32</v>
      </c>
      <c r="B103" t="s">
        <v>43</v>
      </c>
      <c r="C103">
        <v>0</v>
      </c>
      <c r="D103" t="s">
        <v>36</v>
      </c>
      <c r="E103" t="s">
        <v>45</v>
      </c>
      <c r="F103">
        <v>1</v>
      </c>
      <c r="G103" t="s">
        <v>38</v>
      </c>
      <c r="H103" t="s">
        <v>173</v>
      </c>
      <c r="I103">
        <v>4</v>
      </c>
      <c r="J103" t="s">
        <v>46</v>
      </c>
      <c r="K103">
        <v>3</v>
      </c>
      <c r="L103">
        <v>1</v>
      </c>
      <c r="M103" t="s">
        <v>47</v>
      </c>
      <c r="N103">
        <v>1</v>
      </c>
      <c r="O103" t="s">
        <v>41</v>
      </c>
      <c r="P103" s="6">
        <v>2956</v>
      </c>
      <c r="Q103" t="s">
        <v>72</v>
      </c>
      <c r="R103" t="s">
        <v>43</v>
      </c>
      <c r="S103">
        <v>3</v>
      </c>
      <c r="T103">
        <v>1</v>
      </c>
      <c r="U103">
        <v>3</v>
      </c>
      <c r="V103">
        <v>1</v>
      </c>
      <c r="W103">
        <v>0</v>
      </c>
      <c r="X103">
        <v>0</v>
      </c>
      <c r="Y103">
        <v>0</v>
      </c>
      <c r="Z103" t="s">
        <v>1551</v>
      </c>
      <c r="AA103" t="s">
        <v>78</v>
      </c>
      <c r="AB103" t="str" cm="1">
        <f t="array" ref="AB103">_xlfn.IFS(cleaned_data[[#This Row],[YearsAtCompany]]&lt;=5, "0-5",cleaned_data[[#This Row],[YearsAtCompany]]&lt;=10,"6-10",TRUE,"10+")</f>
        <v>0-5</v>
      </c>
    </row>
    <row r="104" spans="1:28" x14ac:dyDescent="0.3">
      <c r="A104" s="2">
        <v>20</v>
      </c>
      <c r="B104" t="s">
        <v>35</v>
      </c>
      <c r="C104">
        <v>1</v>
      </c>
      <c r="D104" t="s">
        <v>44</v>
      </c>
      <c r="E104" t="s">
        <v>45</v>
      </c>
      <c r="F104">
        <v>6</v>
      </c>
      <c r="G104" t="s">
        <v>38</v>
      </c>
      <c r="H104" t="s">
        <v>174</v>
      </c>
      <c r="I104">
        <v>4</v>
      </c>
      <c r="J104" t="s">
        <v>39</v>
      </c>
      <c r="K104">
        <v>2</v>
      </c>
      <c r="L104">
        <v>1</v>
      </c>
      <c r="M104" t="s">
        <v>50</v>
      </c>
      <c r="N104">
        <v>4</v>
      </c>
      <c r="O104" t="s">
        <v>41</v>
      </c>
      <c r="P104" s="1">
        <v>2926</v>
      </c>
      <c r="Q104" t="s">
        <v>72</v>
      </c>
      <c r="R104" t="s">
        <v>35</v>
      </c>
      <c r="S104">
        <v>3</v>
      </c>
      <c r="T104">
        <v>1</v>
      </c>
      <c r="U104">
        <v>3</v>
      </c>
      <c r="V104">
        <v>1</v>
      </c>
      <c r="W104">
        <v>0</v>
      </c>
      <c r="X104">
        <v>1</v>
      </c>
      <c r="Y104">
        <v>0</v>
      </c>
      <c r="Z104" t="s">
        <v>68</v>
      </c>
      <c r="AA104" t="s">
        <v>78</v>
      </c>
      <c r="AB104" t="str" cm="1">
        <f t="array" ref="AB104">_xlfn.IFS(cleaned_data[[#This Row],[YearsAtCompany]]&lt;=5, "0-5",cleaned_data[[#This Row],[YearsAtCompany]]&lt;=10,"6-10",TRUE,"10+")</f>
        <v>0-5</v>
      </c>
    </row>
    <row r="105" spans="1:28" x14ac:dyDescent="0.3">
      <c r="A105" s="2">
        <v>34</v>
      </c>
      <c r="B105" t="s">
        <v>43</v>
      </c>
      <c r="C105">
        <v>0</v>
      </c>
      <c r="D105" t="s">
        <v>36</v>
      </c>
      <c r="E105" t="s">
        <v>45</v>
      </c>
      <c r="F105">
        <v>6</v>
      </c>
      <c r="G105" t="s">
        <v>49</v>
      </c>
      <c r="H105" t="s">
        <v>175</v>
      </c>
      <c r="I105">
        <v>1</v>
      </c>
      <c r="J105" t="s">
        <v>39</v>
      </c>
      <c r="K105">
        <v>3</v>
      </c>
      <c r="L105">
        <v>2</v>
      </c>
      <c r="M105" t="s">
        <v>47</v>
      </c>
      <c r="N105">
        <v>3</v>
      </c>
      <c r="O105" t="s">
        <v>41</v>
      </c>
      <c r="P105" s="1">
        <v>4809</v>
      </c>
      <c r="Q105" t="s">
        <v>72</v>
      </c>
      <c r="R105" t="s">
        <v>43</v>
      </c>
      <c r="S105">
        <v>3</v>
      </c>
      <c r="T105">
        <v>16</v>
      </c>
      <c r="U105">
        <v>3</v>
      </c>
      <c r="V105">
        <v>16</v>
      </c>
      <c r="W105">
        <v>13</v>
      </c>
      <c r="X105">
        <v>2</v>
      </c>
      <c r="Y105">
        <v>10</v>
      </c>
      <c r="Z105" t="s">
        <v>1551</v>
      </c>
      <c r="AA105" t="s">
        <v>82</v>
      </c>
      <c r="AB105" t="str" cm="1">
        <f t="array" ref="AB105">_xlfn.IFS(cleaned_data[[#This Row],[YearsAtCompany]]&lt;=5, "0-5",cleaned_data[[#This Row],[YearsAtCompany]]&lt;=10,"6-10",TRUE,"10+")</f>
        <v>10+</v>
      </c>
    </row>
    <row r="106" spans="1:28" x14ac:dyDescent="0.3">
      <c r="A106" s="2">
        <v>37</v>
      </c>
      <c r="B106" t="s">
        <v>43</v>
      </c>
      <c r="C106">
        <v>0</v>
      </c>
      <c r="D106" t="s">
        <v>55</v>
      </c>
      <c r="E106" t="s">
        <v>45</v>
      </c>
      <c r="F106">
        <v>2</v>
      </c>
      <c r="G106" t="s">
        <v>38</v>
      </c>
      <c r="H106" t="s">
        <v>176</v>
      </c>
      <c r="I106">
        <v>3</v>
      </c>
      <c r="J106" t="s">
        <v>46</v>
      </c>
      <c r="K106">
        <v>2</v>
      </c>
      <c r="L106">
        <v>2</v>
      </c>
      <c r="M106" t="s">
        <v>54</v>
      </c>
      <c r="N106">
        <v>4</v>
      </c>
      <c r="O106" t="s">
        <v>52</v>
      </c>
      <c r="P106" s="1">
        <v>5163</v>
      </c>
      <c r="Q106" t="s">
        <v>67</v>
      </c>
      <c r="R106" t="s">
        <v>43</v>
      </c>
      <c r="S106">
        <v>3</v>
      </c>
      <c r="T106">
        <v>17</v>
      </c>
      <c r="U106">
        <v>4</v>
      </c>
      <c r="V106">
        <v>1</v>
      </c>
      <c r="W106">
        <v>0</v>
      </c>
      <c r="X106">
        <v>0</v>
      </c>
      <c r="Y106">
        <v>0</v>
      </c>
      <c r="Z106" t="s">
        <v>1550</v>
      </c>
      <c r="AA106" t="s">
        <v>82</v>
      </c>
      <c r="AB106" t="str" cm="1">
        <f t="array" ref="AB106">_xlfn.IFS(cleaned_data[[#This Row],[YearsAtCompany]]&lt;=5, "0-5",cleaned_data[[#This Row],[YearsAtCompany]]&lt;=10,"6-10",TRUE,"10+")</f>
        <v>0-5</v>
      </c>
    </row>
    <row r="107" spans="1:28" x14ac:dyDescent="0.3">
      <c r="A107" s="2">
        <v>59</v>
      </c>
      <c r="B107" t="s">
        <v>43</v>
      </c>
      <c r="C107">
        <v>0</v>
      </c>
      <c r="D107" t="s">
        <v>55</v>
      </c>
      <c r="E107" t="s">
        <v>61</v>
      </c>
      <c r="F107">
        <v>2</v>
      </c>
      <c r="G107" t="s">
        <v>61</v>
      </c>
      <c r="H107" t="s">
        <v>177</v>
      </c>
      <c r="I107">
        <v>3</v>
      </c>
      <c r="J107" t="s">
        <v>39</v>
      </c>
      <c r="K107">
        <v>2</v>
      </c>
      <c r="L107">
        <v>5</v>
      </c>
      <c r="M107" t="s">
        <v>56</v>
      </c>
      <c r="N107">
        <v>4</v>
      </c>
      <c r="O107" t="s">
        <v>48</v>
      </c>
      <c r="P107" s="1">
        <v>18844</v>
      </c>
      <c r="Q107" t="s">
        <v>90</v>
      </c>
      <c r="R107" t="s">
        <v>43</v>
      </c>
      <c r="S107">
        <v>4</v>
      </c>
      <c r="T107">
        <v>30</v>
      </c>
      <c r="U107">
        <v>3</v>
      </c>
      <c r="V107">
        <v>3</v>
      </c>
      <c r="W107">
        <v>2</v>
      </c>
      <c r="X107">
        <v>2</v>
      </c>
      <c r="Y107">
        <v>2</v>
      </c>
      <c r="Z107" t="s">
        <v>106</v>
      </c>
      <c r="AA107" t="s">
        <v>82</v>
      </c>
      <c r="AB107" t="str" cm="1">
        <f t="array" ref="AB107">_xlfn.IFS(cleaned_data[[#This Row],[YearsAtCompany]]&lt;=5, "0-5",cleaned_data[[#This Row],[YearsAtCompany]]&lt;=10,"6-10",TRUE,"10+")</f>
        <v>0-5</v>
      </c>
    </row>
    <row r="108" spans="1:28" x14ac:dyDescent="0.3">
      <c r="A108" s="2">
        <v>50</v>
      </c>
      <c r="B108" t="s">
        <v>43</v>
      </c>
      <c r="C108">
        <v>0</v>
      </c>
      <c r="D108" t="s">
        <v>44</v>
      </c>
      <c r="E108" t="s">
        <v>45</v>
      </c>
      <c r="F108">
        <v>1</v>
      </c>
      <c r="G108" t="s">
        <v>38</v>
      </c>
      <c r="H108" t="s">
        <v>178</v>
      </c>
      <c r="I108">
        <v>1</v>
      </c>
      <c r="J108" t="s">
        <v>39</v>
      </c>
      <c r="K108">
        <v>3</v>
      </c>
      <c r="L108">
        <v>5</v>
      </c>
      <c r="M108" t="s">
        <v>58</v>
      </c>
      <c r="N108">
        <v>2</v>
      </c>
      <c r="O108" t="s">
        <v>48</v>
      </c>
      <c r="P108" s="1">
        <v>18172</v>
      </c>
      <c r="Q108" t="s">
        <v>90</v>
      </c>
      <c r="R108" t="s">
        <v>35</v>
      </c>
      <c r="S108">
        <v>3</v>
      </c>
      <c r="T108">
        <v>28</v>
      </c>
      <c r="U108">
        <v>2</v>
      </c>
      <c r="V108">
        <v>8</v>
      </c>
      <c r="W108">
        <v>3</v>
      </c>
      <c r="X108">
        <v>0</v>
      </c>
      <c r="Y108">
        <v>7</v>
      </c>
      <c r="Z108" t="s">
        <v>106</v>
      </c>
      <c r="AA108" t="s">
        <v>82</v>
      </c>
      <c r="AB108" t="str" cm="1">
        <f t="array" ref="AB108">_xlfn.IFS(cleaned_data[[#This Row],[YearsAtCompany]]&lt;=5, "0-5",cleaned_data[[#This Row],[YearsAtCompany]]&lt;=10,"6-10",TRUE,"10+")</f>
        <v>6-10</v>
      </c>
    </row>
    <row r="109" spans="1:28" x14ac:dyDescent="0.3">
      <c r="A109" s="2">
        <v>25</v>
      </c>
      <c r="B109" t="s">
        <v>35</v>
      </c>
      <c r="C109">
        <v>1</v>
      </c>
      <c r="D109" t="s">
        <v>36</v>
      </c>
      <c r="E109" t="s">
        <v>37</v>
      </c>
      <c r="F109">
        <v>5</v>
      </c>
      <c r="G109" t="s">
        <v>59</v>
      </c>
      <c r="H109" t="s">
        <v>179</v>
      </c>
      <c r="I109">
        <v>3</v>
      </c>
      <c r="J109" t="s">
        <v>46</v>
      </c>
      <c r="K109">
        <v>2</v>
      </c>
      <c r="L109">
        <v>2</v>
      </c>
      <c r="M109" t="s">
        <v>40</v>
      </c>
      <c r="N109">
        <v>3</v>
      </c>
      <c r="O109" t="s">
        <v>41</v>
      </c>
      <c r="P109" s="1">
        <v>5744</v>
      </c>
      <c r="Q109" t="s">
        <v>67</v>
      </c>
      <c r="R109" t="s">
        <v>35</v>
      </c>
      <c r="S109">
        <v>3</v>
      </c>
      <c r="T109">
        <v>6</v>
      </c>
      <c r="U109">
        <v>3</v>
      </c>
      <c r="V109">
        <v>6</v>
      </c>
      <c r="W109">
        <v>4</v>
      </c>
      <c r="X109">
        <v>0</v>
      </c>
      <c r="Y109">
        <v>3</v>
      </c>
      <c r="Z109" t="s">
        <v>68</v>
      </c>
      <c r="AA109" t="s">
        <v>69</v>
      </c>
      <c r="AB109" t="str" cm="1">
        <f t="array" ref="AB109">_xlfn.IFS(cleaned_data[[#This Row],[YearsAtCompany]]&lt;=5, "0-5",cleaned_data[[#This Row],[YearsAtCompany]]&lt;=10,"6-10",TRUE,"10+")</f>
        <v>6-10</v>
      </c>
    </row>
    <row r="110" spans="1:28" x14ac:dyDescent="0.3">
      <c r="A110" s="2">
        <v>25</v>
      </c>
      <c r="B110" t="s">
        <v>43</v>
      </c>
      <c r="C110">
        <v>0</v>
      </c>
      <c r="D110" t="s">
        <v>36</v>
      </c>
      <c r="E110" t="s">
        <v>45</v>
      </c>
      <c r="F110">
        <v>7</v>
      </c>
      <c r="G110" t="s">
        <v>51</v>
      </c>
      <c r="H110" t="s">
        <v>180</v>
      </c>
      <c r="I110">
        <v>4</v>
      </c>
      <c r="J110" t="s">
        <v>46</v>
      </c>
      <c r="K110">
        <v>2</v>
      </c>
      <c r="L110">
        <v>1</v>
      </c>
      <c r="M110" t="s">
        <v>47</v>
      </c>
      <c r="N110">
        <v>4</v>
      </c>
      <c r="O110" t="s">
        <v>48</v>
      </c>
      <c r="P110" s="1">
        <v>2889</v>
      </c>
      <c r="Q110" t="s">
        <v>72</v>
      </c>
      <c r="R110" t="s">
        <v>43</v>
      </c>
      <c r="S110">
        <v>3</v>
      </c>
      <c r="T110">
        <v>2</v>
      </c>
      <c r="U110">
        <v>3</v>
      </c>
      <c r="V110">
        <v>2</v>
      </c>
      <c r="W110">
        <v>2</v>
      </c>
      <c r="X110">
        <v>2</v>
      </c>
      <c r="Y110">
        <v>1</v>
      </c>
      <c r="Z110" t="s">
        <v>68</v>
      </c>
      <c r="AA110" t="s">
        <v>78</v>
      </c>
      <c r="AB110" t="str" cm="1">
        <f t="array" ref="AB110">_xlfn.IFS(cleaned_data[[#This Row],[YearsAtCompany]]&lt;=5, "0-5",cleaned_data[[#This Row],[YearsAtCompany]]&lt;=10,"6-10",TRUE,"10+")</f>
        <v>0-5</v>
      </c>
    </row>
    <row r="111" spans="1:28" x14ac:dyDescent="0.3">
      <c r="A111" s="2">
        <v>22</v>
      </c>
      <c r="B111" t="s">
        <v>43</v>
      </c>
      <c r="C111">
        <v>0</v>
      </c>
      <c r="D111" t="s">
        <v>36</v>
      </c>
      <c r="E111" t="s">
        <v>45</v>
      </c>
      <c r="F111">
        <v>15</v>
      </c>
      <c r="G111" t="s">
        <v>51</v>
      </c>
      <c r="H111" t="s">
        <v>181</v>
      </c>
      <c r="I111">
        <v>2</v>
      </c>
      <c r="J111" t="s">
        <v>39</v>
      </c>
      <c r="K111">
        <v>3</v>
      </c>
      <c r="L111">
        <v>1</v>
      </c>
      <c r="M111" t="s">
        <v>50</v>
      </c>
      <c r="N111">
        <v>4</v>
      </c>
      <c r="O111" t="s">
        <v>41</v>
      </c>
      <c r="P111" s="1">
        <v>2871</v>
      </c>
      <c r="Q111" t="s">
        <v>72</v>
      </c>
      <c r="R111" t="s">
        <v>43</v>
      </c>
      <c r="S111">
        <v>3</v>
      </c>
      <c r="T111">
        <v>1</v>
      </c>
      <c r="U111">
        <v>3</v>
      </c>
      <c r="V111">
        <v>0</v>
      </c>
      <c r="W111">
        <v>0</v>
      </c>
      <c r="X111">
        <v>0</v>
      </c>
      <c r="Y111">
        <v>0</v>
      </c>
      <c r="Z111" t="s">
        <v>68</v>
      </c>
      <c r="AA111" t="s">
        <v>78</v>
      </c>
      <c r="AB111" t="str" cm="1">
        <f t="array" ref="AB111">_xlfn.IFS(cleaned_data[[#This Row],[YearsAtCompany]]&lt;=5, "0-5",cleaned_data[[#This Row],[YearsAtCompany]]&lt;=10,"6-10",TRUE,"10+")</f>
        <v>0-5</v>
      </c>
    </row>
    <row r="112" spans="1:28" x14ac:dyDescent="0.3">
      <c r="A112" s="2">
        <v>51</v>
      </c>
      <c r="B112" t="s">
        <v>43</v>
      </c>
      <c r="C112">
        <v>0</v>
      </c>
      <c r="D112" t="s">
        <v>44</v>
      </c>
      <c r="E112" t="s">
        <v>45</v>
      </c>
      <c r="F112">
        <v>1</v>
      </c>
      <c r="G112" t="s">
        <v>51</v>
      </c>
      <c r="H112" t="s">
        <v>182</v>
      </c>
      <c r="I112">
        <v>1</v>
      </c>
      <c r="J112" t="s">
        <v>39</v>
      </c>
      <c r="K112">
        <v>2</v>
      </c>
      <c r="L112">
        <v>3</v>
      </c>
      <c r="M112" t="s">
        <v>54</v>
      </c>
      <c r="N112">
        <v>1</v>
      </c>
      <c r="O112" t="s">
        <v>41</v>
      </c>
      <c r="P112" s="6">
        <v>7484</v>
      </c>
      <c r="Q112" t="s">
        <v>67</v>
      </c>
      <c r="R112" t="s">
        <v>43</v>
      </c>
      <c r="S112">
        <v>4</v>
      </c>
      <c r="T112">
        <v>23</v>
      </c>
      <c r="U112">
        <v>2</v>
      </c>
      <c r="V112">
        <v>13</v>
      </c>
      <c r="W112">
        <v>12</v>
      </c>
      <c r="X112">
        <v>12</v>
      </c>
      <c r="Y112">
        <v>8</v>
      </c>
      <c r="Z112" t="s">
        <v>106</v>
      </c>
      <c r="AA112" t="s">
        <v>82</v>
      </c>
      <c r="AB112" t="str" cm="1">
        <f t="array" ref="AB112">_xlfn.IFS(cleaned_data[[#This Row],[YearsAtCompany]]&lt;=5, "0-5",cleaned_data[[#This Row],[YearsAtCompany]]&lt;=10,"6-10",TRUE,"10+")</f>
        <v>10+</v>
      </c>
    </row>
    <row r="113" spans="1:28" x14ac:dyDescent="0.3">
      <c r="A113" s="2">
        <v>34</v>
      </c>
      <c r="B113" t="s">
        <v>35</v>
      </c>
      <c r="C113">
        <v>1</v>
      </c>
      <c r="D113" t="s">
        <v>44</v>
      </c>
      <c r="E113" t="s">
        <v>45</v>
      </c>
      <c r="F113">
        <v>7</v>
      </c>
      <c r="G113" t="s">
        <v>38</v>
      </c>
      <c r="H113" t="s">
        <v>183</v>
      </c>
      <c r="I113">
        <v>1</v>
      </c>
      <c r="J113" t="s">
        <v>46</v>
      </c>
      <c r="K113">
        <v>1</v>
      </c>
      <c r="L113">
        <v>2</v>
      </c>
      <c r="M113" t="s">
        <v>50</v>
      </c>
      <c r="N113">
        <v>3</v>
      </c>
      <c r="O113" t="s">
        <v>41</v>
      </c>
      <c r="P113" s="1">
        <v>6074</v>
      </c>
      <c r="Q113" t="s">
        <v>67</v>
      </c>
      <c r="R113" t="s">
        <v>35</v>
      </c>
      <c r="S113">
        <v>4</v>
      </c>
      <c r="T113">
        <v>9</v>
      </c>
      <c r="U113">
        <v>3</v>
      </c>
      <c r="V113">
        <v>9</v>
      </c>
      <c r="W113">
        <v>7</v>
      </c>
      <c r="X113">
        <v>0</v>
      </c>
      <c r="Y113">
        <v>6</v>
      </c>
      <c r="Z113" t="s">
        <v>1551</v>
      </c>
      <c r="AA113" t="s">
        <v>69</v>
      </c>
      <c r="AB113" t="str" cm="1">
        <f t="array" ref="AB113">_xlfn.IFS(cleaned_data[[#This Row],[YearsAtCompany]]&lt;=5, "0-5",cleaned_data[[#This Row],[YearsAtCompany]]&lt;=10,"6-10",TRUE,"10+")</f>
        <v>6-10</v>
      </c>
    </row>
    <row r="114" spans="1:28" x14ac:dyDescent="0.3">
      <c r="A114" s="2">
        <v>54</v>
      </c>
      <c r="B114" t="s">
        <v>43</v>
      </c>
      <c r="C114">
        <v>0</v>
      </c>
      <c r="D114" t="s">
        <v>55</v>
      </c>
      <c r="E114" t="s">
        <v>61</v>
      </c>
      <c r="F114">
        <v>26</v>
      </c>
      <c r="G114" t="s">
        <v>61</v>
      </c>
      <c r="H114" t="s">
        <v>184</v>
      </c>
      <c r="I114">
        <v>4</v>
      </c>
      <c r="J114" t="s">
        <v>39</v>
      </c>
      <c r="K114">
        <v>4</v>
      </c>
      <c r="L114">
        <v>4</v>
      </c>
      <c r="M114" t="s">
        <v>56</v>
      </c>
      <c r="N114">
        <v>4</v>
      </c>
      <c r="O114" t="s">
        <v>41</v>
      </c>
      <c r="P114" s="1">
        <v>17328</v>
      </c>
      <c r="Q114" t="s">
        <v>90</v>
      </c>
      <c r="R114" t="s">
        <v>35</v>
      </c>
      <c r="S114">
        <v>3</v>
      </c>
      <c r="T114">
        <v>23</v>
      </c>
      <c r="U114">
        <v>3</v>
      </c>
      <c r="V114">
        <v>5</v>
      </c>
      <c r="W114">
        <v>3</v>
      </c>
      <c r="X114">
        <v>4</v>
      </c>
      <c r="Y114">
        <v>4</v>
      </c>
      <c r="Z114" t="s">
        <v>106</v>
      </c>
      <c r="AA114" t="s">
        <v>82</v>
      </c>
      <c r="AB114" t="str" cm="1">
        <f t="array" ref="AB114">_xlfn.IFS(cleaned_data[[#This Row],[YearsAtCompany]]&lt;=5, "0-5",cleaned_data[[#This Row],[YearsAtCompany]]&lt;=10,"6-10",TRUE,"10+")</f>
        <v>0-5</v>
      </c>
    </row>
    <row r="115" spans="1:28" x14ac:dyDescent="0.3">
      <c r="A115" s="2">
        <v>24</v>
      </c>
      <c r="B115" t="s">
        <v>43</v>
      </c>
      <c r="C115">
        <v>0</v>
      </c>
      <c r="D115" t="s">
        <v>36</v>
      </c>
      <c r="E115" t="s">
        <v>45</v>
      </c>
      <c r="F115">
        <v>18</v>
      </c>
      <c r="G115" t="s">
        <v>38</v>
      </c>
      <c r="H115" t="s">
        <v>185</v>
      </c>
      <c r="I115">
        <v>2</v>
      </c>
      <c r="J115" t="s">
        <v>46</v>
      </c>
      <c r="K115">
        <v>3</v>
      </c>
      <c r="L115">
        <v>1</v>
      </c>
      <c r="M115" t="s">
        <v>50</v>
      </c>
      <c r="N115">
        <v>3</v>
      </c>
      <c r="O115" t="s">
        <v>48</v>
      </c>
      <c r="P115" s="1">
        <v>2774</v>
      </c>
      <c r="Q115" t="s">
        <v>72</v>
      </c>
      <c r="R115" t="s">
        <v>43</v>
      </c>
      <c r="S115">
        <v>3</v>
      </c>
      <c r="T115">
        <v>6</v>
      </c>
      <c r="U115">
        <v>3</v>
      </c>
      <c r="V115">
        <v>5</v>
      </c>
      <c r="W115">
        <v>3</v>
      </c>
      <c r="X115">
        <v>1</v>
      </c>
      <c r="Y115">
        <v>2</v>
      </c>
      <c r="Z115" t="s">
        <v>68</v>
      </c>
      <c r="AA115" t="s">
        <v>69</v>
      </c>
      <c r="AB115" t="str" cm="1">
        <f t="array" ref="AB115">_xlfn.IFS(cleaned_data[[#This Row],[YearsAtCompany]]&lt;=5, "0-5",cleaned_data[[#This Row],[YearsAtCompany]]&lt;=10,"6-10",TRUE,"10+")</f>
        <v>0-5</v>
      </c>
    </row>
    <row r="116" spans="1:28" x14ac:dyDescent="0.3">
      <c r="A116" s="2">
        <v>34</v>
      </c>
      <c r="B116" t="s">
        <v>43</v>
      </c>
      <c r="C116">
        <v>0</v>
      </c>
      <c r="D116" t="s">
        <v>36</v>
      </c>
      <c r="E116" t="s">
        <v>45</v>
      </c>
      <c r="F116">
        <v>6</v>
      </c>
      <c r="G116" t="s">
        <v>38</v>
      </c>
      <c r="H116" t="s">
        <v>186</v>
      </c>
      <c r="I116">
        <v>3</v>
      </c>
      <c r="J116" t="s">
        <v>39</v>
      </c>
      <c r="K116">
        <v>2</v>
      </c>
      <c r="L116">
        <v>2</v>
      </c>
      <c r="M116" t="s">
        <v>47</v>
      </c>
      <c r="N116">
        <v>2</v>
      </c>
      <c r="O116" t="s">
        <v>52</v>
      </c>
      <c r="P116" s="1">
        <v>4505</v>
      </c>
      <c r="Q116" t="s">
        <v>72</v>
      </c>
      <c r="R116" t="s">
        <v>43</v>
      </c>
      <c r="S116">
        <v>3</v>
      </c>
      <c r="T116">
        <v>12</v>
      </c>
      <c r="U116">
        <v>3</v>
      </c>
      <c r="V116">
        <v>1</v>
      </c>
      <c r="W116">
        <v>0</v>
      </c>
      <c r="X116">
        <v>0</v>
      </c>
      <c r="Y116">
        <v>0</v>
      </c>
      <c r="Z116" t="s">
        <v>1551</v>
      </c>
      <c r="AA116" t="s">
        <v>69</v>
      </c>
      <c r="AB116" t="str" cm="1">
        <f t="array" ref="AB116">_xlfn.IFS(cleaned_data[[#This Row],[YearsAtCompany]]&lt;=5, "0-5",cleaned_data[[#This Row],[YearsAtCompany]]&lt;=10,"6-10",TRUE,"10+")</f>
        <v>0-5</v>
      </c>
    </row>
    <row r="117" spans="1:28" x14ac:dyDescent="0.3">
      <c r="A117" s="2">
        <v>37</v>
      </c>
      <c r="B117" t="s">
        <v>43</v>
      </c>
      <c r="C117">
        <v>0</v>
      </c>
      <c r="D117" t="s">
        <v>36</v>
      </c>
      <c r="E117" t="s">
        <v>37</v>
      </c>
      <c r="F117">
        <v>3</v>
      </c>
      <c r="G117" t="s">
        <v>38</v>
      </c>
      <c r="H117" t="s">
        <v>187</v>
      </c>
      <c r="I117">
        <v>3</v>
      </c>
      <c r="J117" t="s">
        <v>46</v>
      </c>
      <c r="K117">
        <v>3</v>
      </c>
      <c r="L117">
        <v>3</v>
      </c>
      <c r="M117" t="s">
        <v>40</v>
      </c>
      <c r="N117">
        <v>4</v>
      </c>
      <c r="O117" t="s">
        <v>41</v>
      </c>
      <c r="P117" s="1">
        <v>7428</v>
      </c>
      <c r="Q117" t="s">
        <v>67</v>
      </c>
      <c r="R117" t="s">
        <v>43</v>
      </c>
      <c r="S117">
        <v>3</v>
      </c>
      <c r="T117">
        <v>12</v>
      </c>
      <c r="U117">
        <v>3</v>
      </c>
      <c r="V117">
        <v>5</v>
      </c>
      <c r="W117">
        <v>3</v>
      </c>
      <c r="X117">
        <v>1</v>
      </c>
      <c r="Y117">
        <v>3</v>
      </c>
      <c r="Z117" t="s">
        <v>1550</v>
      </c>
      <c r="AA117" t="s">
        <v>69</v>
      </c>
      <c r="AB117" t="str" cm="1">
        <f t="array" ref="AB117">_xlfn.IFS(cleaned_data[[#This Row],[YearsAtCompany]]&lt;=5, "0-5",cleaned_data[[#This Row],[YearsAtCompany]]&lt;=10,"6-10",TRUE,"10+")</f>
        <v>0-5</v>
      </c>
    </row>
    <row r="118" spans="1:28" x14ac:dyDescent="0.3">
      <c r="A118" s="2">
        <v>34</v>
      </c>
      <c r="B118" t="s">
        <v>43</v>
      </c>
      <c r="C118">
        <v>0</v>
      </c>
      <c r="D118" t="s">
        <v>36</v>
      </c>
      <c r="E118" t="s">
        <v>45</v>
      </c>
      <c r="F118">
        <v>5</v>
      </c>
      <c r="G118" t="s">
        <v>51</v>
      </c>
      <c r="H118" t="s">
        <v>188</v>
      </c>
      <c r="I118">
        <v>3</v>
      </c>
      <c r="J118" t="s">
        <v>39</v>
      </c>
      <c r="K118">
        <v>2</v>
      </c>
      <c r="L118">
        <v>3</v>
      </c>
      <c r="M118" t="s">
        <v>56</v>
      </c>
      <c r="N118">
        <v>1</v>
      </c>
      <c r="O118" t="s">
        <v>41</v>
      </c>
      <c r="P118" s="6">
        <v>11631</v>
      </c>
      <c r="Q118" t="s">
        <v>67</v>
      </c>
      <c r="R118" t="s">
        <v>43</v>
      </c>
      <c r="S118">
        <v>3</v>
      </c>
      <c r="T118">
        <v>14</v>
      </c>
      <c r="U118">
        <v>3</v>
      </c>
      <c r="V118">
        <v>11</v>
      </c>
      <c r="W118">
        <v>10</v>
      </c>
      <c r="X118">
        <v>5</v>
      </c>
      <c r="Y118">
        <v>8</v>
      </c>
      <c r="Z118" t="s">
        <v>1551</v>
      </c>
      <c r="AA118" t="s">
        <v>69</v>
      </c>
      <c r="AB118" t="str" cm="1">
        <f t="array" ref="AB118">_xlfn.IFS(cleaned_data[[#This Row],[YearsAtCompany]]&lt;=5, "0-5",cleaned_data[[#This Row],[YearsAtCompany]]&lt;=10,"6-10",TRUE,"10+")</f>
        <v>10+</v>
      </c>
    </row>
    <row r="119" spans="1:28" x14ac:dyDescent="0.3">
      <c r="A119" s="2">
        <v>36</v>
      </c>
      <c r="B119" t="s">
        <v>43</v>
      </c>
      <c r="C119">
        <v>0</v>
      </c>
      <c r="D119" t="s">
        <v>44</v>
      </c>
      <c r="E119" t="s">
        <v>37</v>
      </c>
      <c r="F119">
        <v>11</v>
      </c>
      <c r="G119" t="s">
        <v>60</v>
      </c>
      <c r="H119" t="s">
        <v>189</v>
      </c>
      <c r="I119">
        <v>2</v>
      </c>
      <c r="J119" t="s">
        <v>39</v>
      </c>
      <c r="K119">
        <v>3</v>
      </c>
      <c r="L119">
        <v>3</v>
      </c>
      <c r="M119" t="s">
        <v>40</v>
      </c>
      <c r="N119">
        <v>4</v>
      </c>
      <c r="O119" t="s">
        <v>48</v>
      </c>
      <c r="P119" s="1">
        <v>9738</v>
      </c>
      <c r="Q119" t="s">
        <v>67</v>
      </c>
      <c r="R119" t="s">
        <v>43</v>
      </c>
      <c r="S119">
        <v>3</v>
      </c>
      <c r="T119">
        <v>10</v>
      </c>
      <c r="U119">
        <v>3</v>
      </c>
      <c r="V119">
        <v>9</v>
      </c>
      <c r="W119">
        <v>7</v>
      </c>
      <c r="X119">
        <v>2</v>
      </c>
      <c r="Y119">
        <v>8</v>
      </c>
      <c r="Z119" t="s">
        <v>1550</v>
      </c>
      <c r="AA119" t="s">
        <v>69</v>
      </c>
      <c r="AB119" t="str" cm="1">
        <f t="array" ref="AB119">_xlfn.IFS(cleaned_data[[#This Row],[YearsAtCompany]]&lt;=5, "0-5",cleaned_data[[#This Row],[YearsAtCompany]]&lt;=10,"6-10",TRUE,"10+")</f>
        <v>6-10</v>
      </c>
    </row>
    <row r="120" spans="1:28" x14ac:dyDescent="0.3">
      <c r="A120" s="2">
        <v>36</v>
      </c>
      <c r="B120" t="s">
        <v>43</v>
      </c>
      <c r="C120">
        <v>0</v>
      </c>
      <c r="D120" t="s">
        <v>36</v>
      </c>
      <c r="E120" t="s">
        <v>45</v>
      </c>
      <c r="F120">
        <v>3</v>
      </c>
      <c r="G120" t="s">
        <v>38</v>
      </c>
      <c r="H120" t="s">
        <v>190</v>
      </c>
      <c r="I120">
        <v>1</v>
      </c>
      <c r="J120" t="s">
        <v>39</v>
      </c>
      <c r="K120">
        <v>3</v>
      </c>
      <c r="L120">
        <v>1</v>
      </c>
      <c r="M120" t="s">
        <v>50</v>
      </c>
      <c r="N120">
        <v>4</v>
      </c>
      <c r="O120" t="s">
        <v>52</v>
      </c>
      <c r="P120" s="1">
        <v>2835</v>
      </c>
      <c r="Q120" t="s">
        <v>72</v>
      </c>
      <c r="R120" t="s">
        <v>43</v>
      </c>
      <c r="S120">
        <v>4</v>
      </c>
      <c r="T120">
        <v>7</v>
      </c>
      <c r="U120">
        <v>3</v>
      </c>
      <c r="V120">
        <v>1</v>
      </c>
      <c r="W120">
        <v>0</v>
      </c>
      <c r="X120">
        <v>0</v>
      </c>
      <c r="Y120">
        <v>0</v>
      </c>
      <c r="Z120" t="s">
        <v>1550</v>
      </c>
      <c r="AA120" t="s">
        <v>69</v>
      </c>
      <c r="AB120" t="str" cm="1">
        <f t="array" ref="AB120">_xlfn.IFS(cleaned_data[[#This Row],[YearsAtCompany]]&lt;=5, "0-5",cleaned_data[[#This Row],[YearsAtCompany]]&lt;=10,"6-10",TRUE,"10+")</f>
        <v>0-5</v>
      </c>
    </row>
    <row r="121" spans="1:28" x14ac:dyDescent="0.3">
      <c r="A121" s="2">
        <v>43</v>
      </c>
      <c r="B121" t="s">
        <v>43</v>
      </c>
      <c r="C121">
        <v>0</v>
      </c>
      <c r="D121" t="s">
        <v>44</v>
      </c>
      <c r="E121" t="s">
        <v>37</v>
      </c>
      <c r="F121">
        <v>26</v>
      </c>
      <c r="G121" t="s">
        <v>38</v>
      </c>
      <c r="H121" t="s">
        <v>191</v>
      </c>
      <c r="I121">
        <v>3</v>
      </c>
      <c r="J121" t="s">
        <v>46</v>
      </c>
      <c r="K121">
        <v>3</v>
      </c>
      <c r="L121">
        <v>4</v>
      </c>
      <c r="M121" t="s">
        <v>56</v>
      </c>
      <c r="N121">
        <v>4</v>
      </c>
      <c r="O121" t="s">
        <v>48</v>
      </c>
      <c r="P121" s="1">
        <v>16959</v>
      </c>
      <c r="Q121" t="s">
        <v>90</v>
      </c>
      <c r="R121" t="s">
        <v>35</v>
      </c>
      <c r="S121">
        <v>3</v>
      </c>
      <c r="T121">
        <v>25</v>
      </c>
      <c r="U121">
        <v>4</v>
      </c>
      <c r="V121">
        <v>25</v>
      </c>
      <c r="W121">
        <v>12</v>
      </c>
      <c r="X121">
        <v>4</v>
      </c>
      <c r="Y121">
        <v>12</v>
      </c>
      <c r="Z121" t="s">
        <v>1550</v>
      </c>
      <c r="AA121" t="s">
        <v>82</v>
      </c>
      <c r="AB121" t="str" cm="1">
        <f t="array" ref="AB121">_xlfn.IFS(cleaned_data[[#This Row],[YearsAtCompany]]&lt;=5, "0-5",cleaned_data[[#This Row],[YearsAtCompany]]&lt;=10,"6-10",TRUE,"10+")</f>
        <v>10+</v>
      </c>
    </row>
    <row r="122" spans="1:28" x14ac:dyDescent="0.3">
      <c r="A122" s="2">
        <v>30</v>
      </c>
      <c r="B122" t="s">
        <v>43</v>
      </c>
      <c r="C122">
        <v>0</v>
      </c>
      <c r="D122" t="s">
        <v>44</v>
      </c>
      <c r="E122" t="s">
        <v>45</v>
      </c>
      <c r="F122">
        <v>23</v>
      </c>
      <c r="G122" t="s">
        <v>38</v>
      </c>
      <c r="H122" t="s">
        <v>192</v>
      </c>
      <c r="I122">
        <v>1</v>
      </c>
      <c r="J122" t="s">
        <v>46</v>
      </c>
      <c r="K122">
        <v>1</v>
      </c>
      <c r="L122">
        <v>1</v>
      </c>
      <c r="M122" t="s">
        <v>47</v>
      </c>
      <c r="N122">
        <v>3</v>
      </c>
      <c r="O122" t="s">
        <v>52</v>
      </c>
      <c r="P122" s="1">
        <v>2613</v>
      </c>
      <c r="Q122" t="s">
        <v>72</v>
      </c>
      <c r="R122" t="s">
        <v>43</v>
      </c>
      <c r="S122">
        <v>4</v>
      </c>
      <c r="T122">
        <v>10</v>
      </c>
      <c r="U122">
        <v>2</v>
      </c>
      <c r="V122">
        <v>10</v>
      </c>
      <c r="W122">
        <v>7</v>
      </c>
      <c r="X122">
        <v>0</v>
      </c>
      <c r="Y122">
        <v>9</v>
      </c>
      <c r="Z122" t="s">
        <v>1551</v>
      </c>
      <c r="AA122" t="s">
        <v>69</v>
      </c>
      <c r="AB122" t="str" cm="1">
        <f t="array" ref="AB122">_xlfn.IFS(cleaned_data[[#This Row],[YearsAtCompany]]&lt;=5, "0-5",cleaned_data[[#This Row],[YearsAtCompany]]&lt;=10,"6-10",TRUE,"10+")</f>
        <v>6-10</v>
      </c>
    </row>
    <row r="123" spans="1:28" x14ac:dyDescent="0.3">
      <c r="A123" s="2">
        <v>33</v>
      </c>
      <c r="B123" t="s">
        <v>43</v>
      </c>
      <c r="C123">
        <v>0</v>
      </c>
      <c r="D123" t="s">
        <v>55</v>
      </c>
      <c r="E123" t="s">
        <v>37</v>
      </c>
      <c r="F123">
        <v>22</v>
      </c>
      <c r="G123" t="s">
        <v>59</v>
      </c>
      <c r="H123" t="s">
        <v>193</v>
      </c>
      <c r="I123">
        <v>3</v>
      </c>
      <c r="J123" t="s">
        <v>46</v>
      </c>
      <c r="K123">
        <v>3</v>
      </c>
      <c r="L123">
        <v>2</v>
      </c>
      <c r="M123" t="s">
        <v>40</v>
      </c>
      <c r="N123">
        <v>2</v>
      </c>
      <c r="O123" t="s">
        <v>48</v>
      </c>
      <c r="P123" s="1">
        <v>6146</v>
      </c>
      <c r="Q123" t="s">
        <v>67</v>
      </c>
      <c r="R123" t="s">
        <v>43</v>
      </c>
      <c r="S123">
        <v>3</v>
      </c>
      <c r="T123">
        <v>8</v>
      </c>
      <c r="U123">
        <v>4</v>
      </c>
      <c r="V123">
        <v>7</v>
      </c>
      <c r="W123">
        <v>7</v>
      </c>
      <c r="X123">
        <v>0</v>
      </c>
      <c r="Y123">
        <v>7</v>
      </c>
      <c r="Z123" t="s">
        <v>1551</v>
      </c>
      <c r="AA123" t="s">
        <v>69</v>
      </c>
      <c r="AB123" t="str" cm="1">
        <f t="array" ref="AB123">_xlfn.IFS(cleaned_data[[#This Row],[YearsAtCompany]]&lt;=5, "0-5",cleaned_data[[#This Row],[YearsAtCompany]]&lt;=10,"6-10",TRUE,"10+")</f>
        <v>6-10</v>
      </c>
    </row>
    <row r="124" spans="1:28" x14ac:dyDescent="0.3">
      <c r="A124" s="2">
        <v>56</v>
      </c>
      <c r="B124" t="s">
        <v>35</v>
      </c>
      <c r="C124">
        <v>1</v>
      </c>
      <c r="D124" t="s">
        <v>36</v>
      </c>
      <c r="E124" t="s">
        <v>45</v>
      </c>
      <c r="F124">
        <v>14</v>
      </c>
      <c r="G124" t="s">
        <v>38</v>
      </c>
      <c r="H124" t="s">
        <v>194</v>
      </c>
      <c r="I124">
        <v>2</v>
      </c>
      <c r="J124" t="s">
        <v>39</v>
      </c>
      <c r="K124">
        <v>3</v>
      </c>
      <c r="L124">
        <v>1</v>
      </c>
      <c r="M124" t="s">
        <v>47</v>
      </c>
      <c r="N124">
        <v>2</v>
      </c>
      <c r="O124" t="s">
        <v>48</v>
      </c>
      <c r="P124" s="1">
        <v>4963</v>
      </c>
      <c r="Q124" t="s">
        <v>72</v>
      </c>
      <c r="R124" t="s">
        <v>35</v>
      </c>
      <c r="S124">
        <v>3</v>
      </c>
      <c r="T124">
        <v>7</v>
      </c>
      <c r="U124">
        <v>3</v>
      </c>
      <c r="V124">
        <v>5</v>
      </c>
      <c r="W124">
        <v>4</v>
      </c>
      <c r="X124">
        <v>4</v>
      </c>
      <c r="Y124">
        <v>3</v>
      </c>
      <c r="Z124" t="s">
        <v>106</v>
      </c>
      <c r="AA124" t="s">
        <v>69</v>
      </c>
      <c r="AB124" t="str" cm="1">
        <f t="array" ref="AB124">_xlfn.IFS(cleaned_data[[#This Row],[YearsAtCompany]]&lt;=5, "0-5",cleaned_data[[#This Row],[YearsAtCompany]]&lt;=10,"6-10",TRUE,"10+")</f>
        <v>0-5</v>
      </c>
    </row>
    <row r="125" spans="1:28" x14ac:dyDescent="0.3">
      <c r="A125" s="2">
        <v>51</v>
      </c>
      <c r="B125" t="s">
        <v>43</v>
      </c>
      <c r="C125">
        <v>0</v>
      </c>
      <c r="D125" t="s">
        <v>36</v>
      </c>
      <c r="E125" t="s">
        <v>45</v>
      </c>
      <c r="F125">
        <v>6</v>
      </c>
      <c r="G125" t="s">
        <v>38</v>
      </c>
      <c r="H125" t="s">
        <v>195</v>
      </c>
      <c r="I125">
        <v>1</v>
      </c>
      <c r="J125" t="s">
        <v>46</v>
      </c>
      <c r="K125">
        <v>3</v>
      </c>
      <c r="L125">
        <v>5</v>
      </c>
      <c r="M125" t="s">
        <v>58</v>
      </c>
      <c r="N125">
        <v>3</v>
      </c>
      <c r="O125" t="s">
        <v>41</v>
      </c>
      <c r="P125" s="1">
        <v>19537</v>
      </c>
      <c r="Q125" t="s">
        <v>90</v>
      </c>
      <c r="R125" t="s">
        <v>43</v>
      </c>
      <c r="S125">
        <v>3</v>
      </c>
      <c r="T125">
        <v>23</v>
      </c>
      <c r="U125">
        <v>3</v>
      </c>
      <c r="V125">
        <v>20</v>
      </c>
      <c r="W125">
        <v>18</v>
      </c>
      <c r="X125">
        <v>15</v>
      </c>
      <c r="Y125">
        <v>15</v>
      </c>
      <c r="Z125" t="s">
        <v>106</v>
      </c>
      <c r="AA125" t="s">
        <v>82</v>
      </c>
      <c r="AB125" t="str" cm="1">
        <f t="array" ref="AB125">_xlfn.IFS(cleaned_data[[#This Row],[YearsAtCompany]]&lt;=5, "0-5",cleaned_data[[#This Row],[YearsAtCompany]]&lt;=10,"6-10",TRUE,"10+")</f>
        <v>10+</v>
      </c>
    </row>
    <row r="126" spans="1:28" x14ac:dyDescent="0.3">
      <c r="A126" s="2">
        <v>31</v>
      </c>
      <c r="B126" t="s">
        <v>35</v>
      </c>
      <c r="C126">
        <v>1</v>
      </c>
      <c r="D126" t="s">
        <v>36</v>
      </c>
      <c r="E126" t="s">
        <v>37</v>
      </c>
      <c r="F126">
        <v>6</v>
      </c>
      <c r="G126" t="s">
        <v>38</v>
      </c>
      <c r="H126" t="s">
        <v>196</v>
      </c>
      <c r="I126">
        <v>2</v>
      </c>
      <c r="J126" t="s">
        <v>46</v>
      </c>
      <c r="K126">
        <v>1</v>
      </c>
      <c r="L126">
        <v>2</v>
      </c>
      <c r="M126" t="s">
        <v>40</v>
      </c>
      <c r="N126">
        <v>3</v>
      </c>
      <c r="O126" t="s">
        <v>48</v>
      </c>
      <c r="P126" s="1">
        <v>6172</v>
      </c>
      <c r="Q126" t="s">
        <v>67</v>
      </c>
      <c r="R126" t="s">
        <v>35</v>
      </c>
      <c r="S126">
        <v>3</v>
      </c>
      <c r="T126">
        <v>12</v>
      </c>
      <c r="U126">
        <v>2</v>
      </c>
      <c r="V126">
        <v>7</v>
      </c>
      <c r="W126">
        <v>7</v>
      </c>
      <c r="X126">
        <v>7</v>
      </c>
      <c r="Y126">
        <v>7</v>
      </c>
      <c r="Z126" t="s">
        <v>1551</v>
      </c>
      <c r="AA126" t="s">
        <v>69</v>
      </c>
      <c r="AB126" t="str" cm="1">
        <f t="array" ref="AB126">_xlfn.IFS(cleaned_data[[#This Row],[YearsAtCompany]]&lt;=5, "0-5",cleaned_data[[#This Row],[YearsAtCompany]]&lt;=10,"6-10",TRUE,"10+")</f>
        <v>6-10</v>
      </c>
    </row>
    <row r="127" spans="1:28" x14ac:dyDescent="0.3">
      <c r="A127" s="2">
        <v>26</v>
      </c>
      <c r="B127" t="s">
        <v>43</v>
      </c>
      <c r="C127">
        <v>0</v>
      </c>
      <c r="D127" t="s">
        <v>36</v>
      </c>
      <c r="E127" t="s">
        <v>45</v>
      </c>
      <c r="F127">
        <v>6</v>
      </c>
      <c r="G127" t="s">
        <v>49</v>
      </c>
      <c r="H127" t="s">
        <v>197</v>
      </c>
      <c r="I127">
        <v>3</v>
      </c>
      <c r="J127" t="s">
        <v>39</v>
      </c>
      <c r="K127">
        <v>2</v>
      </c>
      <c r="L127">
        <v>1</v>
      </c>
      <c r="M127" t="s">
        <v>47</v>
      </c>
      <c r="N127">
        <v>2</v>
      </c>
      <c r="O127" t="s">
        <v>48</v>
      </c>
      <c r="P127" s="1">
        <v>2368</v>
      </c>
      <c r="Q127" t="s">
        <v>72</v>
      </c>
      <c r="R127" t="s">
        <v>43</v>
      </c>
      <c r="S127">
        <v>3</v>
      </c>
      <c r="T127">
        <v>5</v>
      </c>
      <c r="U127">
        <v>2</v>
      </c>
      <c r="V127">
        <v>5</v>
      </c>
      <c r="W127">
        <v>4</v>
      </c>
      <c r="X127">
        <v>4</v>
      </c>
      <c r="Y127">
        <v>3</v>
      </c>
      <c r="Z127" t="s">
        <v>1551</v>
      </c>
      <c r="AA127" t="s">
        <v>78</v>
      </c>
      <c r="AB127" t="str" cm="1">
        <f t="array" ref="AB127">_xlfn.IFS(cleaned_data[[#This Row],[YearsAtCompany]]&lt;=5, "0-5",cleaned_data[[#This Row],[YearsAtCompany]]&lt;=10,"6-10",TRUE,"10+")</f>
        <v>0-5</v>
      </c>
    </row>
    <row r="128" spans="1:28" x14ac:dyDescent="0.3">
      <c r="A128" s="2">
        <v>58</v>
      </c>
      <c r="B128" t="s">
        <v>35</v>
      </c>
      <c r="C128">
        <v>1</v>
      </c>
      <c r="D128" t="s">
        <v>36</v>
      </c>
      <c r="E128" t="s">
        <v>45</v>
      </c>
      <c r="F128">
        <v>23</v>
      </c>
      <c r="G128" t="s">
        <v>51</v>
      </c>
      <c r="H128" t="s">
        <v>198</v>
      </c>
      <c r="I128">
        <v>4</v>
      </c>
      <c r="J128" t="s">
        <v>39</v>
      </c>
      <c r="K128">
        <v>3</v>
      </c>
      <c r="L128">
        <v>3</v>
      </c>
      <c r="M128" t="s">
        <v>54</v>
      </c>
      <c r="N128">
        <v>4</v>
      </c>
      <c r="O128" t="s">
        <v>48</v>
      </c>
      <c r="P128" s="1">
        <v>10312</v>
      </c>
      <c r="Q128" t="s">
        <v>67</v>
      </c>
      <c r="R128" t="s">
        <v>43</v>
      </c>
      <c r="S128">
        <v>3</v>
      </c>
      <c r="T128">
        <v>40</v>
      </c>
      <c r="U128">
        <v>2</v>
      </c>
      <c r="V128">
        <v>40</v>
      </c>
      <c r="W128">
        <v>10</v>
      </c>
      <c r="X128">
        <v>15</v>
      </c>
      <c r="Y128">
        <v>6</v>
      </c>
      <c r="Z128" t="s">
        <v>106</v>
      </c>
      <c r="AA128" t="s">
        <v>82</v>
      </c>
      <c r="AB128" t="str" cm="1">
        <f t="array" ref="AB128">_xlfn.IFS(cleaned_data[[#This Row],[YearsAtCompany]]&lt;=5, "0-5",cleaned_data[[#This Row],[YearsAtCompany]]&lt;=10,"6-10",TRUE,"10+")</f>
        <v>10+</v>
      </c>
    </row>
    <row r="129" spans="1:28" x14ac:dyDescent="0.3">
      <c r="A129" s="2">
        <v>19</v>
      </c>
      <c r="B129" t="s">
        <v>35</v>
      </c>
      <c r="C129">
        <v>1</v>
      </c>
      <c r="D129" t="s">
        <v>36</v>
      </c>
      <c r="E129" t="s">
        <v>37</v>
      </c>
      <c r="F129">
        <v>22</v>
      </c>
      <c r="G129" t="s">
        <v>59</v>
      </c>
      <c r="H129" t="s">
        <v>199</v>
      </c>
      <c r="I129">
        <v>4</v>
      </c>
      <c r="J129" t="s">
        <v>46</v>
      </c>
      <c r="K129">
        <v>3</v>
      </c>
      <c r="L129">
        <v>1</v>
      </c>
      <c r="M129" t="s">
        <v>57</v>
      </c>
      <c r="N129">
        <v>3</v>
      </c>
      <c r="O129" t="s">
        <v>41</v>
      </c>
      <c r="P129" s="1">
        <v>1675</v>
      </c>
      <c r="Q129" t="s">
        <v>72</v>
      </c>
      <c r="R129" t="s">
        <v>35</v>
      </c>
      <c r="S129">
        <v>3</v>
      </c>
      <c r="T129">
        <v>0</v>
      </c>
      <c r="U129">
        <v>2</v>
      </c>
      <c r="V129">
        <v>0</v>
      </c>
      <c r="W129">
        <v>0</v>
      </c>
      <c r="X129">
        <v>0</v>
      </c>
      <c r="Y129">
        <v>0</v>
      </c>
      <c r="Z129" t="s">
        <v>68</v>
      </c>
      <c r="AA129" t="s">
        <v>78</v>
      </c>
      <c r="AB129" t="str" cm="1">
        <f t="array" ref="AB129">_xlfn.IFS(cleaned_data[[#This Row],[YearsAtCompany]]&lt;=5, "0-5",cleaned_data[[#This Row],[YearsAtCompany]]&lt;=10,"6-10",TRUE,"10+")</f>
        <v>0-5</v>
      </c>
    </row>
    <row r="130" spans="1:28" x14ac:dyDescent="0.3">
      <c r="A130" s="2">
        <v>22</v>
      </c>
      <c r="B130" t="s">
        <v>43</v>
      </c>
      <c r="C130">
        <v>0</v>
      </c>
      <c r="D130" t="s">
        <v>36</v>
      </c>
      <c r="E130" t="s">
        <v>45</v>
      </c>
      <c r="F130">
        <v>2</v>
      </c>
      <c r="G130" t="s">
        <v>60</v>
      </c>
      <c r="H130" t="s">
        <v>200</v>
      </c>
      <c r="I130">
        <v>3</v>
      </c>
      <c r="J130" t="s">
        <v>46</v>
      </c>
      <c r="K130">
        <v>3</v>
      </c>
      <c r="L130">
        <v>1</v>
      </c>
      <c r="M130" t="s">
        <v>50</v>
      </c>
      <c r="N130">
        <v>4</v>
      </c>
      <c r="O130" t="s">
        <v>48</v>
      </c>
      <c r="P130" s="1">
        <v>2523</v>
      </c>
      <c r="Q130" t="s">
        <v>72</v>
      </c>
      <c r="R130" t="s">
        <v>43</v>
      </c>
      <c r="S130">
        <v>3</v>
      </c>
      <c r="T130">
        <v>3</v>
      </c>
      <c r="U130">
        <v>3</v>
      </c>
      <c r="V130">
        <v>2</v>
      </c>
      <c r="W130">
        <v>1</v>
      </c>
      <c r="X130">
        <v>2</v>
      </c>
      <c r="Y130">
        <v>1</v>
      </c>
      <c r="Z130" t="s">
        <v>68</v>
      </c>
      <c r="AA130" t="s">
        <v>78</v>
      </c>
      <c r="AB130" t="str" cm="1">
        <f t="array" ref="AB130">_xlfn.IFS(cleaned_data[[#This Row],[YearsAtCompany]]&lt;=5, "0-5",cleaned_data[[#This Row],[YearsAtCompany]]&lt;=10,"6-10",TRUE,"10+")</f>
        <v>0-5</v>
      </c>
    </row>
    <row r="131" spans="1:28" x14ac:dyDescent="0.3">
      <c r="A131" s="2">
        <v>49</v>
      </c>
      <c r="B131" t="s">
        <v>43</v>
      </c>
      <c r="C131">
        <v>0</v>
      </c>
      <c r="D131" t="s">
        <v>36</v>
      </c>
      <c r="E131" t="s">
        <v>45</v>
      </c>
      <c r="F131">
        <v>20</v>
      </c>
      <c r="G131" t="s">
        <v>51</v>
      </c>
      <c r="H131" t="s">
        <v>201</v>
      </c>
      <c r="I131">
        <v>3</v>
      </c>
      <c r="J131" t="s">
        <v>39</v>
      </c>
      <c r="K131">
        <v>3</v>
      </c>
      <c r="L131">
        <v>2</v>
      </c>
      <c r="M131" t="s">
        <v>53</v>
      </c>
      <c r="N131">
        <v>1</v>
      </c>
      <c r="O131" t="s">
        <v>48</v>
      </c>
      <c r="P131" s="6">
        <v>6567</v>
      </c>
      <c r="Q131" t="s">
        <v>67</v>
      </c>
      <c r="R131" t="s">
        <v>43</v>
      </c>
      <c r="S131">
        <v>3</v>
      </c>
      <c r="T131">
        <v>16</v>
      </c>
      <c r="U131">
        <v>2</v>
      </c>
      <c r="V131">
        <v>15</v>
      </c>
      <c r="W131">
        <v>11</v>
      </c>
      <c r="X131">
        <v>5</v>
      </c>
      <c r="Y131">
        <v>11</v>
      </c>
      <c r="Z131" t="s">
        <v>106</v>
      </c>
      <c r="AA131" t="s">
        <v>82</v>
      </c>
      <c r="AB131" t="str" cm="1">
        <f t="array" ref="AB131">_xlfn.IFS(cleaned_data[[#This Row],[YearsAtCompany]]&lt;=5, "0-5",cleaned_data[[#This Row],[YearsAtCompany]]&lt;=10,"6-10",TRUE,"10+")</f>
        <v>10+</v>
      </c>
    </row>
    <row r="132" spans="1:28" x14ac:dyDescent="0.3">
      <c r="A132" s="2">
        <v>43</v>
      </c>
      <c r="B132" t="s">
        <v>43</v>
      </c>
      <c r="C132">
        <v>0</v>
      </c>
      <c r="D132" t="s">
        <v>44</v>
      </c>
      <c r="E132" t="s">
        <v>45</v>
      </c>
      <c r="F132">
        <v>28</v>
      </c>
      <c r="G132" t="s">
        <v>51</v>
      </c>
      <c r="H132" t="s">
        <v>202</v>
      </c>
      <c r="I132">
        <v>2</v>
      </c>
      <c r="J132" t="s">
        <v>39</v>
      </c>
      <c r="K132">
        <v>4</v>
      </c>
      <c r="L132">
        <v>1</v>
      </c>
      <c r="M132" t="s">
        <v>47</v>
      </c>
      <c r="N132">
        <v>3</v>
      </c>
      <c r="O132" t="s">
        <v>41</v>
      </c>
      <c r="P132" s="1">
        <v>4739</v>
      </c>
      <c r="Q132" t="s">
        <v>72</v>
      </c>
      <c r="R132" t="s">
        <v>43</v>
      </c>
      <c r="S132">
        <v>3</v>
      </c>
      <c r="T132">
        <v>18</v>
      </c>
      <c r="U132">
        <v>3</v>
      </c>
      <c r="V132">
        <v>3</v>
      </c>
      <c r="W132">
        <v>2</v>
      </c>
      <c r="X132">
        <v>1</v>
      </c>
      <c r="Y132">
        <v>2</v>
      </c>
      <c r="Z132" t="s">
        <v>1550</v>
      </c>
      <c r="AA132" t="s">
        <v>82</v>
      </c>
      <c r="AB132" t="str" cm="1">
        <f t="array" ref="AB132">_xlfn.IFS(cleaned_data[[#This Row],[YearsAtCompany]]&lt;=5, "0-5",cleaned_data[[#This Row],[YearsAtCompany]]&lt;=10,"6-10",TRUE,"10+")</f>
        <v>0-5</v>
      </c>
    </row>
    <row r="133" spans="1:28" x14ac:dyDescent="0.3">
      <c r="A133" s="2">
        <v>50</v>
      </c>
      <c r="B133" t="s">
        <v>43</v>
      </c>
      <c r="C133">
        <v>0</v>
      </c>
      <c r="D133" t="s">
        <v>44</v>
      </c>
      <c r="E133" t="s">
        <v>37</v>
      </c>
      <c r="F133">
        <v>12</v>
      </c>
      <c r="G133" t="s">
        <v>59</v>
      </c>
      <c r="H133" t="s">
        <v>203</v>
      </c>
      <c r="I133">
        <v>3</v>
      </c>
      <c r="J133" t="s">
        <v>39</v>
      </c>
      <c r="K133">
        <v>3</v>
      </c>
      <c r="L133">
        <v>3</v>
      </c>
      <c r="M133" t="s">
        <v>40</v>
      </c>
      <c r="N133">
        <v>4</v>
      </c>
      <c r="O133" t="s">
        <v>41</v>
      </c>
      <c r="P133" s="1">
        <v>9208</v>
      </c>
      <c r="Q133" t="s">
        <v>67</v>
      </c>
      <c r="R133" t="s">
        <v>43</v>
      </c>
      <c r="S133">
        <v>3</v>
      </c>
      <c r="T133">
        <v>16</v>
      </c>
      <c r="U133">
        <v>3</v>
      </c>
      <c r="V133">
        <v>2</v>
      </c>
      <c r="W133">
        <v>2</v>
      </c>
      <c r="X133">
        <v>2</v>
      </c>
      <c r="Y133">
        <v>1</v>
      </c>
      <c r="Z133" t="s">
        <v>106</v>
      </c>
      <c r="AA133" t="s">
        <v>82</v>
      </c>
      <c r="AB133" t="str" cm="1">
        <f t="array" ref="AB133">_xlfn.IFS(cleaned_data[[#This Row],[YearsAtCompany]]&lt;=5, "0-5",cleaned_data[[#This Row],[YearsAtCompany]]&lt;=10,"6-10",TRUE,"10+")</f>
        <v>0-5</v>
      </c>
    </row>
    <row r="134" spans="1:28" x14ac:dyDescent="0.3">
      <c r="A134" s="2">
        <v>31</v>
      </c>
      <c r="B134" t="s">
        <v>35</v>
      </c>
      <c r="C134">
        <v>1</v>
      </c>
      <c r="D134" t="s">
        <v>36</v>
      </c>
      <c r="E134" t="s">
        <v>37</v>
      </c>
      <c r="F134">
        <v>20</v>
      </c>
      <c r="G134" t="s">
        <v>38</v>
      </c>
      <c r="H134" t="s">
        <v>204</v>
      </c>
      <c r="I134">
        <v>2</v>
      </c>
      <c r="J134" t="s">
        <v>39</v>
      </c>
      <c r="K134">
        <v>1</v>
      </c>
      <c r="L134">
        <v>2</v>
      </c>
      <c r="M134" t="s">
        <v>40</v>
      </c>
      <c r="N134">
        <v>3</v>
      </c>
      <c r="O134" t="s">
        <v>48</v>
      </c>
      <c r="P134" s="1">
        <v>4559</v>
      </c>
      <c r="Q134" t="s">
        <v>72</v>
      </c>
      <c r="R134" t="s">
        <v>35</v>
      </c>
      <c r="S134">
        <v>3</v>
      </c>
      <c r="T134">
        <v>4</v>
      </c>
      <c r="U134">
        <v>3</v>
      </c>
      <c r="V134">
        <v>2</v>
      </c>
      <c r="W134">
        <v>2</v>
      </c>
      <c r="X134">
        <v>2</v>
      </c>
      <c r="Y134">
        <v>2</v>
      </c>
      <c r="Z134" t="s">
        <v>1551</v>
      </c>
      <c r="AA134" t="s">
        <v>78</v>
      </c>
      <c r="AB134" t="str" cm="1">
        <f t="array" ref="AB134">_xlfn.IFS(cleaned_data[[#This Row],[YearsAtCompany]]&lt;=5, "0-5",cleaned_data[[#This Row],[YearsAtCompany]]&lt;=10,"6-10",TRUE,"10+")</f>
        <v>0-5</v>
      </c>
    </row>
    <row r="135" spans="1:28" x14ac:dyDescent="0.3">
      <c r="A135" s="2">
        <v>41</v>
      </c>
      <c r="B135" t="s">
        <v>43</v>
      </c>
      <c r="C135">
        <v>0</v>
      </c>
      <c r="D135" t="s">
        <v>36</v>
      </c>
      <c r="E135" t="s">
        <v>37</v>
      </c>
      <c r="F135">
        <v>9</v>
      </c>
      <c r="G135" t="s">
        <v>38</v>
      </c>
      <c r="H135" t="s">
        <v>205</v>
      </c>
      <c r="I135">
        <v>3</v>
      </c>
      <c r="J135" t="s">
        <v>46</v>
      </c>
      <c r="K135">
        <v>3</v>
      </c>
      <c r="L135">
        <v>3</v>
      </c>
      <c r="M135" t="s">
        <v>40</v>
      </c>
      <c r="N135">
        <v>3</v>
      </c>
      <c r="O135" t="s">
        <v>52</v>
      </c>
      <c r="P135" s="1">
        <v>8189</v>
      </c>
      <c r="Q135" t="s">
        <v>67</v>
      </c>
      <c r="R135" t="s">
        <v>35</v>
      </c>
      <c r="S135">
        <v>3</v>
      </c>
      <c r="T135">
        <v>12</v>
      </c>
      <c r="U135">
        <v>3</v>
      </c>
      <c r="V135">
        <v>9</v>
      </c>
      <c r="W135">
        <v>7</v>
      </c>
      <c r="X135">
        <v>0</v>
      </c>
      <c r="Y135">
        <v>7</v>
      </c>
      <c r="Z135" t="s">
        <v>1550</v>
      </c>
      <c r="AA135" t="s">
        <v>69</v>
      </c>
      <c r="AB135" t="str" cm="1">
        <f t="array" ref="AB135">_xlfn.IFS(cleaned_data[[#This Row],[YearsAtCompany]]&lt;=5, "0-5",cleaned_data[[#This Row],[YearsAtCompany]]&lt;=10,"6-10",TRUE,"10+")</f>
        <v>6-10</v>
      </c>
    </row>
    <row r="136" spans="1:28" x14ac:dyDescent="0.3">
      <c r="A136" s="2">
        <v>26</v>
      </c>
      <c r="B136" t="s">
        <v>43</v>
      </c>
      <c r="C136">
        <v>0</v>
      </c>
      <c r="D136" t="s">
        <v>36</v>
      </c>
      <c r="E136" t="s">
        <v>61</v>
      </c>
      <c r="F136">
        <v>25</v>
      </c>
      <c r="G136" t="s">
        <v>38</v>
      </c>
      <c r="H136" t="s">
        <v>206</v>
      </c>
      <c r="I136">
        <v>3</v>
      </c>
      <c r="J136" t="s">
        <v>39</v>
      </c>
      <c r="K136">
        <v>3</v>
      </c>
      <c r="L136">
        <v>1</v>
      </c>
      <c r="M136" t="s">
        <v>61</v>
      </c>
      <c r="N136">
        <v>3</v>
      </c>
      <c r="O136" t="s">
        <v>48</v>
      </c>
      <c r="P136" s="1">
        <v>2942</v>
      </c>
      <c r="Q136" t="s">
        <v>72</v>
      </c>
      <c r="R136" t="s">
        <v>43</v>
      </c>
      <c r="S136">
        <v>4</v>
      </c>
      <c r="T136">
        <v>8</v>
      </c>
      <c r="U136">
        <v>3</v>
      </c>
      <c r="V136">
        <v>8</v>
      </c>
      <c r="W136">
        <v>7</v>
      </c>
      <c r="X136">
        <v>5</v>
      </c>
      <c r="Y136">
        <v>7</v>
      </c>
      <c r="Z136" t="s">
        <v>1551</v>
      </c>
      <c r="AA136" t="s">
        <v>69</v>
      </c>
      <c r="AB136" t="str" cm="1">
        <f t="array" ref="AB136">_xlfn.IFS(cleaned_data[[#This Row],[YearsAtCompany]]&lt;=5, "0-5",cleaned_data[[#This Row],[YearsAtCompany]]&lt;=10,"6-10",TRUE,"10+")</f>
        <v>6-10</v>
      </c>
    </row>
    <row r="137" spans="1:28" x14ac:dyDescent="0.3">
      <c r="A137" s="2">
        <v>36</v>
      </c>
      <c r="B137" t="s">
        <v>43</v>
      </c>
      <c r="C137">
        <v>0</v>
      </c>
      <c r="D137" t="s">
        <v>36</v>
      </c>
      <c r="E137" t="s">
        <v>45</v>
      </c>
      <c r="F137">
        <v>6</v>
      </c>
      <c r="G137" t="s">
        <v>51</v>
      </c>
      <c r="H137" t="s">
        <v>207</v>
      </c>
      <c r="I137">
        <v>2</v>
      </c>
      <c r="J137" t="s">
        <v>46</v>
      </c>
      <c r="K137">
        <v>3</v>
      </c>
      <c r="L137">
        <v>2</v>
      </c>
      <c r="M137" t="s">
        <v>53</v>
      </c>
      <c r="N137">
        <v>2</v>
      </c>
      <c r="O137" t="s">
        <v>52</v>
      </c>
      <c r="P137" s="1">
        <v>4941</v>
      </c>
      <c r="Q137" t="s">
        <v>72</v>
      </c>
      <c r="R137" t="s">
        <v>43</v>
      </c>
      <c r="S137">
        <v>4</v>
      </c>
      <c r="T137">
        <v>7</v>
      </c>
      <c r="U137">
        <v>3</v>
      </c>
      <c r="V137">
        <v>3</v>
      </c>
      <c r="W137">
        <v>2</v>
      </c>
      <c r="X137">
        <v>0</v>
      </c>
      <c r="Y137">
        <v>1</v>
      </c>
      <c r="Z137" t="s">
        <v>1550</v>
      </c>
      <c r="AA137" t="s">
        <v>69</v>
      </c>
      <c r="AB137" t="str" cm="1">
        <f t="array" ref="AB137">_xlfn.IFS(cleaned_data[[#This Row],[YearsAtCompany]]&lt;=5, "0-5",cleaned_data[[#This Row],[YearsAtCompany]]&lt;=10,"6-10",TRUE,"10+")</f>
        <v>0-5</v>
      </c>
    </row>
    <row r="138" spans="1:28" x14ac:dyDescent="0.3">
      <c r="A138" s="2">
        <v>51</v>
      </c>
      <c r="B138" t="s">
        <v>35</v>
      </c>
      <c r="C138">
        <v>1</v>
      </c>
      <c r="D138" t="s">
        <v>44</v>
      </c>
      <c r="E138" t="s">
        <v>45</v>
      </c>
      <c r="F138">
        <v>8</v>
      </c>
      <c r="G138" t="s">
        <v>38</v>
      </c>
      <c r="H138" t="s">
        <v>208</v>
      </c>
      <c r="I138">
        <v>1</v>
      </c>
      <c r="J138" t="s">
        <v>46</v>
      </c>
      <c r="K138">
        <v>1</v>
      </c>
      <c r="L138">
        <v>3</v>
      </c>
      <c r="M138" t="s">
        <v>53</v>
      </c>
      <c r="N138">
        <v>4</v>
      </c>
      <c r="O138" t="s">
        <v>41</v>
      </c>
      <c r="P138" s="1">
        <v>10650</v>
      </c>
      <c r="Q138" t="s">
        <v>67</v>
      </c>
      <c r="R138" t="s">
        <v>43</v>
      </c>
      <c r="S138">
        <v>3</v>
      </c>
      <c r="T138">
        <v>18</v>
      </c>
      <c r="U138">
        <v>3</v>
      </c>
      <c r="V138">
        <v>4</v>
      </c>
      <c r="W138">
        <v>2</v>
      </c>
      <c r="X138">
        <v>0</v>
      </c>
      <c r="Y138">
        <v>3</v>
      </c>
      <c r="Z138" t="s">
        <v>106</v>
      </c>
      <c r="AA138" t="s">
        <v>82</v>
      </c>
      <c r="AB138" t="str" cm="1">
        <f t="array" ref="AB138">_xlfn.IFS(cleaned_data[[#This Row],[YearsAtCompany]]&lt;=5, "0-5",cleaned_data[[#This Row],[YearsAtCompany]]&lt;=10,"6-10",TRUE,"10+")</f>
        <v>0-5</v>
      </c>
    </row>
    <row r="139" spans="1:28" x14ac:dyDescent="0.3">
      <c r="A139" s="2">
        <v>39</v>
      </c>
      <c r="B139" t="s">
        <v>43</v>
      </c>
      <c r="C139">
        <v>0</v>
      </c>
      <c r="D139" t="s">
        <v>36</v>
      </c>
      <c r="E139" t="s">
        <v>37</v>
      </c>
      <c r="F139">
        <v>4</v>
      </c>
      <c r="G139" t="s">
        <v>38</v>
      </c>
      <c r="H139" t="s">
        <v>209</v>
      </c>
      <c r="I139">
        <v>4</v>
      </c>
      <c r="J139" t="s">
        <v>39</v>
      </c>
      <c r="K139">
        <v>2</v>
      </c>
      <c r="L139">
        <v>2</v>
      </c>
      <c r="M139" t="s">
        <v>40</v>
      </c>
      <c r="N139">
        <v>3</v>
      </c>
      <c r="O139" t="s">
        <v>48</v>
      </c>
      <c r="P139" s="1">
        <v>5902</v>
      </c>
      <c r="Q139" t="s">
        <v>67</v>
      </c>
      <c r="R139" t="s">
        <v>43</v>
      </c>
      <c r="S139">
        <v>3</v>
      </c>
      <c r="T139">
        <v>17</v>
      </c>
      <c r="U139">
        <v>4</v>
      </c>
      <c r="V139">
        <v>15</v>
      </c>
      <c r="W139">
        <v>11</v>
      </c>
      <c r="X139">
        <v>5</v>
      </c>
      <c r="Y139">
        <v>9</v>
      </c>
      <c r="Z139" t="s">
        <v>1550</v>
      </c>
      <c r="AA139" t="s">
        <v>82</v>
      </c>
      <c r="AB139" t="str" cm="1">
        <f t="array" ref="AB139">_xlfn.IFS(cleaned_data[[#This Row],[YearsAtCompany]]&lt;=5, "0-5",cleaned_data[[#This Row],[YearsAtCompany]]&lt;=10,"6-10",TRUE,"10+")</f>
        <v>10+</v>
      </c>
    </row>
    <row r="140" spans="1:28" x14ac:dyDescent="0.3">
      <c r="A140" s="2">
        <v>25</v>
      </c>
      <c r="B140" t="s">
        <v>43</v>
      </c>
      <c r="C140">
        <v>0</v>
      </c>
      <c r="D140" t="s">
        <v>36</v>
      </c>
      <c r="E140" t="s">
        <v>37</v>
      </c>
      <c r="F140">
        <v>28</v>
      </c>
      <c r="G140" t="s">
        <v>38</v>
      </c>
      <c r="H140" t="s">
        <v>210</v>
      </c>
      <c r="I140">
        <v>1</v>
      </c>
      <c r="J140" t="s">
        <v>46</v>
      </c>
      <c r="K140">
        <v>2</v>
      </c>
      <c r="L140">
        <v>2</v>
      </c>
      <c r="M140" t="s">
        <v>40</v>
      </c>
      <c r="N140">
        <v>3</v>
      </c>
      <c r="O140" t="s">
        <v>48</v>
      </c>
      <c r="P140" s="1">
        <v>8639</v>
      </c>
      <c r="Q140" t="s">
        <v>67</v>
      </c>
      <c r="R140" t="s">
        <v>43</v>
      </c>
      <c r="S140">
        <v>3</v>
      </c>
      <c r="T140">
        <v>6</v>
      </c>
      <c r="U140">
        <v>3</v>
      </c>
      <c r="V140">
        <v>2</v>
      </c>
      <c r="W140">
        <v>2</v>
      </c>
      <c r="X140">
        <v>2</v>
      </c>
      <c r="Y140">
        <v>2</v>
      </c>
      <c r="Z140" t="s">
        <v>68</v>
      </c>
      <c r="AA140" t="s">
        <v>69</v>
      </c>
      <c r="AB140" t="str" cm="1">
        <f t="array" ref="AB140">_xlfn.IFS(cleaned_data[[#This Row],[YearsAtCompany]]&lt;=5, "0-5",cleaned_data[[#This Row],[YearsAtCompany]]&lt;=10,"6-10",TRUE,"10+")</f>
        <v>0-5</v>
      </c>
    </row>
    <row r="141" spans="1:28" x14ac:dyDescent="0.3">
      <c r="A141" s="2">
        <v>30</v>
      </c>
      <c r="B141" t="s">
        <v>43</v>
      </c>
      <c r="C141">
        <v>0</v>
      </c>
      <c r="D141" t="s">
        <v>36</v>
      </c>
      <c r="E141" t="s">
        <v>61</v>
      </c>
      <c r="F141">
        <v>9</v>
      </c>
      <c r="G141" t="s">
        <v>61</v>
      </c>
      <c r="H141" t="s">
        <v>211</v>
      </c>
      <c r="I141">
        <v>3</v>
      </c>
      <c r="J141" t="s">
        <v>46</v>
      </c>
      <c r="K141">
        <v>3</v>
      </c>
      <c r="L141">
        <v>2</v>
      </c>
      <c r="M141" t="s">
        <v>61</v>
      </c>
      <c r="N141">
        <v>4</v>
      </c>
      <c r="O141" t="s">
        <v>48</v>
      </c>
      <c r="P141" s="1">
        <v>6347</v>
      </c>
      <c r="Q141" t="s">
        <v>67</v>
      </c>
      <c r="R141" t="s">
        <v>35</v>
      </c>
      <c r="S141">
        <v>3</v>
      </c>
      <c r="T141">
        <v>12</v>
      </c>
      <c r="U141">
        <v>1</v>
      </c>
      <c r="V141">
        <v>11</v>
      </c>
      <c r="W141">
        <v>9</v>
      </c>
      <c r="X141">
        <v>4</v>
      </c>
      <c r="Y141">
        <v>7</v>
      </c>
      <c r="Z141" t="s">
        <v>1551</v>
      </c>
      <c r="AA141" t="s">
        <v>69</v>
      </c>
      <c r="AB141" t="str" cm="1">
        <f t="array" ref="AB141">_xlfn.IFS(cleaned_data[[#This Row],[YearsAtCompany]]&lt;=5, "0-5",cleaned_data[[#This Row],[YearsAtCompany]]&lt;=10,"6-10",TRUE,"10+")</f>
        <v>10+</v>
      </c>
    </row>
    <row r="142" spans="1:28" x14ac:dyDescent="0.3">
      <c r="A142" s="2">
        <v>32</v>
      </c>
      <c r="B142" t="s">
        <v>35</v>
      </c>
      <c r="C142">
        <v>1</v>
      </c>
      <c r="D142" t="s">
        <v>36</v>
      </c>
      <c r="E142" t="s">
        <v>45</v>
      </c>
      <c r="F142">
        <v>9</v>
      </c>
      <c r="G142" t="s">
        <v>51</v>
      </c>
      <c r="H142" t="s">
        <v>212</v>
      </c>
      <c r="I142">
        <v>1</v>
      </c>
      <c r="J142" t="s">
        <v>39</v>
      </c>
      <c r="K142">
        <v>3</v>
      </c>
      <c r="L142">
        <v>1</v>
      </c>
      <c r="M142" t="s">
        <v>50</v>
      </c>
      <c r="N142">
        <v>1</v>
      </c>
      <c r="O142" t="s">
        <v>41</v>
      </c>
      <c r="P142" s="6">
        <v>4200</v>
      </c>
      <c r="Q142" t="s">
        <v>72</v>
      </c>
      <c r="R142" t="s">
        <v>43</v>
      </c>
      <c r="S142">
        <v>4</v>
      </c>
      <c r="T142">
        <v>10</v>
      </c>
      <c r="U142">
        <v>4</v>
      </c>
      <c r="V142">
        <v>5</v>
      </c>
      <c r="W142">
        <v>4</v>
      </c>
      <c r="X142">
        <v>0</v>
      </c>
      <c r="Y142">
        <v>4</v>
      </c>
      <c r="Z142" t="s">
        <v>1551</v>
      </c>
      <c r="AA142" t="s">
        <v>69</v>
      </c>
      <c r="AB142" t="str" cm="1">
        <f t="array" ref="AB142">_xlfn.IFS(cleaned_data[[#This Row],[YearsAtCompany]]&lt;=5, "0-5",cleaned_data[[#This Row],[YearsAtCompany]]&lt;=10,"6-10",TRUE,"10+")</f>
        <v>0-5</v>
      </c>
    </row>
    <row r="143" spans="1:28" x14ac:dyDescent="0.3">
      <c r="A143" s="2">
        <v>45</v>
      </c>
      <c r="B143" t="s">
        <v>43</v>
      </c>
      <c r="C143">
        <v>0</v>
      </c>
      <c r="D143" t="s">
        <v>36</v>
      </c>
      <c r="E143" t="s">
        <v>45</v>
      </c>
      <c r="F143">
        <v>29</v>
      </c>
      <c r="G143" t="s">
        <v>51</v>
      </c>
      <c r="H143" t="s">
        <v>213</v>
      </c>
      <c r="I143">
        <v>3</v>
      </c>
      <c r="J143" t="s">
        <v>46</v>
      </c>
      <c r="K143">
        <v>3</v>
      </c>
      <c r="L143">
        <v>1</v>
      </c>
      <c r="M143" t="s">
        <v>47</v>
      </c>
      <c r="N143">
        <v>4</v>
      </c>
      <c r="O143" t="s">
        <v>41</v>
      </c>
      <c r="P143" s="1">
        <v>3452</v>
      </c>
      <c r="Q143" t="s">
        <v>72</v>
      </c>
      <c r="R143" t="s">
        <v>43</v>
      </c>
      <c r="S143">
        <v>3</v>
      </c>
      <c r="T143">
        <v>9</v>
      </c>
      <c r="U143">
        <v>2</v>
      </c>
      <c r="V143">
        <v>6</v>
      </c>
      <c r="W143">
        <v>5</v>
      </c>
      <c r="X143">
        <v>0</v>
      </c>
      <c r="Y143">
        <v>3</v>
      </c>
      <c r="Z143" t="s">
        <v>1550</v>
      </c>
      <c r="AA143" t="s">
        <v>69</v>
      </c>
      <c r="AB143" t="str" cm="1">
        <f t="array" ref="AB143">_xlfn.IFS(cleaned_data[[#This Row],[YearsAtCompany]]&lt;=5, "0-5",cleaned_data[[#This Row],[YearsAtCompany]]&lt;=10,"6-10",TRUE,"10+")</f>
        <v>6-10</v>
      </c>
    </row>
    <row r="144" spans="1:28" x14ac:dyDescent="0.3">
      <c r="A144" s="2">
        <v>38</v>
      </c>
      <c r="B144" t="s">
        <v>43</v>
      </c>
      <c r="C144">
        <v>0</v>
      </c>
      <c r="D144" t="s">
        <v>36</v>
      </c>
      <c r="E144" t="s">
        <v>45</v>
      </c>
      <c r="F144">
        <v>3</v>
      </c>
      <c r="G144" t="s">
        <v>60</v>
      </c>
      <c r="H144" t="s">
        <v>214</v>
      </c>
      <c r="I144">
        <v>4</v>
      </c>
      <c r="J144" t="s">
        <v>39</v>
      </c>
      <c r="K144">
        <v>3</v>
      </c>
      <c r="L144">
        <v>2</v>
      </c>
      <c r="M144" t="s">
        <v>47</v>
      </c>
      <c r="N144">
        <v>3</v>
      </c>
      <c r="O144" t="s">
        <v>41</v>
      </c>
      <c r="P144" s="1">
        <v>4317</v>
      </c>
      <c r="Q144" t="s">
        <v>72</v>
      </c>
      <c r="R144" t="s">
        <v>35</v>
      </c>
      <c r="S144">
        <v>4</v>
      </c>
      <c r="T144">
        <v>19</v>
      </c>
      <c r="U144">
        <v>3</v>
      </c>
      <c r="V144">
        <v>3</v>
      </c>
      <c r="W144">
        <v>2</v>
      </c>
      <c r="X144">
        <v>2</v>
      </c>
      <c r="Y144">
        <v>2</v>
      </c>
      <c r="Z144" t="s">
        <v>1550</v>
      </c>
      <c r="AA144" t="s">
        <v>82</v>
      </c>
      <c r="AB144" t="str" cm="1">
        <f t="array" ref="AB144">_xlfn.IFS(cleaned_data[[#This Row],[YearsAtCompany]]&lt;=5, "0-5",cleaned_data[[#This Row],[YearsAtCompany]]&lt;=10,"6-10",TRUE,"10+")</f>
        <v>0-5</v>
      </c>
    </row>
    <row r="145" spans="1:28" x14ac:dyDescent="0.3">
      <c r="A145" s="2">
        <v>30</v>
      </c>
      <c r="B145" t="s">
        <v>43</v>
      </c>
      <c r="C145">
        <v>0</v>
      </c>
      <c r="D145" t="s">
        <v>36</v>
      </c>
      <c r="E145" t="s">
        <v>45</v>
      </c>
      <c r="F145">
        <v>18</v>
      </c>
      <c r="G145" t="s">
        <v>38</v>
      </c>
      <c r="H145" t="s">
        <v>215</v>
      </c>
      <c r="I145">
        <v>1</v>
      </c>
      <c r="J145" t="s">
        <v>39</v>
      </c>
      <c r="K145">
        <v>3</v>
      </c>
      <c r="L145">
        <v>1</v>
      </c>
      <c r="M145" t="s">
        <v>47</v>
      </c>
      <c r="N145">
        <v>3</v>
      </c>
      <c r="O145" t="s">
        <v>41</v>
      </c>
      <c r="P145" s="1">
        <v>2632</v>
      </c>
      <c r="Q145" t="s">
        <v>72</v>
      </c>
      <c r="R145" t="s">
        <v>43</v>
      </c>
      <c r="S145">
        <v>3</v>
      </c>
      <c r="T145">
        <v>5</v>
      </c>
      <c r="U145">
        <v>2</v>
      </c>
      <c r="V145">
        <v>5</v>
      </c>
      <c r="W145">
        <v>4</v>
      </c>
      <c r="X145">
        <v>0</v>
      </c>
      <c r="Y145">
        <v>4</v>
      </c>
      <c r="Z145" t="s">
        <v>1551</v>
      </c>
      <c r="AA145" t="s">
        <v>78</v>
      </c>
      <c r="AB145" t="str" cm="1">
        <f t="array" ref="AB145">_xlfn.IFS(cleaned_data[[#This Row],[YearsAtCompany]]&lt;=5, "0-5",cleaned_data[[#This Row],[YearsAtCompany]]&lt;=10,"6-10",TRUE,"10+")</f>
        <v>0-5</v>
      </c>
    </row>
    <row r="146" spans="1:28" x14ac:dyDescent="0.3">
      <c r="A146" s="2">
        <v>32</v>
      </c>
      <c r="B146" t="s">
        <v>43</v>
      </c>
      <c r="C146">
        <v>0</v>
      </c>
      <c r="D146" t="s">
        <v>44</v>
      </c>
      <c r="E146" t="s">
        <v>37</v>
      </c>
      <c r="F146">
        <v>9</v>
      </c>
      <c r="G146" t="s">
        <v>51</v>
      </c>
      <c r="H146" t="s">
        <v>216</v>
      </c>
      <c r="I146">
        <v>4</v>
      </c>
      <c r="J146" t="s">
        <v>46</v>
      </c>
      <c r="K146">
        <v>1</v>
      </c>
      <c r="L146">
        <v>2</v>
      </c>
      <c r="M146" t="s">
        <v>40</v>
      </c>
      <c r="N146">
        <v>4</v>
      </c>
      <c r="O146" t="s">
        <v>52</v>
      </c>
      <c r="P146" s="1">
        <v>4668</v>
      </c>
      <c r="Q146" t="s">
        <v>72</v>
      </c>
      <c r="R146" t="s">
        <v>43</v>
      </c>
      <c r="S146">
        <v>3</v>
      </c>
      <c r="T146">
        <v>9</v>
      </c>
      <c r="U146">
        <v>4</v>
      </c>
      <c r="V146">
        <v>8</v>
      </c>
      <c r="W146">
        <v>7</v>
      </c>
      <c r="X146">
        <v>0</v>
      </c>
      <c r="Y146">
        <v>7</v>
      </c>
      <c r="Z146" t="s">
        <v>1551</v>
      </c>
      <c r="AA146" t="s">
        <v>69</v>
      </c>
      <c r="AB146" t="str" cm="1">
        <f t="array" ref="AB146">_xlfn.IFS(cleaned_data[[#This Row],[YearsAtCompany]]&lt;=5, "0-5",cleaned_data[[#This Row],[YearsAtCompany]]&lt;=10,"6-10",TRUE,"10+")</f>
        <v>6-10</v>
      </c>
    </row>
    <row r="147" spans="1:28" x14ac:dyDescent="0.3">
      <c r="A147" s="2">
        <v>30</v>
      </c>
      <c r="B147" t="s">
        <v>43</v>
      </c>
      <c r="C147">
        <v>0</v>
      </c>
      <c r="D147" t="s">
        <v>36</v>
      </c>
      <c r="E147" t="s">
        <v>45</v>
      </c>
      <c r="F147">
        <v>5</v>
      </c>
      <c r="G147" t="s">
        <v>60</v>
      </c>
      <c r="H147" t="s">
        <v>217</v>
      </c>
      <c r="I147">
        <v>4</v>
      </c>
      <c r="J147" t="s">
        <v>39</v>
      </c>
      <c r="K147">
        <v>3</v>
      </c>
      <c r="L147">
        <v>1</v>
      </c>
      <c r="M147" t="s">
        <v>47</v>
      </c>
      <c r="N147">
        <v>1</v>
      </c>
      <c r="O147" t="s">
        <v>52</v>
      </c>
      <c r="P147" s="6">
        <v>3204</v>
      </c>
      <c r="Q147" t="s">
        <v>72</v>
      </c>
      <c r="R147" t="s">
        <v>43</v>
      </c>
      <c r="S147">
        <v>3</v>
      </c>
      <c r="T147">
        <v>8</v>
      </c>
      <c r="U147">
        <v>3</v>
      </c>
      <c r="V147">
        <v>3</v>
      </c>
      <c r="W147">
        <v>2</v>
      </c>
      <c r="X147">
        <v>2</v>
      </c>
      <c r="Y147">
        <v>2</v>
      </c>
      <c r="Z147" t="s">
        <v>1551</v>
      </c>
      <c r="AA147" t="s">
        <v>69</v>
      </c>
      <c r="AB147" t="str" cm="1">
        <f t="array" ref="AB147">_xlfn.IFS(cleaned_data[[#This Row],[YearsAtCompany]]&lt;=5, "0-5",cleaned_data[[#This Row],[YearsAtCompany]]&lt;=10,"6-10",TRUE,"10+")</f>
        <v>0-5</v>
      </c>
    </row>
    <row r="148" spans="1:28" x14ac:dyDescent="0.3">
      <c r="A148" s="2">
        <v>30</v>
      </c>
      <c r="B148" t="s">
        <v>43</v>
      </c>
      <c r="C148">
        <v>0</v>
      </c>
      <c r="D148" t="s">
        <v>36</v>
      </c>
      <c r="E148" t="s">
        <v>45</v>
      </c>
      <c r="F148">
        <v>2</v>
      </c>
      <c r="G148" t="s">
        <v>51</v>
      </c>
      <c r="H148" t="s">
        <v>218</v>
      </c>
      <c r="I148">
        <v>2</v>
      </c>
      <c r="J148" t="s">
        <v>46</v>
      </c>
      <c r="K148">
        <v>2</v>
      </c>
      <c r="L148">
        <v>1</v>
      </c>
      <c r="M148" t="s">
        <v>50</v>
      </c>
      <c r="N148">
        <v>4</v>
      </c>
      <c r="O148" t="s">
        <v>41</v>
      </c>
      <c r="P148" s="1">
        <v>2720</v>
      </c>
      <c r="Q148" t="s">
        <v>72</v>
      </c>
      <c r="R148" t="s">
        <v>43</v>
      </c>
      <c r="S148">
        <v>3</v>
      </c>
      <c r="T148">
        <v>6</v>
      </c>
      <c r="U148">
        <v>3</v>
      </c>
      <c r="V148">
        <v>5</v>
      </c>
      <c r="W148">
        <v>3</v>
      </c>
      <c r="X148">
        <v>1</v>
      </c>
      <c r="Y148">
        <v>2</v>
      </c>
      <c r="Z148" t="s">
        <v>1551</v>
      </c>
      <c r="AA148" t="s">
        <v>69</v>
      </c>
      <c r="AB148" t="str" cm="1">
        <f t="array" ref="AB148">_xlfn.IFS(cleaned_data[[#This Row],[YearsAtCompany]]&lt;=5, "0-5",cleaned_data[[#This Row],[YearsAtCompany]]&lt;=10,"6-10",TRUE,"10+")</f>
        <v>0-5</v>
      </c>
    </row>
    <row r="149" spans="1:28" x14ac:dyDescent="0.3">
      <c r="A149" s="2">
        <v>41</v>
      </c>
      <c r="B149" t="s">
        <v>43</v>
      </c>
      <c r="C149">
        <v>0</v>
      </c>
      <c r="D149" t="s">
        <v>44</v>
      </c>
      <c r="E149" t="s">
        <v>45</v>
      </c>
      <c r="F149">
        <v>10</v>
      </c>
      <c r="G149" t="s">
        <v>38</v>
      </c>
      <c r="H149" t="s">
        <v>219</v>
      </c>
      <c r="I149">
        <v>4</v>
      </c>
      <c r="J149" t="s">
        <v>46</v>
      </c>
      <c r="K149">
        <v>2</v>
      </c>
      <c r="L149">
        <v>4</v>
      </c>
      <c r="M149" t="s">
        <v>56</v>
      </c>
      <c r="N149">
        <v>1</v>
      </c>
      <c r="O149" t="s">
        <v>52</v>
      </c>
      <c r="P149" s="6">
        <v>17181</v>
      </c>
      <c r="Q149" t="s">
        <v>90</v>
      </c>
      <c r="R149" t="s">
        <v>43</v>
      </c>
      <c r="S149">
        <v>3</v>
      </c>
      <c r="T149">
        <v>21</v>
      </c>
      <c r="U149">
        <v>2</v>
      </c>
      <c r="V149">
        <v>7</v>
      </c>
      <c r="W149">
        <v>6</v>
      </c>
      <c r="X149">
        <v>7</v>
      </c>
      <c r="Y149">
        <v>7</v>
      </c>
      <c r="Z149" t="s">
        <v>1550</v>
      </c>
      <c r="AA149" t="s">
        <v>82</v>
      </c>
      <c r="AB149" t="str" cm="1">
        <f t="array" ref="AB149">_xlfn.IFS(cleaned_data[[#This Row],[YearsAtCompany]]&lt;=5, "0-5",cleaned_data[[#This Row],[YearsAtCompany]]&lt;=10,"6-10",TRUE,"10+")</f>
        <v>6-10</v>
      </c>
    </row>
    <row r="150" spans="1:28" x14ac:dyDescent="0.3">
      <c r="A150" s="2">
        <v>41</v>
      </c>
      <c r="B150" t="s">
        <v>43</v>
      </c>
      <c r="C150">
        <v>0</v>
      </c>
      <c r="D150" t="s">
        <v>36</v>
      </c>
      <c r="E150" t="s">
        <v>45</v>
      </c>
      <c r="F150">
        <v>9</v>
      </c>
      <c r="G150" t="s">
        <v>38</v>
      </c>
      <c r="H150" t="s">
        <v>220</v>
      </c>
      <c r="I150">
        <v>3</v>
      </c>
      <c r="J150" t="s">
        <v>46</v>
      </c>
      <c r="K150">
        <v>3</v>
      </c>
      <c r="L150">
        <v>1</v>
      </c>
      <c r="M150" t="s">
        <v>50</v>
      </c>
      <c r="N150">
        <v>1</v>
      </c>
      <c r="O150" t="s">
        <v>48</v>
      </c>
      <c r="P150" s="6">
        <v>2238</v>
      </c>
      <c r="Q150" t="s">
        <v>72</v>
      </c>
      <c r="R150" t="s">
        <v>43</v>
      </c>
      <c r="S150">
        <v>4</v>
      </c>
      <c r="T150">
        <v>7</v>
      </c>
      <c r="U150">
        <v>3</v>
      </c>
      <c r="V150">
        <v>5</v>
      </c>
      <c r="W150">
        <v>0</v>
      </c>
      <c r="X150">
        <v>1</v>
      </c>
      <c r="Y150">
        <v>4</v>
      </c>
      <c r="Z150" t="s">
        <v>1550</v>
      </c>
      <c r="AA150" t="s">
        <v>69</v>
      </c>
      <c r="AB150" t="str" cm="1">
        <f t="array" ref="AB150">_xlfn.IFS(cleaned_data[[#This Row],[YearsAtCompany]]&lt;=5, "0-5",cleaned_data[[#This Row],[YearsAtCompany]]&lt;=10,"6-10",TRUE,"10+")</f>
        <v>0-5</v>
      </c>
    </row>
    <row r="151" spans="1:28" x14ac:dyDescent="0.3">
      <c r="A151" s="2">
        <v>19</v>
      </c>
      <c r="B151" t="s">
        <v>43</v>
      </c>
      <c r="C151">
        <v>0</v>
      </c>
      <c r="D151" t="s">
        <v>36</v>
      </c>
      <c r="E151" t="s">
        <v>45</v>
      </c>
      <c r="F151">
        <v>3</v>
      </c>
      <c r="G151" t="s">
        <v>51</v>
      </c>
      <c r="H151" t="s">
        <v>221</v>
      </c>
      <c r="I151">
        <v>2</v>
      </c>
      <c r="J151" t="s">
        <v>39</v>
      </c>
      <c r="K151">
        <v>3</v>
      </c>
      <c r="L151">
        <v>1</v>
      </c>
      <c r="M151" t="s">
        <v>50</v>
      </c>
      <c r="N151">
        <v>2</v>
      </c>
      <c r="O151" t="s">
        <v>41</v>
      </c>
      <c r="P151" s="1">
        <v>1483</v>
      </c>
      <c r="Q151" t="s">
        <v>72</v>
      </c>
      <c r="R151" t="s">
        <v>43</v>
      </c>
      <c r="S151">
        <v>3</v>
      </c>
      <c r="T151">
        <v>1</v>
      </c>
      <c r="U151">
        <v>3</v>
      </c>
      <c r="V151">
        <v>1</v>
      </c>
      <c r="W151">
        <v>0</v>
      </c>
      <c r="X151">
        <v>0</v>
      </c>
      <c r="Y151">
        <v>0</v>
      </c>
      <c r="Z151" t="s">
        <v>68</v>
      </c>
      <c r="AA151" t="s">
        <v>78</v>
      </c>
      <c r="AB151" t="str" cm="1">
        <f t="array" ref="AB151">_xlfn.IFS(cleaned_data[[#This Row],[YearsAtCompany]]&lt;=5, "0-5",cleaned_data[[#This Row],[YearsAtCompany]]&lt;=10,"6-10",TRUE,"10+")</f>
        <v>0-5</v>
      </c>
    </row>
    <row r="152" spans="1:28" x14ac:dyDescent="0.3">
      <c r="A152" s="2">
        <v>40</v>
      </c>
      <c r="B152" t="s">
        <v>43</v>
      </c>
      <c r="C152">
        <v>0</v>
      </c>
      <c r="D152" t="s">
        <v>44</v>
      </c>
      <c r="E152" t="s">
        <v>45</v>
      </c>
      <c r="F152">
        <v>26</v>
      </c>
      <c r="G152" t="s">
        <v>51</v>
      </c>
      <c r="H152" t="s">
        <v>222</v>
      </c>
      <c r="I152">
        <v>2</v>
      </c>
      <c r="J152" t="s">
        <v>39</v>
      </c>
      <c r="K152">
        <v>3</v>
      </c>
      <c r="L152">
        <v>2</v>
      </c>
      <c r="M152" t="s">
        <v>47</v>
      </c>
      <c r="N152">
        <v>2</v>
      </c>
      <c r="O152" t="s">
        <v>52</v>
      </c>
      <c r="P152" s="1">
        <v>5605</v>
      </c>
      <c r="Q152" t="s">
        <v>67</v>
      </c>
      <c r="R152" t="s">
        <v>43</v>
      </c>
      <c r="S152">
        <v>3</v>
      </c>
      <c r="T152">
        <v>20</v>
      </c>
      <c r="U152">
        <v>3</v>
      </c>
      <c r="V152">
        <v>20</v>
      </c>
      <c r="W152">
        <v>7</v>
      </c>
      <c r="X152">
        <v>2</v>
      </c>
      <c r="Y152">
        <v>13</v>
      </c>
      <c r="Z152" t="s">
        <v>1550</v>
      </c>
      <c r="AA152" t="s">
        <v>82</v>
      </c>
      <c r="AB152" t="str" cm="1">
        <f t="array" ref="AB152">_xlfn.IFS(cleaned_data[[#This Row],[YearsAtCompany]]&lt;=5, "0-5",cleaned_data[[#This Row],[YearsAtCompany]]&lt;=10,"6-10",TRUE,"10+")</f>
        <v>10+</v>
      </c>
    </row>
    <row r="153" spans="1:28" x14ac:dyDescent="0.3">
      <c r="A153" s="2">
        <v>35</v>
      </c>
      <c r="B153" t="s">
        <v>43</v>
      </c>
      <c r="C153">
        <v>0</v>
      </c>
      <c r="D153" t="s">
        <v>36</v>
      </c>
      <c r="E153" t="s">
        <v>37</v>
      </c>
      <c r="F153">
        <v>1</v>
      </c>
      <c r="G153" t="s">
        <v>59</v>
      </c>
      <c r="H153" t="s">
        <v>223</v>
      </c>
      <c r="I153">
        <v>3</v>
      </c>
      <c r="J153" t="s">
        <v>46</v>
      </c>
      <c r="K153">
        <v>3</v>
      </c>
      <c r="L153">
        <v>3</v>
      </c>
      <c r="M153" t="s">
        <v>40</v>
      </c>
      <c r="N153">
        <v>2</v>
      </c>
      <c r="O153" t="s">
        <v>48</v>
      </c>
      <c r="P153" s="1">
        <v>7295</v>
      </c>
      <c r="Q153" t="s">
        <v>67</v>
      </c>
      <c r="R153" t="s">
        <v>43</v>
      </c>
      <c r="S153">
        <v>3</v>
      </c>
      <c r="T153">
        <v>10</v>
      </c>
      <c r="U153">
        <v>3</v>
      </c>
      <c r="V153">
        <v>10</v>
      </c>
      <c r="W153">
        <v>8</v>
      </c>
      <c r="X153">
        <v>0</v>
      </c>
      <c r="Y153">
        <v>6</v>
      </c>
      <c r="Z153" t="s">
        <v>1551</v>
      </c>
      <c r="AA153" t="s">
        <v>69</v>
      </c>
      <c r="AB153" t="str" cm="1">
        <f t="array" ref="AB153">_xlfn.IFS(cleaned_data[[#This Row],[YearsAtCompany]]&lt;=5, "0-5",cleaned_data[[#This Row],[YearsAtCompany]]&lt;=10,"6-10",TRUE,"10+")</f>
        <v>6-10</v>
      </c>
    </row>
    <row r="154" spans="1:28" x14ac:dyDescent="0.3">
      <c r="A154" s="2">
        <v>53</v>
      </c>
      <c r="B154" t="s">
        <v>43</v>
      </c>
      <c r="C154">
        <v>0</v>
      </c>
      <c r="D154" t="s">
        <v>36</v>
      </c>
      <c r="E154" t="s">
        <v>37</v>
      </c>
      <c r="F154">
        <v>6</v>
      </c>
      <c r="G154" t="s">
        <v>59</v>
      </c>
      <c r="H154" t="s">
        <v>224</v>
      </c>
      <c r="I154">
        <v>2</v>
      </c>
      <c r="J154" t="s">
        <v>46</v>
      </c>
      <c r="K154">
        <v>3</v>
      </c>
      <c r="L154">
        <v>2</v>
      </c>
      <c r="M154" t="s">
        <v>57</v>
      </c>
      <c r="N154">
        <v>3</v>
      </c>
      <c r="O154" t="s">
        <v>48</v>
      </c>
      <c r="P154" s="1">
        <v>2306</v>
      </c>
      <c r="Q154" t="s">
        <v>72</v>
      </c>
      <c r="R154" t="s">
        <v>35</v>
      </c>
      <c r="S154">
        <v>4</v>
      </c>
      <c r="T154">
        <v>13</v>
      </c>
      <c r="U154">
        <v>1</v>
      </c>
      <c r="V154">
        <v>7</v>
      </c>
      <c r="W154">
        <v>7</v>
      </c>
      <c r="X154">
        <v>4</v>
      </c>
      <c r="Y154">
        <v>5</v>
      </c>
      <c r="Z154" t="s">
        <v>106</v>
      </c>
      <c r="AA154" t="s">
        <v>69</v>
      </c>
      <c r="AB154" t="str" cm="1">
        <f t="array" ref="AB154">_xlfn.IFS(cleaned_data[[#This Row],[YearsAtCompany]]&lt;=5, "0-5",cleaned_data[[#This Row],[YearsAtCompany]]&lt;=10,"6-10",TRUE,"10+")</f>
        <v>6-10</v>
      </c>
    </row>
    <row r="155" spans="1:28" x14ac:dyDescent="0.3">
      <c r="A155" s="2">
        <v>45</v>
      </c>
      <c r="B155" t="s">
        <v>43</v>
      </c>
      <c r="C155">
        <v>0</v>
      </c>
      <c r="D155" t="s">
        <v>36</v>
      </c>
      <c r="E155" t="s">
        <v>45</v>
      </c>
      <c r="F155">
        <v>9</v>
      </c>
      <c r="G155" t="s">
        <v>38</v>
      </c>
      <c r="H155" t="s">
        <v>225</v>
      </c>
      <c r="I155">
        <v>2</v>
      </c>
      <c r="J155" t="s">
        <v>46</v>
      </c>
      <c r="K155">
        <v>3</v>
      </c>
      <c r="L155">
        <v>2</v>
      </c>
      <c r="M155" t="s">
        <v>50</v>
      </c>
      <c r="N155">
        <v>2</v>
      </c>
      <c r="O155" t="s">
        <v>52</v>
      </c>
      <c r="P155" s="1">
        <v>2348</v>
      </c>
      <c r="Q155" t="s">
        <v>72</v>
      </c>
      <c r="R155" t="s">
        <v>43</v>
      </c>
      <c r="S155">
        <v>3</v>
      </c>
      <c r="T155">
        <v>20</v>
      </c>
      <c r="U155">
        <v>1</v>
      </c>
      <c r="V155">
        <v>17</v>
      </c>
      <c r="W155">
        <v>9</v>
      </c>
      <c r="X155">
        <v>0</v>
      </c>
      <c r="Y155">
        <v>15</v>
      </c>
      <c r="Z155" t="s">
        <v>1550</v>
      </c>
      <c r="AA155" t="s">
        <v>82</v>
      </c>
      <c r="AB155" t="str" cm="1">
        <f t="array" ref="AB155">_xlfn.IFS(cleaned_data[[#This Row],[YearsAtCompany]]&lt;=5, "0-5",cleaned_data[[#This Row],[YearsAtCompany]]&lt;=10,"6-10",TRUE,"10+")</f>
        <v>10+</v>
      </c>
    </row>
    <row r="156" spans="1:28" x14ac:dyDescent="0.3">
      <c r="A156" s="2">
        <v>32</v>
      </c>
      <c r="B156" t="s">
        <v>43</v>
      </c>
      <c r="C156">
        <v>0</v>
      </c>
      <c r="D156" t="s">
        <v>44</v>
      </c>
      <c r="E156" t="s">
        <v>37</v>
      </c>
      <c r="F156">
        <v>8</v>
      </c>
      <c r="G156" t="s">
        <v>59</v>
      </c>
      <c r="H156" t="s">
        <v>226</v>
      </c>
      <c r="I156">
        <v>2</v>
      </c>
      <c r="J156" t="s">
        <v>39</v>
      </c>
      <c r="K156">
        <v>3</v>
      </c>
      <c r="L156">
        <v>3</v>
      </c>
      <c r="M156" t="s">
        <v>40</v>
      </c>
      <c r="N156">
        <v>4</v>
      </c>
      <c r="O156" t="s">
        <v>41</v>
      </c>
      <c r="P156" s="1">
        <v>8998</v>
      </c>
      <c r="Q156" t="s">
        <v>67</v>
      </c>
      <c r="R156" t="s">
        <v>43</v>
      </c>
      <c r="S156">
        <v>3</v>
      </c>
      <c r="T156">
        <v>9</v>
      </c>
      <c r="U156">
        <v>3</v>
      </c>
      <c r="V156">
        <v>9</v>
      </c>
      <c r="W156">
        <v>8</v>
      </c>
      <c r="X156">
        <v>3</v>
      </c>
      <c r="Y156">
        <v>7</v>
      </c>
      <c r="Z156" t="s">
        <v>1551</v>
      </c>
      <c r="AA156" t="s">
        <v>69</v>
      </c>
      <c r="AB156" t="str" cm="1">
        <f t="array" ref="AB156">_xlfn.IFS(cleaned_data[[#This Row],[YearsAtCompany]]&lt;=5, "0-5",cleaned_data[[#This Row],[YearsAtCompany]]&lt;=10,"6-10",TRUE,"10+")</f>
        <v>6-10</v>
      </c>
    </row>
    <row r="157" spans="1:28" x14ac:dyDescent="0.3">
      <c r="A157" s="2">
        <v>29</v>
      </c>
      <c r="B157" t="s">
        <v>43</v>
      </c>
      <c r="C157">
        <v>0</v>
      </c>
      <c r="D157" t="s">
        <v>55</v>
      </c>
      <c r="E157" t="s">
        <v>45</v>
      </c>
      <c r="F157">
        <v>1</v>
      </c>
      <c r="G157" t="s">
        <v>60</v>
      </c>
      <c r="H157" t="s">
        <v>227</v>
      </c>
      <c r="I157">
        <v>4</v>
      </c>
      <c r="J157" t="s">
        <v>46</v>
      </c>
      <c r="K157">
        <v>3</v>
      </c>
      <c r="L157">
        <v>2</v>
      </c>
      <c r="M157" t="s">
        <v>53</v>
      </c>
      <c r="N157">
        <v>3</v>
      </c>
      <c r="O157" t="s">
        <v>48</v>
      </c>
      <c r="P157" s="1">
        <v>4319</v>
      </c>
      <c r="Q157" t="s">
        <v>72</v>
      </c>
      <c r="R157" t="s">
        <v>43</v>
      </c>
      <c r="S157">
        <v>3</v>
      </c>
      <c r="T157">
        <v>10</v>
      </c>
      <c r="U157">
        <v>3</v>
      </c>
      <c r="V157">
        <v>10</v>
      </c>
      <c r="W157">
        <v>7</v>
      </c>
      <c r="X157">
        <v>0</v>
      </c>
      <c r="Y157">
        <v>9</v>
      </c>
      <c r="Z157" t="s">
        <v>1551</v>
      </c>
      <c r="AA157" t="s">
        <v>69</v>
      </c>
      <c r="AB157" t="str" cm="1">
        <f t="array" ref="AB157">_xlfn.IFS(cleaned_data[[#This Row],[YearsAtCompany]]&lt;=5, "0-5",cleaned_data[[#This Row],[YearsAtCompany]]&lt;=10,"6-10",TRUE,"10+")</f>
        <v>6-10</v>
      </c>
    </row>
    <row r="158" spans="1:28" x14ac:dyDescent="0.3">
      <c r="A158" s="2">
        <v>51</v>
      </c>
      <c r="B158" t="s">
        <v>43</v>
      </c>
      <c r="C158">
        <v>0</v>
      </c>
      <c r="D158" t="s">
        <v>36</v>
      </c>
      <c r="E158" t="s">
        <v>45</v>
      </c>
      <c r="F158">
        <v>7</v>
      </c>
      <c r="G158" t="s">
        <v>51</v>
      </c>
      <c r="H158" t="s">
        <v>228</v>
      </c>
      <c r="I158">
        <v>2</v>
      </c>
      <c r="J158" t="s">
        <v>46</v>
      </c>
      <c r="K158">
        <v>2</v>
      </c>
      <c r="L158">
        <v>2</v>
      </c>
      <c r="M158" t="s">
        <v>53</v>
      </c>
      <c r="N158">
        <v>3</v>
      </c>
      <c r="O158" t="s">
        <v>48</v>
      </c>
      <c r="P158" s="1">
        <v>6132</v>
      </c>
      <c r="Q158" t="s">
        <v>67</v>
      </c>
      <c r="R158" t="s">
        <v>43</v>
      </c>
      <c r="S158">
        <v>3</v>
      </c>
      <c r="T158">
        <v>10</v>
      </c>
      <c r="U158">
        <v>3</v>
      </c>
      <c r="V158">
        <v>1</v>
      </c>
      <c r="W158">
        <v>0</v>
      </c>
      <c r="X158">
        <v>0</v>
      </c>
      <c r="Y158">
        <v>0</v>
      </c>
      <c r="Z158" t="s">
        <v>106</v>
      </c>
      <c r="AA158" t="s">
        <v>69</v>
      </c>
      <c r="AB158" t="str" cm="1">
        <f t="array" ref="AB158">_xlfn.IFS(cleaned_data[[#This Row],[YearsAtCompany]]&lt;=5, "0-5",cleaned_data[[#This Row],[YearsAtCompany]]&lt;=10,"6-10",TRUE,"10+")</f>
        <v>0-5</v>
      </c>
    </row>
    <row r="159" spans="1:28" x14ac:dyDescent="0.3">
      <c r="A159" s="2">
        <v>58</v>
      </c>
      <c r="B159" t="s">
        <v>43</v>
      </c>
      <c r="C159">
        <v>0</v>
      </c>
      <c r="D159" t="s">
        <v>36</v>
      </c>
      <c r="E159" t="s">
        <v>45</v>
      </c>
      <c r="F159">
        <v>9</v>
      </c>
      <c r="G159" t="s">
        <v>51</v>
      </c>
      <c r="H159" t="s">
        <v>229</v>
      </c>
      <c r="I159">
        <v>2</v>
      </c>
      <c r="J159" t="s">
        <v>39</v>
      </c>
      <c r="K159">
        <v>2</v>
      </c>
      <c r="L159">
        <v>1</v>
      </c>
      <c r="M159" t="s">
        <v>47</v>
      </c>
      <c r="N159">
        <v>2</v>
      </c>
      <c r="O159" t="s">
        <v>48</v>
      </c>
      <c r="P159" s="1">
        <v>3346</v>
      </c>
      <c r="Q159" t="s">
        <v>72</v>
      </c>
      <c r="R159" t="s">
        <v>35</v>
      </c>
      <c r="S159">
        <v>4</v>
      </c>
      <c r="T159">
        <v>9</v>
      </c>
      <c r="U159">
        <v>2</v>
      </c>
      <c r="V159">
        <v>1</v>
      </c>
      <c r="W159">
        <v>0</v>
      </c>
      <c r="X159">
        <v>0</v>
      </c>
      <c r="Y159">
        <v>0</v>
      </c>
      <c r="Z159" t="s">
        <v>106</v>
      </c>
      <c r="AA159" t="s">
        <v>69</v>
      </c>
      <c r="AB159" t="str" cm="1">
        <f t="array" ref="AB159">_xlfn.IFS(cleaned_data[[#This Row],[YearsAtCompany]]&lt;=5, "0-5",cleaned_data[[#This Row],[YearsAtCompany]]&lt;=10,"6-10",TRUE,"10+")</f>
        <v>0-5</v>
      </c>
    </row>
    <row r="160" spans="1:28" x14ac:dyDescent="0.3">
      <c r="A160" s="2">
        <v>40</v>
      </c>
      <c r="B160" t="s">
        <v>43</v>
      </c>
      <c r="C160">
        <v>0</v>
      </c>
      <c r="D160" t="s">
        <v>36</v>
      </c>
      <c r="E160" t="s">
        <v>37</v>
      </c>
      <c r="F160">
        <v>4</v>
      </c>
      <c r="G160" t="s">
        <v>59</v>
      </c>
      <c r="H160" t="s">
        <v>230</v>
      </c>
      <c r="I160">
        <v>3</v>
      </c>
      <c r="J160" t="s">
        <v>46</v>
      </c>
      <c r="K160">
        <v>2</v>
      </c>
      <c r="L160">
        <v>3</v>
      </c>
      <c r="M160" t="s">
        <v>40</v>
      </c>
      <c r="N160">
        <v>4</v>
      </c>
      <c r="O160" t="s">
        <v>48</v>
      </c>
      <c r="P160" s="1">
        <v>10855</v>
      </c>
      <c r="Q160" t="s">
        <v>67</v>
      </c>
      <c r="R160" t="s">
        <v>43</v>
      </c>
      <c r="S160">
        <v>3</v>
      </c>
      <c r="T160">
        <v>15</v>
      </c>
      <c r="U160">
        <v>2</v>
      </c>
      <c r="V160">
        <v>12</v>
      </c>
      <c r="W160">
        <v>11</v>
      </c>
      <c r="X160">
        <v>2</v>
      </c>
      <c r="Y160">
        <v>11</v>
      </c>
      <c r="Z160" t="s">
        <v>1550</v>
      </c>
      <c r="AA160" t="s">
        <v>69</v>
      </c>
      <c r="AB160" t="str" cm="1">
        <f t="array" ref="AB160">_xlfn.IFS(cleaned_data[[#This Row],[YearsAtCompany]]&lt;=5, "0-5",cleaned_data[[#This Row],[YearsAtCompany]]&lt;=10,"6-10",TRUE,"10+")</f>
        <v>10+</v>
      </c>
    </row>
    <row r="161" spans="1:28" x14ac:dyDescent="0.3">
      <c r="A161" s="2">
        <v>34</v>
      </c>
      <c r="B161" t="s">
        <v>43</v>
      </c>
      <c r="C161">
        <v>0</v>
      </c>
      <c r="D161" t="s">
        <v>44</v>
      </c>
      <c r="E161" t="s">
        <v>37</v>
      </c>
      <c r="F161">
        <v>2</v>
      </c>
      <c r="G161" t="s">
        <v>59</v>
      </c>
      <c r="H161" t="s">
        <v>231</v>
      </c>
      <c r="I161">
        <v>3</v>
      </c>
      <c r="J161" t="s">
        <v>39</v>
      </c>
      <c r="K161">
        <v>3</v>
      </c>
      <c r="L161">
        <v>1</v>
      </c>
      <c r="M161" t="s">
        <v>57</v>
      </c>
      <c r="N161">
        <v>3</v>
      </c>
      <c r="O161" t="s">
        <v>48</v>
      </c>
      <c r="P161" s="1">
        <v>2231</v>
      </c>
      <c r="Q161" t="s">
        <v>72</v>
      </c>
      <c r="R161" t="s">
        <v>43</v>
      </c>
      <c r="S161">
        <v>3</v>
      </c>
      <c r="T161">
        <v>6</v>
      </c>
      <c r="U161">
        <v>3</v>
      </c>
      <c r="V161">
        <v>4</v>
      </c>
      <c r="W161">
        <v>3</v>
      </c>
      <c r="X161">
        <v>1</v>
      </c>
      <c r="Y161">
        <v>2</v>
      </c>
      <c r="Z161" t="s">
        <v>1551</v>
      </c>
      <c r="AA161" t="s">
        <v>69</v>
      </c>
      <c r="AB161" t="str" cm="1">
        <f t="array" ref="AB161">_xlfn.IFS(cleaned_data[[#This Row],[YearsAtCompany]]&lt;=5, "0-5",cleaned_data[[#This Row],[YearsAtCompany]]&lt;=10,"6-10",TRUE,"10+")</f>
        <v>0-5</v>
      </c>
    </row>
    <row r="162" spans="1:28" x14ac:dyDescent="0.3">
      <c r="A162" s="2">
        <v>22</v>
      </c>
      <c r="B162" t="s">
        <v>43</v>
      </c>
      <c r="C162">
        <v>0</v>
      </c>
      <c r="D162" t="s">
        <v>36</v>
      </c>
      <c r="E162" t="s">
        <v>45</v>
      </c>
      <c r="F162">
        <v>19</v>
      </c>
      <c r="G162" t="s">
        <v>51</v>
      </c>
      <c r="H162" t="s">
        <v>232</v>
      </c>
      <c r="I162">
        <v>3</v>
      </c>
      <c r="J162" t="s">
        <v>46</v>
      </c>
      <c r="K162">
        <v>3</v>
      </c>
      <c r="L162">
        <v>1</v>
      </c>
      <c r="M162" t="s">
        <v>47</v>
      </c>
      <c r="N162">
        <v>4</v>
      </c>
      <c r="O162" t="s">
        <v>48</v>
      </c>
      <c r="P162" s="1">
        <v>2323</v>
      </c>
      <c r="Q162" t="s">
        <v>72</v>
      </c>
      <c r="R162" t="s">
        <v>43</v>
      </c>
      <c r="S162">
        <v>4</v>
      </c>
      <c r="T162">
        <v>2</v>
      </c>
      <c r="U162">
        <v>3</v>
      </c>
      <c r="V162">
        <v>2</v>
      </c>
      <c r="W162">
        <v>2</v>
      </c>
      <c r="X162">
        <v>2</v>
      </c>
      <c r="Y162">
        <v>2</v>
      </c>
      <c r="Z162" t="s">
        <v>68</v>
      </c>
      <c r="AA162" t="s">
        <v>78</v>
      </c>
      <c r="AB162" t="str" cm="1">
        <f t="array" ref="AB162">_xlfn.IFS(cleaned_data[[#This Row],[YearsAtCompany]]&lt;=5, "0-5",cleaned_data[[#This Row],[YearsAtCompany]]&lt;=10,"6-10",TRUE,"10+")</f>
        <v>0-5</v>
      </c>
    </row>
    <row r="163" spans="1:28" x14ac:dyDescent="0.3">
      <c r="A163" s="2">
        <v>27</v>
      </c>
      <c r="B163" t="s">
        <v>43</v>
      </c>
      <c r="C163">
        <v>0</v>
      </c>
      <c r="D163" t="s">
        <v>55</v>
      </c>
      <c r="E163" t="s">
        <v>45</v>
      </c>
      <c r="F163">
        <v>9</v>
      </c>
      <c r="G163" t="s">
        <v>51</v>
      </c>
      <c r="H163" t="s">
        <v>233</v>
      </c>
      <c r="I163">
        <v>4</v>
      </c>
      <c r="J163" t="s">
        <v>46</v>
      </c>
      <c r="K163">
        <v>3</v>
      </c>
      <c r="L163">
        <v>1</v>
      </c>
      <c r="M163" t="s">
        <v>47</v>
      </c>
      <c r="N163">
        <v>2</v>
      </c>
      <c r="O163" t="s">
        <v>52</v>
      </c>
      <c r="P163" s="1">
        <v>2024</v>
      </c>
      <c r="Q163" t="s">
        <v>72</v>
      </c>
      <c r="R163" t="s">
        <v>43</v>
      </c>
      <c r="S163">
        <v>3</v>
      </c>
      <c r="T163">
        <v>6</v>
      </c>
      <c r="U163">
        <v>1</v>
      </c>
      <c r="V163">
        <v>2</v>
      </c>
      <c r="W163">
        <v>2</v>
      </c>
      <c r="X163">
        <v>2</v>
      </c>
      <c r="Y163">
        <v>2</v>
      </c>
      <c r="Z163" t="s">
        <v>1551</v>
      </c>
      <c r="AA163" t="s">
        <v>69</v>
      </c>
      <c r="AB163" t="str" cm="1">
        <f t="array" ref="AB163">_xlfn.IFS(cleaned_data[[#This Row],[YearsAtCompany]]&lt;=5, "0-5",cleaned_data[[#This Row],[YearsAtCompany]]&lt;=10,"6-10",TRUE,"10+")</f>
        <v>0-5</v>
      </c>
    </row>
    <row r="164" spans="1:28" x14ac:dyDescent="0.3">
      <c r="A164" s="2">
        <v>28</v>
      </c>
      <c r="B164" t="s">
        <v>43</v>
      </c>
      <c r="C164">
        <v>0</v>
      </c>
      <c r="D164" t="s">
        <v>36</v>
      </c>
      <c r="E164" t="s">
        <v>45</v>
      </c>
      <c r="F164">
        <v>21</v>
      </c>
      <c r="G164" t="s">
        <v>51</v>
      </c>
      <c r="H164" t="s">
        <v>234</v>
      </c>
      <c r="I164">
        <v>3</v>
      </c>
      <c r="J164" t="s">
        <v>46</v>
      </c>
      <c r="K164">
        <v>3</v>
      </c>
      <c r="L164">
        <v>1</v>
      </c>
      <c r="M164" t="s">
        <v>47</v>
      </c>
      <c r="N164">
        <v>4</v>
      </c>
      <c r="O164" t="s">
        <v>48</v>
      </c>
      <c r="P164" s="1">
        <v>2713</v>
      </c>
      <c r="Q164" t="s">
        <v>72</v>
      </c>
      <c r="R164" t="s">
        <v>43</v>
      </c>
      <c r="S164">
        <v>3</v>
      </c>
      <c r="T164">
        <v>5</v>
      </c>
      <c r="U164">
        <v>1</v>
      </c>
      <c r="V164">
        <v>5</v>
      </c>
      <c r="W164">
        <v>2</v>
      </c>
      <c r="X164">
        <v>0</v>
      </c>
      <c r="Y164">
        <v>2</v>
      </c>
      <c r="Z164" t="s">
        <v>1551</v>
      </c>
      <c r="AA164" t="s">
        <v>78</v>
      </c>
      <c r="AB164" t="str" cm="1">
        <f t="array" ref="AB164">_xlfn.IFS(cleaned_data[[#This Row],[YearsAtCompany]]&lt;=5, "0-5",cleaned_data[[#This Row],[YearsAtCompany]]&lt;=10,"6-10",TRUE,"10+")</f>
        <v>0-5</v>
      </c>
    </row>
    <row r="165" spans="1:28" x14ac:dyDescent="0.3">
      <c r="A165" s="2">
        <v>57</v>
      </c>
      <c r="B165" t="s">
        <v>43</v>
      </c>
      <c r="C165">
        <v>0</v>
      </c>
      <c r="D165" t="s">
        <v>36</v>
      </c>
      <c r="E165" t="s">
        <v>45</v>
      </c>
      <c r="F165">
        <v>24</v>
      </c>
      <c r="G165" t="s">
        <v>38</v>
      </c>
      <c r="H165" t="s">
        <v>235</v>
      </c>
      <c r="I165">
        <v>3</v>
      </c>
      <c r="J165" t="s">
        <v>46</v>
      </c>
      <c r="K165">
        <v>4</v>
      </c>
      <c r="L165">
        <v>3</v>
      </c>
      <c r="M165" t="s">
        <v>54</v>
      </c>
      <c r="N165">
        <v>4</v>
      </c>
      <c r="O165" t="s">
        <v>52</v>
      </c>
      <c r="P165" s="1">
        <v>9439</v>
      </c>
      <c r="Q165" t="s">
        <v>67</v>
      </c>
      <c r="R165" t="s">
        <v>35</v>
      </c>
      <c r="S165">
        <v>3</v>
      </c>
      <c r="T165">
        <v>12</v>
      </c>
      <c r="U165">
        <v>1</v>
      </c>
      <c r="V165">
        <v>5</v>
      </c>
      <c r="W165">
        <v>3</v>
      </c>
      <c r="X165">
        <v>1</v>
      </c>
      <c r="Y165">
        <v>4</v>
      </c>
      <c r="Z165" t="s">
        <v>106</v>
      </c>
      <c r="AA165" t="s">
        <v>69</v>
      </c>
      <c r="AB165" t="str" cm="1">
        <f t="array" ref="AB165">_xlfn.IFS(cleaned_data[[#This Row],[YearsAtCompany]]&lt;=5, "0-5",cleaned_data[[#This Row],[YearsAtCompany]]&lt;=10,"6-10",TRUE,"10+")</f>
        <v>0-5</v>
      </c>
    </row>
    <row r="166" spans="1:28" x14ac:dyDescent="0.3">
      <c r="A166" s="2">
        <v>27</v>
      </c>
      <c r="B166" t="s">
        <v>43</v>
      </c>
      <c r="C166">
        <v>0</v>
      </c>
      <c r="D166" t="s">
        <v>55</v>
      </c>
      <c r="E166" t="s">
        <v>45</v>
      </c>
      <c r="F166">
        <v>3</v>
      </c>
      <c r="G166" t="s">
        <v>51</v>
      </c>
      <c r="H166" t="s">
        <v>236</v>
      </c>
      <c r="I166">
        <v>3</v>
      </c>
      <c r="J166" t="s">
        <v>46</v>
      </c>
      <c r="K166">
        <v>2</v>
      </c>
      <c r="L166">
        <v>1</v>
      </c>
      <c r="M166" t="s">
        <v>47</v>
      </c>
      <c r="N166">
        <v>3</v>
      </c>
      <c r="O166" t="s">
        <v>52</v>
      </c>
      <c r="P166" s="1">
        <v>2566</v>
      </c>
      <c r="Q166" t="s">
        <v>72</v>
      </c>
      <c r="R166" t="s">
        <v>35</v>
      </c>
      <c r="S166">
        <v>3</v>
      </c>
      <c r="T166">
        <v>1</v>
      </c>
      <c r="U166">
        <v>2</v>
      </c>
      <c r="V166">
        <v>1</v>
      </c>
      <c r="W166">
        <v>1</v>
      </c>
      <c r="X166">
        <v>0</v>
      </c>
      <c r="Y166">
        <v>1</v>
      </c>
      <c r="Z166" t="s">
        <v>1551</v>
      </c>
      <c r="AA166" t="s">
        <v>78</v>
      </c>
      <c r="AB166" t="str" cm="1">
        <f t="array" ref="AB166">_xlfn.IFS(cleaned_data[[#This Row],[YearsAtCompany]]&lt;=5, "0-5",cleaned_data[[#This Row],[YearsAtCompany]]&lt;=10,"6-10",TRUE,"10+")</f>
        <v>0-5</v>
      </c>
    </row>
    <row r="167" spans="1:28" x14ac:dyDescent="0.3">
      <c r="A167" s="2">
        <v>50</v>
      </c>
      <c r="B167" t="s">
        <v>43</v>
      </c>
      <c r="C167">
        <v>0</v>
      </c>
      <c r="D167" t="s">
        <v>36</v>
      </c>
      <c r="E167" t="s">
        <v>45</v>
      </c>
      <c r="F167">
        <v>11</v>
      </c>
      <c r="G167" t="s">
        <v>38</v>
      </c>
      <c r="H167" t="s">
        <v>237</v>
      </c>
      <c r="I167">
        <v>3</v>
      </c>
      <c r="J167" t="s">
        <v>39</v>
      </c>
      <c r="K167">
        <v>3</v>
      </c>
      <c r="L167">
        <v>5</v>
      </c>
      <c r="M167" t="s">
        <v>56</v>
      </c>
      <c r="N167">
        <v>2</v>
      </c>
      <c r="O167" t="s">
        <v>41</v>
      </c>
      <c r="P167" s="1">
        <v>19926</v>
      </c>
      <c r="Q167" t="s">
        <v>90</v>
      </c>
      <c r="R167" t="s">
        <v>43</v>
      </c>
      <c r="S167">
        <v>3</v>
      </c>
      <c r="T167">
        <v>21</v>
      </c>
      <c r="U167">
        <v>3</v>
      </c>
      <c r="V167">
        <v>5</v>
      </c>
      <c r="W167">
        <v>4</v>
      </c>
      <c r="X167">
        <v>4</v>
      </c>
      <c r="Y167">
        <v>4</v>
      </c>
      <c r="Z167" t="s">
        <v>106</v>
      </c>
      <c r="AA167" t="s">
        <v>82</v>
      </c>
      <c r="AB167" t="str" cm="1">
        <f t="array" ref="AB167">_xlfn.IFS(cleaned_data[[#This Row],[YearsAtCompany]]&lt;=5, "0-5",cleaned_data[[#This Row],[YearsAtCompany]]&lt;=10,"6-10",TRUE,"10+")</f>
        <v>0-5</v>
      </c>
    </row>
    <row r="168" spans="1:28" x14ac:dyDescent="0.3">
      <c r="A168" s="2">
        <v>41</v>
      </c>
      <c r="B168" t="s">
        <v>43</v>
      </c>
      <c r="C168">
        <v>0</v>
      </c>
      <c r="D168" t="s">
        <v>36</v>
      </c>
      <c r="E168" t="s">
        <v>45</v>
      </c>
      <c r="F168">
        <v>14</v>
      </c>
      <c r="G168" t="s">
        <v>38</v>
      </c>
      <c r="H168" t="s">
        <v>238</v>
      </c>
      <c r="I168">
        <v>1</v>
      </c>
      <c r="J168" t="s">
        <v>46</v>
      </c>
      <c r="K168">
        <v>3</v>
      </c>
      <c r="L168">
        <v>1</v>
      </c>
      <c r="M168" t="s">
        <v>47</v>
      </c>
      <c r="N168">
        <v>3</v>
      </c>
      <c r="O168" t="s">
        <v>52</v>
      </c>
      <c r="P168" s="1">
        <v>2451</v>
      </c>
      <c r="Q168" t="s">
        <v>72</v>
      </c>
      <c r="R168" t="s">
        <v>43</v>
      </c>
      <c r="S168">
        <v>3</v>
      </c>
      <c r="T168">
        <v>13</v>
      </c>
      <c r="U168">
        <v>3</v>
      </c>
      <c r="V168">
        <v>9</v>
      </c>
      <c r="W168">
        <v>8</v>
      </c>
      <c r="X168">
        <v>1</v>
      </c>
      <c r="Y168">
        <v>8</v>
      </c>
      <c r="Z168" t="s">
        <v>1550</v>
      </c>
      <c r="AA168" t="s">
        <v>69</v>
      </c>
      <c r="AB168" t="str" cm="1">
        <f t="array" ref="AB168">_xlfn.IFS(cleaned_data[[#This Row],[YearsAtCompany]]&lt;=5, "0-5",cleaned_data[[#This Row],[YearsAtCompany]]&lt;=10,"6-10",TRUE,"10+")</f>
        <v>6-10</v>
      </c>
    </row>
    <row r="169" spans="1:28" x14ac:dyDescent="0.3">
      <c r="A169" s="2">
        <v>30</v>
      </c>
      <c r="B169" t="s">
        <v>43</v>
      </c>
      <c r="C169">
        <v>0</v>
      </c>
      <c r="D169" t="s">
        <v>36</v>
      </c>
      <c r="E169" t="s">
        <v>37</v>
      </c>
      <c r="F169">
        <v>5</v>
      </c>
      <c r="G169" t="s">
        <v>38</v>
      </c>
      <c r="H169" t="s">
        <v>239</v>
      </c>
      <c r="I169">
        <v>2</v>
      </c>
      <c r="J169" t="s">
        <v>39</v>
      </c>
      <c r="K169">
        <v>3</v>
      </c>
      <c r="L169">
        <v>3</v>
      </c>
      <c r="M169" t="s">
        <v>40</v>
      </c>
      <c r="N169">
        <v>4</v>
      </c>
      <c r="O169" t="s">
        <v>48</v>
      </c>
      <c r="P169" s="1">
        <v>9419</v>
      </c>
      <c r="Q169" t="s">
        <v>67</v>
      </c>
      <c r="R169" t="s">
        <v>43</v>
      </c>
      <c r="S169">
        <v>3</v>
      </c>
      <c r="T169">
        <v>12</v>
      </c>
      <c r="U169">
        <v>3</v>
      </c>
      <c r="V169">
        <v>10</v>
      </c>
      <c r="W169">
        <v>9</v>
      </c>
      <c r="X169">
        <v>7</v>
      </c>
      <c r="Y169">
        <v>4</v>
      </c>
      <c r="Z169" t="s">
        <v>1551</v>
      </c>
      <c r="AA169" t="s">
        <v>69</v>
      </c>
      <c r="AB169" t="str" cm="1">
        <f t="array" ref="AB169">_xlfn.IFS(cleaned_data[[#This Row],[YearsAtCompany]]&lt;=5, "0-5",cleaned_data[[#This Row],[YearsAtCompany]]&lt;=10,"6-10",TRUE,"10+")</f>
        <v>6-10</v>
      </c>
    </row>
    <row r="170" spans="1:28" x14ac:dyDescent="0.3">
      <c r="A170" s="2">
        <v>38</v>
      </c>
      <c r="B170" t="s">
        <v>43</v>
      </c>
      <c r="C170">
        <v>0</v>
      </c>
      <c r="D170" t="s">
        <v>36</v>
      </c>
      <c r="E170" t="s">
        <v>37</v>
      </c>
      <c r="F170">
        <v>1</v>
      </c>
      <c r="G170" t="s">
        <v>38</v>
      </c>
      <c r="H170" t="s">
        <v>240</v>
      </c>
      <c r="I170">
        <v>1</v>
      </c>
      <c r="J170" t="s">
        <v>39</v>
      </c>
      <c r="K170">
        <v>2</v>
      </c>
      <c r="L170">
        <v>2</v>
      </c>
      <c r="M170" t="s">
        <v>40</v>
      </c>
      <c r="N170">
        <v>4</v>
      </c>
      <c r="O170" t="s">
        <v>41</v>
      </c>
      <c r="P170" s="1">
        <v>8686</v>
      </c>
      <c r="Q170" t="s">
        <v>67</v>
      </c>
      <c r="R170" t="s">
        <v>43</v>
      </c>
      <c r="S170">
        <v>4</v>
      </c>
      <c r="T170">
        <v>12</v>
      </c>
      <c r="U170">
        <v>4</v>
      </c>
      <c r="V170">
        <v>8</v>
      </c>
      <c r="W170">
        <v>3</v>
      </c>
      <c r="X170">
        <v>0</v>
      </c>
      <c r="Y170">
        <v>7</v>
      </c>
      <c r="Z170" t="s">
        <v>1550</v>
      </c>
      <c r="AA170" t="s">
        <v>69</v>
      </c>
      <c r="AB170" t="str" cm="1">
        <f t="array" ref="AB170">_xlfn.IFS(cleaned_data[[#This Row],[YearsAtCompany]]&lt;=5, "0-5",cleaned_data[[#This Row],[YearsAtCompany]]&lt;=10,"6-10",TRUE,"10+")</f>
        <v>6-10</v>
      </c>
    </row>
    <row r="171" spans="1:28" x14ac:dyDescent="0.3">
      <c r="A171" s="2">
        <v>32</v>
      </c>
      <c r="B171" t="s">
        <v>43</v>
      </c>
      <c r="C171">
        <v>0</v>
      </c>
      <c r="D171" t="s">
        <v>36</v>
      </c>
      <c r="E171" t="s">
        <v>45</v>
      </c>
      <c r="F171">
        <v>6</v>
      </c>
      <c r="G171" t="s">
        <v>38</v>
      </c>
      <c r="H171" t="s">
        <v>241</v>
      </c>
      <c r="I171">
        <v>3</v>
      </c>
      <c r="J171" t="s">
        <v>46</v>
      </c>
      <c r="K171">
        <v>3</v>
      </c>
      <c r="L171">
        <v>1</v>
      </c>
      <c r="M171" t="s">
        <v>47</v>
      </c>
      <c r="N171">
        <v>3</v>
      </c>
      <c r="O171" t="s">
        <v>41</v>
      </c>
      <c r="P171" s="1">
        <v>3038</v>
      </c>
      <c r="Q171" t="s">
        <v>72</v>
      </c>
      <c r="R171" t="s">
        <v>43</v>
      </c>
      <c r="S171">
        <v>4</v>
      </c>
      <c r="T171">
        <v>8</v>
      </c>
      <c r="U171">
        <v>3</v>
      </c>
      <c r="V171">
        <v>5</v>
      </c>
      <c r="W171">
        <v>4</v>
      </c>
      <c r="X171">
        <v>1</v>
      </c>
      <c r="Y171">
        <v>4</v>
      </c>
      <c r="Z171" t="s">
        <v>1551</v>
      </c>
      <c r="AA171" t="s">
        <v>69</v>
      </c>
      <c r="AB171" t="str" cm="1">
        <f t="array" ref="AB171">_xlfn.IFS(cleaned_data[[#This Row],[YearsAtCompany]]&lt;=5, "0-5",cleaned_data[[#This Row],[YearsAtCompany]]&lt;=10,"6-10",TRUE,"10+")</f>
        <v>0-5</v>
      </c>
    </row>
    <row r="172" spans="1:28" x14ac:dyDescent="0.3">
      <c r="A172" s="2">
        <v>27</v>
      </c>
      <c r="B172" t="s">
        <v>43</v>
      </c>
      <c r="C172">
        <v>0</v>
      </c>
      <c r="D172" t="s">
        <v>36</v>
      </c>
      <c r="E172" t="s">
        <v>45</v>
      </c>
      <c r="F172">
        <v>17</v>
      </c>
      <c r="G172" t="s">
        <v>60</v>
      </c>
      <c r="H172" t="s">
        <v>242</v>
      </c>
      <c r="I172">
        <v>3</v>
      </c>
      <c r="J172" t="s">
        <v>46</v>
      </c>
      <c r="K172">
        <v>3</v>
      </c>
      <c r="L172">
        <v>1</v>
      </c>
      <c r="M172" t="s">
        <v>47</v>
      </c>
      <c r="N172">
        <v>2</v>
      </c>
      <c r="O172" t="s">
        <v>48</v>
      </c>
      <c r="P172" s="1">
        <v>3058</v>
      </c>
      <c r="Q172" t="s">
        <v>72</v>
      </c>
      <c r="R172" t="s">
        <v>35</v>
      </c>
      <c r="S172">
        <v>3</v>
      </c>
      <c r="T172">
        <v>6</v>
      </c>
      <c r="U172">
        <v>2</v>
      </c>
      <c r="V172">
        <v>5</v>
      </c>
      <c r="W172">
        <v>2</v>
      </c>
      <c r="X172">
        <v>1</v>
      </c>
      <c r="Y172">
        <v>1</v>
      </c>
      <c r="Z172" t="s">
        <v>1551</v>
      </c>
      <c r="AA172" t="s">
        <v>69</v>
      </c>
      <c r="AB172" t="str" cm="1">
        <f t="array" ref="AB172">_xlfn.IFS(cleaned_data[[#This Row],[YearsAtCompany]]&lt;=5, "0-5",cleaned_data[[#This Row],[YearsAtCompany]]&lt;=10,"6-10",TRUE,"10+")</f>
        <v>0-5</v>
      </c>
    </row>
    <row r="173" spans="1:28" x14ac:dyDescent="0.3">
      <c r="A173" s="2">
        <v>19</v>
      </c>
      <c r="B173" t="s">
        <v>35</v>
      </c>
      <c r="C173">
        <v>1</v>
      </c>
      <c r="D173" t="s">
        <v>44</v>
      </c>
      <c r="E173" t="s">
        <v>37</v>
      </c>
      <c r="F173">
        <v>1</v>
      </c>
      <c r="G173" t="s">
        <v>60</v>
      </c>
      <c r="H173" t="s">
        <v>243</v>
      </c>
      <c r="I173">
        <v>3</v>
      </c>
      <c r="J173" t="s">
        <v>39</v>
      </c>
      <c r="K173">
        <v>1</v>
      </c>
      <c r="L173">
        <v>1</v>
      </c>
      <c r="M173" t="s">
        <v>57</v>
      </c>
      <c r="N173">
        <v>1</v>
      </c>
      <c r="O173" t="s">
        <v>41</v>
      </c>
      <c r="P173" s="6">
        <v>2325</v>
      </c>
      <c r="Q173" t="s">
        <v>72</v>
      </c>
      <c r="R173" t="s">
        <v>43</v>
      </c>
      <c r="S173">
        <v>4</v>
      </c>
      <c r="T173">
        <v>1</v>
      </c>
      <c r="U173">
        <v>4</v>
      </c>
      <c r="V173">
        <v>0</v>
      </c>
      <c r="W173">
        <v>0</v>
      </c>
      <c r="X173">
        <v>0</v>
      </c>
      <c r="Y173">
        <v>0</v>
      </c>
      <c r="Z173" t="s">
        <v>68</v>
      </c>
      <c r="AA173" t="s">
        <v>78</v>
      </c>
      <c r="AB173" t="str" cm="1">
        <f t="array" ref="AB173">_xlfn.IFS(cleaned_data[[#This Row],[YearsAtCompany]]&lt;=5, "0-5",cleaned_data[[#This Row],[YearsAtCompany]]&lt;=10,"6-10",TRUE,"10+")</f>
        <v>0-5</v>
      </c>
    </row>
    <row r="174" spans="1:28" x14ac:dyDescent="0.3">
      <c r="A174" s="2">
        <v>36</v>
      </c>
      <c r="B174" t="s">
        <v>43</v>
      </c>
      <c r="C174">
        <v>0</v>
      </c>
      <c r="D174" t="s">
        <v>44</v>
      </c>
      <c r="E174" t="s">
        <v>45</v>
      </c>
      <c r="F174">
        <v>3</v>
      </c>
      <c r="G174" t="s">
        <v>51</v>
      </c>
      <c r="H174" t="s">
        <v>244</v>
      </c>
      <c r="I174">
        <v>4</v>
      </c>
      <c r="J174" t="s">
        <v>46</v>
      </c>
      <c r="K174">
        <v>3</v>
      </c>
      <c r="L174">
        <v>1</v>
      </c>
      <c r="M174" t="s">
        <v>50</v>
      </c>
      <c r="N174">
        <v>2</v>
      </c>
      <c r="O174" t="s">
        <v>41</v>
      </c>
      <c r="P174" s="1">
        <v>2088</v>
      </c>
      <c r="Q174" t="s">
        <v>72</v>
      </c>
      <c r="R174" t="s">
        <v>43</v>
      </c>
      <c r="S174">
        <v>3</v>
      </c>
      <c r="T174">
        <v>13</v>
      </c>
      <c r="U174">
        <v>2</v>
      </c>
      <c r="V174">
        <v>8</v>
      </c>
      <c r="W174">
        <v>7</v>
      </c>
      <c r="X174">
        <v>7</v>
      </c>
      <c r="Y174">
        <v>2</v>
      </c>
      <c r="Z174" t="s">
        <v>1550</v>
      </c>
      <c r="AA174" t="s">
        <v>69</v>
      </c>
      <c r="AB174" t="str" cm="1">
        <f t="array" ref="AB174">_xlfn.IFS(cleaned_data[[#This Row],[YearsAtCompany]]&lt;=5, "0-5",cleaned_data[[#This Row],[YearsAtCompany]]&lt;=10,"6-10",TRUE,"10+")</f>
        <v>6-10</v>
      </c>
    </row>
    <row r="175" spans="1:28" x14ac:dyDescent="0.3">
      <c r="A175" s="2">
        <v>30</v>
      </c>
      <c r="B175" t="s">
        <v>43</v>
      </c>
      <c r="C175">
        <v>0</v>
      </c>
      <c r="D175" t="s">
        <v>55</v>
      </c>
      <c r="E175" t="s">
        <v>45</v>
      </c>
      <c r="F175">
        <v>9</v>
      </c>
      <c r="G175" t="s">
        <v>51</v>
      </c>
      <c r="H175" t="s">
        <v>245</v>
      </c>
      <c r="I175">
        <v>3</v>
      </c>
      <c r="J175" t="s">
        <v>46</v>
      </c>
      <c r="K175">
        <v>3</v>
      </c>
      <c r="L175">
        <v>2</v>
      </c>
      <c r="M175" t="s">
        <v>50</v>
      </c>
      <c r="N175">
        <v>1</v>
      </c>
      <c r="O175" t="s">
        <v>52</v>
      </c>
      <c r="P175" s="6">
        <v>3072</v>
      </c>
      <c r="Q175" t="s">
        <v>72</v>
      </c>
      <c r="R175" t="s">
        <v>43</v>
      </c>
      <c r="S175">
        <v>3</v>
      </c>
      <c r="T175">
        <v>12</v>
      </c>
      <c r="U175">
        <v>3</v>
      </c>
      <c r="V175">
        <v>12</v>
      </c>
      <c r="W175">
        <v>9</v>
      </c>
      <c r="X175">
        <v>6</v>
      </c>
      <c r="Y175">
        <v>10</v>
      </c>
      <c r="Z175" t="s">
        <v>1551</v>
      </c>
      <c r="AA175" t="s">
        <v>69</v>
      </c>
      <c r="AB175" t="str" cm="1">
        <f t="array" ref="AB175">_xlfn.IFS(cleaned_data[[#This Row],[YearsAtCompany]]&lt;=5, "0-5",cleaned_data[[#This Row],[YearsAtCompany]]&lt;=10,"6-10",TRUE,"10+")</f>
        <v>10+</v>
      </c>
    </row>
    <row r="176" spans="1:28" x14ac:dyDescent="0.3">
      <c r="A176" s="2">
        <v>45</v>
      </c>
      <c r="B176" t="s">
        <v>43</v>
      </c>
      <c r="C176">
        <v>0</v>
      </c>
      <c r="D176" t="s">
        <v>36</v>
      </c>
      <c r="E176" t="s">
        <v>37</v>
      </c>
      <c r="F176">
        <v>4</v>
      </c>
      <c r="G176" t="s">
        <v>38</v>
      </c>
      <c r="H176" t="s">
        <v>246</v>
      </c>
      <c r="I176">
        <v>3</v>
      </c>
      <c r="J176" t="s">
        <v>39</v>
      </c>
      <c r="K176">
        <v>3</v>
      </c>
      <c r="L176">
        <v>2</v>
      </c>
      <c r="M176" t="s">
        <v>40</v>
      </c>
      <c r="N176">
        <v>1</v>
      </c>
      <c r="O176" t="s">
        <v>52</v>
      </c>
      <c r="P176" s="6">
        <v>5006</v>
      </c>
      <c r="Q176" t="s">
        <v>67</v>
      </c>
      <c r="R176" t="s">
        <v>35</v>
      </c>
      <c r="S176">
        <v>3</v>
      </c>
      <c r="T176">
        <v>9</v>
      </c>
      <c r="U176">
        <v>4</v>
      </c>
      <c r="V176">
        <v>5</v>
      </c>
      <c r="W176">
        <v>4</v>
      </c>
      <c r="X176">
        <v>0</v>
      </c>
      <c r="Y176">
        <v>3</v>
      </c>
      <c r="Z176" t="s">
        <v>1550</v>
      </c>
      <c r="AA176" t="s">
        <v>69</v>
      </c>
      <c r="AB176" t="str" cm="1">
        <f t="array" ref="AB176">_xlfn.IFS(cleaned_data[[#This Row],[YearsAtCompany]]&lt;=5, "0-5",cleaned_data[[#This Row],[YearsAtCompany]]&lt;=10,"6-10",TRUE,"10+")</f>
        <v>0-5</v>
      </c>
    </row>
    <row r="177" spans="1:28" x14ac:dyDescent="0.3">
      <c r="A177" s="2">
        <v>56</v>
      </c>
      <c r="B177" t="s">
        <v>43</v>
      </c>
      <c r="C177">
        <v>0</v>
      </c>
      <c r="D177" t="s">
        <v>36</v>
      </c>
      <c r="E177" t="s">
        <v>45</v>
      </c>
      <c r="F177">
        <v>8</v>
      </c>
      <c r="G177" t="s">
        <v>38</v>
      </c>
      <c r="H177" t="s">
        <v>247</v>
      </c>
      <c r="I177">
        <v>3</v>
      </c>
      <c r="J177" t="s">
        <v>39</v>
      </c>
      <c r="K177">
        <v>3</v>
      </c>
      <c r="L177">
        <v>1</v>
      </c>
      <c r="M177" t="s">
        <v>47</v>
      </c>
      <c r="N177">
        <v>1</v>
      </c>
      <c r="O177" t="s">
        <v>52</v>
      </c>
      <c r="P177" s="6">
        <v>4257</v>
      </c>
      <c r="Q177" t="s">
        <v>72</v>
      </c>
      <c r="R177" t="s">
        <v>35</v>
      </c>
      <c r="S177">
        <v>3</v>
      </c>
      <c r="T177">
        <v>19</v>
      </c>
      <c r="U177">
        <v>3</v>
      </c>
      <c r="V177">
        <v>2</v>
      </c>
      <c r="W177">
        <v>2</v>
      </c>
      <c r="X177">
        <v>2</v>
      </c>
      <c r="Y177">
        <v>2</v>
      </c>
      <c r="Z177" t="s">
        <v>106</v>
      </c>
      <c r="AA177" t="s">
        <v>82</v>
      </c>
      <c r="AB177" t="str" cm="1">
        <f t="array" ref="AB177">_xlfn.IFS(cleaned_data[[#This Row],[YearsAtCompany]]&lt;=5, "0-5",cleaned_data[[#This Row],[YearsAtCompany]]&lt;=10,"6-10",TRUE,"10+")</f>
        <v>0-5</v>
      </c>
    </row>
    <row r="178" spans="1:28" x14ac:dyDescent="0.3">
      <c r="A178" s="2">
        <v>33</v>
      </c>
      <c r="B178" t="s">
        <v>43</v>
      </c>
      <c r="C178">
        <v>0</v>
      </c>
      <c r="D178" t="s">
        <v>36</v>
      </c>
      <c r="E178" t="s">
        <v>45</v>
      </c>
      <c r="F178">
        <v>2</v>
      </c>
      <c r="G178" t="s">
        <v>38</v>
      </c>
      <c r="H178" t="s">
        <v>248</v>
      </c>
      <c r="I178">
        <v>3</v>
      </c>
      <c r="J178" t="s">
        <v>46</v>
      </c>
      <c r="K178">
        <v>3</v>
      </c>
      <c r="L178">
        <v>1</v>
      </c>
      <c r="M178" t="s">
        <v>47</v>
      </c>
      <c r="N178">
        <v>4</v>
      </c>
      <c r="O178" t="s">
        <v>41</v>
      </c>
      <c r="P178" s="1">
        <v>2500</v>
      </c>
      <c r="Q178" t="s">
        <v>72</v>
      </c>
      <c r="R178" t="s">
        <v>43</v>
      </c>
      <c r="S178">
        <v>3</v>
      </c>
      <c r="T178">
        <v>4</v>
      </c>
      <c r="U178">
        <v>4</v>
      </c>
      <c r="V178">
        <v>3</v>
      </c>
      <c r="W178">
        <v>1</v>
      </c>
      <c r="X178">
        <v>0</v>
      </c>
      <c r="Y178">
        <v>2</v>
      </c>
      <c r="Z178" t="s">
        <v>1551</v>
      </c>
      <c r="AA178" t="s">
        <v>78</v>
      </c>
      <c r="AB178" t="str" cm="1">
        <f t="array" ref="AB178">_xlfn.IFS(cleaned_data[[#This Row],[YearsAtCompany]]&lt;=5, "0-5",cleaned_data[[#This Row],[YearsAtCompany]]&lt;=10,"6-10",TRUE,"10+")</f>
        <v>0-5</v>
      </c>
    </row>
    <row r="179" spans="1:28" x14ac:dyDescent="0.3">
      <c r="A179" s="2">
        <v>19</v>
      </c>
      <c r="B179" t="s">
        <v>35</v>
      </c>
      <c r="C179">
        <v>1</v>
      </c>
      <c r="D179" t="s">
        <v>36</v>
      </c>
      <c r="E179" t="s">
        <v>45</v>
      </c>
      <c r="F179">
        <v>2</v>
      </c>
      <c r="G179" t="s">
        <v>38</v>
      </c>
      <c r="H179" t="s">
        <v>249</v>
      </c>
      <c r="I179">
        <v>2</v>
      </c>
      <c r="J179" t="s">
        <v>46</v>
      </c>
      <c r="K179">
        <v>2</v>
      </c>
      <c r="L179">
        <v>1</v>
      </c>
      <c r="M179" t="s">
        <v>50</v>
      </c>
      <c r="N179">
        <v>4</v>
      </c>
      <c r="O179" t="s">
        <v>41</v>
      </c>
      <c r="P179" s="1">
        <v>1102</v>
      </c>
      <c r="Q179" t="s">
        <v>72</v>
      </c>
      <c r="R179" t="s">
        <v>43</v>
      </c>
      <c r="S179">
        <v>4</v>
      </c>
      <c r="T179">
        <v>1</v>
      </c>
      <c r="U179">
        <v>2</v>
      </c>
      <c r="V179">
        <v>1</v>
      </c>
      <c r="W179">
        <v>0</v>
      </c>
      <c r="X179">
        <v>1</v>
      </c>
      <c r="Y179">
        <v>0</v>
      </c>
      <c r="Z179" t="s">
        <v>68</v>
      </c>
      <c r="AA179" t="s">
        <v>78</v>
      </c>
      <c r="AB179" t="str" cm="1">
        <f t="array" ref="AB179">_xlfn.IFS(cleaned_data[[#This Row],[YearsAtCompany]]&lt;=5, "0-5",cleaned_data[[#This Row],[YearsAtCompany]]&lt;=10,"6-10",TRUE,"10+")</f>
        <v>0-5</v>
      </c>
    </row>
    <row r="180" spans="1:28" x14ac:dyDescent="0.3">
      <c r="A180" s="2">
        <v>46</v>
      </c>
      <c r="B180" t="s">
        <v>43</v>
      </c>
      <c r="C180">
        <v>0</v>
      </c>
      <c r="D180" t="s">
        <v>36</v>
      </c>
      <c r="E180" t="s">
        <v>37</v>
      </c>
      <c r="F180">
        <v>1</v>
      </c>
      <c r="G180" t="s">
        <v>59</v>
      </c>
      <c r="H180" t="s">
        <v>250</v>
      </c>
      <c r="I180">
        <v>2</v>
      </c>
      <c r="J180" t="s">
        <v>39</v>
      </c>
      <c r="K180">
        <v>3</v>
      </c>
      <c r="L180">
        <v>3</v>
      </c>
      <c r="M180" t="s">
        <v>40</v>
      </c>
      <c r="N180">
        <v>1</v>
      </c>
      <c r="O180" t="s">
        <v>52</v>
      </c>
      <c r="P180" s="6">
        <v>10453</v>
      </c>
      <c r="Q180" t="s">
        <v>67</v>
      </c>
      <c r="R180" t="s">
        <v>43</v>
      </c>
      <c r="S180">
        <v>4</v>
      </c>
      <c r="T180">
        <v>24</v>
      </c>
      <c r="U180">
        <v>3</v>
      </c>
      <c r="V180">
        <v>24</v>
      </c>
      <c r="W180">
        <v>13</v>
      </c>
      <c r="X180">
        <v>15</v>
      </c>
      <c r="Y180">
        <v>7</v>
      </c>
      <c r="Z180" t="s">
        <v>106</v>
      </c>
      <c r="AA180" t="s">
        <v>82</v>
      </c>
      <c r="AB180" t="str" cm="1">
        <f t="array" ref="AB180">_xlfn.IFS(cleaned_data[[#This Row],[YearsAtCompany]]&lt;=5, "0-5",cleaned_data[[#This Row],[YearsAtCompany]]&lt;=10,"6-10",TRUE,"10+")</f>
        <v>10+</v>
      </c>
    </row>
    <row r="181" spans="1:28" x14ac:dyDescent="0.3">
      <c r="A181" s="2">
        <v>38</v>
      </c>
      <c r="B181" t="s">
        <v>43</v>
      </c>
      <c r="C181">
        <v>0</v>
      </c>
      <c r="D181" t="s">
        <v>36</v>
      </c>
      <c r="E181" t="s">
        <v>45</v>
      </c>
      <c r="F181">
        <v>9</v>
      </c>
      <c r="G181" t="s">
        <v>38</v>
      </c>
      <c r="H181" t="s">
        <v>251</v>
      </c>
      <c r="I181">
        <v>3</v>
      </c>
      <c r="J181" t="s">
        <v>39</v>
      </c>
      <c r="K181">
        <v>3</v>
      </c>
      <c r="L181">
        <v>1</v>
      </c>
      <c r="M181" t="s">
        <v>50</v>
      </c>
      <c r="N181">
        <v>4</v>
      </c>
      <c r="O181" t="s">
        <v>41</v>
      </c>
      <c r="P181" s="1">
        <v>2288</v>
      </c>
      <c r="Q181" t="s">
        <v>72</v>
      </c>
      <c r="R181" t="s">
        <v>43</v>
      </c>
      <c r="S181">
        <v>3</v>
      </c>
      <c r="T181">
        <v>2</v>
      </c>
      <c r="U181">
        <v>3</v>
      </c>
      <c r="V181">
        <v>2</v>
      </c>
      <c r="W181">
        <v>2</v>
      </c>
      <c r="X181">
        <v>2</v>
      </c>
      <c r="Y181">
        <v>1</v>
      </c>
      <c r="Z181" t="s">
        <v>1550</v>
      </c>
      <c r="AA181" t="s">
        <v>78</v>
      </c>
      <c r="AB181" t="str" cm="1">
        <f t="array" ref="AB181">_xlfn.IFS(cleaned_data[[#This Row],[YearsAtCompany]]&lt;=5, "0-5",cleaned_data[[#This Row],[YearsAtCompany]]&lt;=10,"6-10",TRUE,"10+")</f>
        <v>0-5</v>
      </c>
    </row>
    <row r="182" spans="1:28" x14ac:dyDescent="0.3">
      <c r="A182" s="2">
        <v>31</v>
      </c>
      <c r="B182" t="s">
        <v>43</v>
      </c>
      <c r="C182">
        <v>0</v>
      </c>
      <c r="D182" t="s">
        <v>36</v>
      </c>
      <c r="E182" t="s">
        <v>45</v>
      </c>
      <c r="F182">
        <v>12</v>
      </c>
      <c r="G182" t="s">
        <v>51</v>
      </c>
      <c r="H182" t="s">
        <v>252</v>
      </c>
      <c r="I182">
        <v>3</v>
      </c>
      <c r="J182" t="s">
        <v>39</v>
      </c>
      <c r="K182">
        <v>3</v>
      </c>
      <c r="L182">
        <v>1</v>
      </c>
      <c r="M182" t="s">
        <v>47</v>
      </c>
      <c r="N182">
        <v>4</v>
      </c>
      <c r="O182" t="s">
        <v>48</v>
      </c>
      <c r="P182" s="1">
        <v>3929</v>
      </c>
      <c r="Q182" t="s">
        <v>72</v>
      </c>
      <c r="R182" t="s">
        <v>35</v>
      </c>
      <c r="S182">
        <v>4</v>
      </c>
      <c r="T182">
        <v>7</v>
      </c>
      <c r="U182">
        <v>3</v>
      </c>
      <c r="V182">
        <v>4</v>
      </c>
      <c r="W182">
        <v>2</v>
      </c>
      <c r="X182">
        <v>0</v>
      </c>
      <c r="Y182">
        <v>2</v>
      </c>
      <c r="Z182" t="s">
        <v>1551</v>
      </c>
      <c r="AA182" t="s">
        <v>69</v>
      </c>
      <c r="AB182" t="str" cm="1">
        <f t="array" ref="AB182">_xlfn.IFS(cleaned_data[[#This Row],[YearsAtCompany]]&lt;=5, "0-5",cleaned_data[[#This Row],[YearsAtCompany]]&lt;=10,"6-10",TRUE,"10+")</f>
        <v>0-5</v>
      </c>
    </row>
    <row r="183" spans="1:28" x14ac:dyDescent="0.3">
      <c r="A183" s="2">
        <v>34</v>
      </c>
      <c r="B183" t="s">
        <v>43</v>
      </c>
      <c r="C183">
        <v>0</v>
      </c>
      <c r="D183" t="s">
        <v>36</v>
      </c>
      <c r="E183" t="s">
        <v>45</v>
      </c>
      <c r="F183">
        <v>27</v>
      </c>
      <c r="G183" t="s">
        <v>51</v>
      </c>
      <c r="H183" t="s">
        <v>253</v>
      </c>
      <c r="I183">
        <v>4</v>
      </c>
      <c r="J183" t="s">
        <v>39</v>
      </c>
      <c r="K183">
        <v>3</v>
      </c>
      <c r="L183">
        <v>1</v>
      </c>
      <c r="M183" t="s">
        <v>47</v>
      </c>
      <c r="N183">
        <v>2</v>
      </c>
      <c r="O183" t="s">
        <v>41</v>
      </c>
      <c r="P183" s="1">
        <v>2311</v>
      </c>
      <c r="Q183" t="s">
        <v>72</v>
      </c>
      <c r="R183" t="s">
        <v>43</v>
      </c>
      <c r="S183">
        <v>3</v>
      </c>
      <c r="T183">
        <v>9</v>
      </c>
      <c r="U183">
        <v>3</v>
      </c>
      <c r="V183">
        <v>3</v>
      </c>
      <c r="W183">
        <v>2</v>
      </c>
      <c r="X183">
        <v>1</v>
      </c>
      <c r="Y183">
        <v>2</v>
      </c>
      <c r="Z183" t="s">
        <v>1551</v>
      </c>
      <c r="AA183" t="s">
        <v>69</v>
      </c>
      <c r="AB183" t="str" cm="1">
        <f t="array" ref="AB183">_xlfn.IFS(cleaned_data[[#This Row],[YearsAtCompany]]&lt;=5, "0-5",cleaned_data[[#This Row],[YearsAtCompany]]&lt;=10,"6-10",TRUE,"10+")</f>
        <v>0-5</v>
      </c>
    </row>
    <row r="184" spans="1:28" x14ac:dyDescent="0.3">
      <c r="A184" s="2">
        <v>41</v>
      </c>
      <c r="B184" t="s">
        <v>35</v>
      </c>
      <c r="C184">
        <v>1</v>
      </c>
      <c r="D184" t="s">
        <v>36</v>
      </c>
      <c r="E184" t="s">
        <v>37</v>
      </c>
      <c r="F184">
        <v>20</v>
      </c>
      <c r="G184" t="s">
        <v>59</v>
      </c>
      <c r="H184" t="s">
        <v>254</v>
      </c>
      <c r="I184">
        <v>2</v>
      </c>
      <c r="J184" t="s">
        <v>39</v>
      </c>
      <c r="K184">
        <v>3</v>
      </c>
      <c r="L184">
        <v>1</v>
      </c>
      <c r="M184" t="s">
        <v>57</v>
      </c>
      <c r="N184">
        <v>2</v>
      </c>
      <c r="O184" t="s">
        <v>41</v>
      </c>
      <c r="P184" s="1">
        <v>3140</v>
      </c>
      <c r="Q184" t="s">
        <v>72</v>
      </c>
      <c r="R184" t="s">
        <v>35</v>
      </c>
      <c r="S184">
        <v>4</v>
      </c>
      <c r="T184">
        <v>4</v>
      </c>
      <c r="U184">
        <v>2</v>
      </c>
      <c r="V184">
        <v>4</v>
      </c>
      <c r="W184">
        <v>3</v>
      </c>
      <c r="X184">
        <v>0</v>
      </c>
      <c r="Y184">
        <v>2</v>
      </c>
      <c r="Z184" t="s">
        <v>1550</v>
      </c>
      <c r="AA184" t="s">
        <v>78</v>
      </c>
      <c r="AB184" t="str" cm="1">
        <f t="array" ref="AB184">_xlfn.IFS(cleaned_data[[#This Row],[YearsAtCompany]]&lt;=5, "0-5",cleaned_data[[#This Row],[YearsAtCompany]]&lt;=10,"6-10",TRUE,"10+")</f>
        <v>0-5</v>
      </c>
    </row>
    <row r="185" spans="1:28" x14ac:dyDescent="0.3">
      <c r="A185" s="2">
        <v>50</v>
      </c>
      <c r="B185" t="s">
        <v>43</v>
      </c>
      <c r="C185">
        <v>0</v>
      </c>
      <c r="D185" t="s">
        <v>36</v>
      </c>
      <c r="E185" t="s">
        <v>45</v>
      </c>
      <c r="F185">
        <v>1</v>
      </c>
      <c r="G185" t="s">
        <v>51</v>
      </c>
      <c r="H185" t="s">
        <v>255</v>
      </c>
      <c r="I185">
        <v>3</v>
      </c>
      <c r="J185" t="s">
        <v>46</v>
      </c>
      <c r="K185">
        <v>2</v>
      </c>
      <c r="L185">
        <v>1</v>
      </c>
      <c r="M185" t="s">
        <v>50</v>
      </c>
      <c r="N185">
        <v>3</v>
      </c>
      <c r="O185" t="s">
        <v>48</v>
      </c>
      <c r="P185" s="1">
        <v>3690</v>
      </c>
      <c r="Q185" t="s">
        <v>72</v>
      </c>
      <c r="R185" t="s">
        <v>43</v>
      </c>
      <c r="S185">
        <v>3</v>
      </c>
      <c r="T185">
        <v>5</v>
      </c>
      <c r="U185">
        <v>2</v>
      </c>
      <c r="V185">
        <v>3</v>
      </c>
      <c r="W185">
        <v>2</v>
      </c>
      <c r="X185">
        <v>0</v>
      </c>
      <c r="Y185">
        <v>2</v>
      </c>
      <c r="Z185" t="s">
        <v>106</v>
      </c>
      <c r="AA185" t="s">
        <v>78</v>
      </c>
      <c r="AB185" t="str" cm="1">
        <f t="array" ref="AB185">_xlfn.IFS(cleaned_data[[#This Row],[YearsAtCompany]]&lt;=5, "0-5",cleaned_data[[#This Row],[YearsAtCompany]]&lt;=10,"6-10",TRUE,"10+")</f>
        <v>0-5</v>
      </c>
    </row>
    <row r="186" spans="1:28" x14ac:dyDescent="0.3">
      <c r="A186" s="2">
        <v>53</v>
      </c>
      <c r="B186" t="s">
        <v>43</v>
      </c>
      <c r="C186">
        <v>0</v>
      </c>
      <c r="D186" t="s">
        <v>36</v>
      </c>
      <c r="E186" t="s">
        <v>45</v>
      </c>
      <c r="F186">
        <v>13</v>
      </c>
      <c r="G186" t="s">
        <v>51</v>
      </c>
      <c r="H186" t="s">
        <v>256</v>
      </c>
      <c r="I186">
        <v>4</v>
      </c>
      <c r="J186" t="s">
        <v>39</v>
      </c>
      <c r="K186">
        <v>4</v>
      </c>
      <c r="L186">
        <v>2</v>
      </c>
      <c r="M186" t="s">
        <v>53</v>
      </c>
      <c r="N186">
        <v>1</v>
      </c>
      <c r="O186" t="s">
        <v>52</v>
      </c>
      <c r="P186" s="6">
        <v>4450</v>
      </c>
      <c r="Q186" t="s">
        <v>72</v>
      </c>
      <c r="R186" t="s">
        <v>43</v>
      </c>
      <c r="S186">
        <v>3</v>
      </c>
      <c r="T186">
        <v>5</v>
      </c>
      <c r="U186">
        <v>3</v>
      </c>
      <c r="V186">
        <v>4</v>
      </c>
      <c r="W186">
        <v>2</v>
      </c>
      <c r="X186">
        <v>1</v>
      </c>
      <c r="Y186">
        <v>3</v>
      </c>
      <c r="Z186" t="s">
        <v>106</v>
      </c>
      <c r="AA186" t="s">
        <v>78</v>
      </c>
      <c r="AB186" t="str" cm="1">
        <f t="array" ref="AB186">_xlfn.IFS(cleaned_data[[#This Row],[YearsAtCompany]]&lt;=5, "0-5",cleaned_data[[#This Row],[YearsAtCompany]]&lt;=10,"6-10",TRUE,"10+")</f>
        <v>0-5</v>
      </c>
    </row>
    <row r="187" spans="1:28" x14ac:dyDescent="0.3">
      <c r="A187" s="2">
        <v>33</v>
      </c>
      <c r="B187" t="s">
        <v>43</v>
      </c>
      <c r="C187">
        <v>0</v>
      </c>
      <c r="D187" t="s">
        <v>36</v>
      </c>
      <c r="E187" t="s">
        <v>45</v>
      </c>
      <c r="F187">
        <v>14</v>
      </c>
      <c r="G187" t="s">
        <v>51</v>
      </c>
      <c r="H187" t="s">
        <v>257</v>
      </c>
      <c r="I187">
        <v>4</v>
      </c>
      <c r="J187" t="s">
        <v>39</v>
      </c>
      <c r="K187">
        <v>3</v>
      </c>
      <c r="L187">
        <v>1</v>
      </c>
      <c r="M187" t="s">
        <v>47</v>
      </c>
      <c r="N187">
        <v>2</v>
      </c>
      <c r="O187" t="s">
        <v>48</v>
      </c>
      <c r="P187" s="1">
        <v>2756</v>
      </c>
      <c r="Q187" t="s">
        <v>72</v>
      </c>
      <c r="R187" t="s">
        <v>43</v>
      </c>
      <c r="S187">
        <v>3</v>
      </c>
      <c r="T187">
        <v>8</v>
      </c>
      <c r="U187">
        <v>3</v>
      </c>
      <c r="V187">
        <v>8</v>
      </c>
      <c r="W187">
        <v>7</v>
      </c>
      <c r="X187">
        <v>1</v>
      </c>
      <c r="Y187">
        <v>6</v>
      </c>
      <c r="Z187" t="s">
        <v>1551</v>
      </c>
      <c r="AA187" t="s">
        <v>69</v>
      </c>
      <c r="AB187" t="str" cm="1">
        <f t="array" ref="AB187">_xlfn.IFS(cleaned_data[[#This Row],[YearsAtCompany]]&lt;=5, "0-5",cleaned_data[[#This Row],[YearsAtCompany]]&lt;=10,"6-10",TRUE,"10+")</f>
        <v>6-10</v>
      </c>
    </row>
    <row r="188" spans="1:28" x14ac:dyDescent="0.3">
      <c r="A188" s="2">
        <v>40</v>
      </c>
      <c r="B188" t="s">
        <v>43</v>
      </c>
      <c r="C188">
        <v>0</v>
      </c>
      <c r="D188" t="s">
        <v>36</v>
      </c>
      <c r="E188" t="s">
        <v>45</v>
      </c>
      <c r="F188">
        <v>4</v>
      </c>
      <c r="G188" t="s">
        <v>51</v>
      </c>
      <c r="H188" t="s">
        <v>258</v>
      </c>
      <c r="I188">
        <v>4</v>
      </c>
      <c r="J188" t="s">
        <v>39</v>
      </c>
      <c r="K188">
        <v>3</v>
      </c>
      <c r="L188">
        <v>5</v>
      </c>
      <c r="M188" t="s">
        <v>56</v>
      </c>
      <c r="N188">
        <v>3</v>
      </c>
      <c r="O188" t="s">
        <v>48</v>
      </c>
      <c r="P188" s="1">
        <v>19033</v>
      </c>
      <c r="Q188" t="s">
        <v>90</v>
      </c>
      <c r="R188" t="s">
        <v>43</v>
      </c>
      <c r="S188">
        <v>3</v>
      </c>
      <c r="T188">
        <v>21</v>
      </c>
      <c r="U188">
        <v>3</v>
      </c>
      <c r="V188">
        <v>20</v>
      </c>
      <c r="W188">
        <v>8</v>
      </c>
      <c r="X188">
        <v>9</v>
      </c>
      <c r="Y188">
        <v>9</v>
      </c>
      <c r="Z188" t="s">
        <v>1550</v>
      </c>
      <c r="AA188" t="s">
        <v>82</v>
      </c>
      <c r="AB188" t="str" cm="1">
        <f t="array" ref="AB188">_xlfn.IFS(cleaned_data[[#This Row],[YearsAtCompany]]&lt;=5, "0-5",cleaned_data[[#This Row],[YearsAtCompany]]&lt;=10,"6-10",TRUE,"10+")</f>
        <v>10+</v>
      </c>
    </row>
    <row r="189" spans="1:28" x14ac:dyDescent="0.3">
      <c r="A189" s="2">
        <v>55</v>
      </c>
      <c r="B189" t="s">
        <v>43</v>
      </c>
      <c r="C189">
        <v>0</v>
      </c>
      <c r="D189" t="s">
        <v>36</v>
      </c>
      <c r="E189" t="s">
        <v>45</v>
      </c>
      <c r="F189">
        <v>14</v>
      </c>
      <c r="G189" t="s">
        <v>51</v>
      </c>
      <c r="H189" t="s">
        <v>259</v>
      </c>
      <c r="I189">
        <v>3</v>
      </c>
      <c r="J189" t="s">
        <v>46</v>
      </c>
      <c r="K189">
        <v>4</v>
      </c>
      <c r="L189">
        <v>5</v>
      </c>
      <c r="M189" t="s">
        <v>58</v>
      </c>
      <c r="N189">
        <v>2</v>
      </c>
      <c r="O189" t="s">
        <v>41</v>
      </c>
      <c r="P189" s="1">
        <v>18722</v>
      </c>
      <c r="Q189" t="s">
        <v>90</v>
      </c>
      <c r="R189" t="s">
        <v>43</v>
      </c>
      <c r="S189">
        <v>3</v>
      </c>
      <c r="T189">
        <v>36</v>
      </c>
      <c r="U189">
        <v>3</v>
      </c>
      <c r="V189">
        <v>24</v>
      </c>
      <c r="W189">
        <v>15</v>
      </c>
      <c r="X189">
        <v>2</v>
      </c>
      <c r="Y189">
        <v>15</v>
      </c>
      <c r="Z189" t="s">
        <v>106</v>
      </c>
      <c r="AA189" t="s">
        <v>82</v>
      </c>
      <c r="AB189" t="str" cm="1">
        <f t="array" ref="AB189">_xlfn.IFS(cleaned_data[[#This Row],[YearsAtCompany]]&lt;=5, "0-5",cleaned_data[[#This Row],[YearsAtCompany]]&lt;=10,"6-10",TRUE,"10+")</f>
        <v>10+</v>
      </c>
    </row>
    <row r="190" spans="1:28" x14ac:dyDescent="0.3">
      <c r="A190" s="2">
        <v>34</v>
      </c>
      <c r="B190" t="s">
        <v>43</v>
      </c>
      <c r="C190">
        <v>0</v>
      </c>
      <c r="D190" t="s">
        <v>44</v>
      </c>
      <c r="E190" t="s">
        <v>45</v>
      </c>
      <c r="F190">
        <v>2</v>
      </c>
      <c r="G190" t="s">
        <v>38</v>
      </c>
      <c r="H190" t="s">
        <v>260</v>
      </c>
      <c r="I190">
        <v>4</v>
      </c>
      <c r="J190" t="s">
        <v>46</v>
      </c>
      <c r="K190">
        <v>2</v>
      </c>
      <c r="L190">
        <v>2</v>
      </c>
      <c r="M190" t="s">
        <v>53</v>
      </c>
      <c r="N190">
        <v>3</v>
      </c>
      <c r="O190" t="s">
        <v>48</v>
      </c>
      <c r="P190" s="1">
        <v>9547</v>
      </c>
      <c r="Q190" t="s">
        <v>67</v>
      </c>
      <c r="R190" t="s">
        <v>43</v>
      </c>
      <c r="S190">
        <v>3</v>
      </c>
      <c r="T190">
        <v>10</v>
      </c>
      <c r="U190">
        <v>2</v>
      </c>
      <c r="V190">
        <v>10</v>
      </c>
      <c r="W190">
        <v>9</v>
      </c>
      <c r="X190">
        <v>1</v>
      </c>
      <c r="Y190">
        <v>9</v>
      </c>
      <c r="Z190" t="s">
        <v>1551</v>
      </c>
      <c r="AA190" t="s">
        <v>69</v>
      </c>
      <c r="AB190" t="str" cm="1">
        <f t="array" ref="AB190">_xlfn.IFS(cleaned_data[[#This Row],[YearsAtCompany]]&lt;=5, "0-5",cleaned_data[[#This Row],[YearsAtCompany]]&lt;=10,"6-10",TRUE,"10+")</f>
        <v>6-10</v>
      </c>
    </row>
    <row r="191" spans="1:28" x14ac:dyDescent="0.3">
      <c r="A191" s="2">
        <v>51</v>
      </c>
      <c r="B191" t="s">
        <v>43</v>
      </c>
      <c r="C191">
        <v>0</v>
      </c>
      <c r="D191" t="s">
        <v>36</v>
      </c>
      <c r="E191" t="s">
        <v>45</v>
      </c>
      <c r="F191">
        <v>3</v>
      </c>
      <c r="G191" t="s">
        <v>51</v>
      </c>
      <c r="H191" t="s">
        <v>261</v>
      </c>
      <c r="I191">
        <v>4</v>
      </c>
      <c r="J191" t="s">
        <v>39</v>
      </c>
      <c r="K191">
        <v>3</v>
      </c>
      <c r="L191">
        <v>4</v>
      </c>
      <c r="M191" t="s">
        <v>54</v>
      </c>
      <c r="N191">
        <v>2</v>
      </c>
      <c r="O191" t="s">
        <v>41</v>
      </c>
      <c r="P191" s="1">
        <v>13734</v>
      </c>
      <c r="Q191" t="s">
        <v>90</v>
      </c>
      <c r="R191" t="s">
        <v>43</v>
      </c>
      <c r="S191">
        <v>3</v>
      </c>
      <c r="T191">
        <v>21</v>
      </c>
      <c r="U191">
        <v>3</v>
      </c>
      <c r="V191">
        <v>7</v>
      </c>
      <c r="W191">
        <v>7</v>
      </c>
      <c r="X191">
        <v>1</v>
      </c>
      <c r="Y191">
        <v>0</v>
      </c>
      <c r="Z191" t="s">
        <v>106</v>
      </c>
      <c r="AA191" t="s">
        <v>82</v>
      </c>
      <c r="AB191" t="str" cm="1">
        <f t="array" ref="AB191">_xlfn.IFS(cleaned_data[[#This Row],[YearsAtCompany]]&lt;=5, "0-5",cleaned_data[[#This Row],[YearsAtCompany]]&lt;=10,"6-10",TRUE,"10+")</f>
        <v>6-10</v>
      </c>
    </row>
    <row r="192" spans="1:28" x14ac:dyDescent="0.3">
      <c r="A192" s="2">
        <v>52</v>
      </c>
      <c r="B192" t="s">
        <v>43</v>
      </c>
      <c r="C192">
        <v>0</v>
      </c>
      <c r="D192" t="s">
        <v>36</v>
      </c>
      <c r="E192" t="s">
        <v>45</v>
      </c>
      <c r="F192">
        <v>1</v>
      </c>
      <c r="G192" t="s">
        <v>38</v>
      </c>
      <c r="H192" t="s">
        <v>262</v>
      </c>
      <c r="I192">
        <v>3</v>
      </c>
      <c r="J192" t="s">
        <v>46</v>
      </c>
      <c r="K192">
        <v>2</v>
      </c>
      <c r="L192">
        <v>5</v>
      </c>
      <c r="M192" t="s">
        <v>56</v>
      </c>
      <c r="N192">
        <v>3</v>
      </c>
      <c r="O192" t="s">
        <v>48</v>
      </c>
      <c r="P192" s="1">
        <v>19999</v>
      </c>
      <c r="Q192" t="s">
        <v>90</v>
      </c>
      <c r="R192" t="s">
        <v>43</v>
      </c>
      <c r="S192">
        <v>3</v>
      </c>
      <c r="T192">
        <v>34</v>
      </c>
      <c r="U192">
        <v>3</v>
      </c>
      <c r="V192">
        <v>33</v>
      </c>
      <c r="W192">
        <v>18</v>
      </c>
      <c r="X192">
        <v>11</v>
      </c>
      <c r="Y192">
        <v>9</v>
      </c>
      <c r="Z192" t="s">
        <v>106</v>
      </c>
      <c r="AA192" t="s">
        <v>82</v>
      </c>
      <c r="AB192" t="str" cm="1">
        <f t="array" ref="AB192">_xlfn.IFS(cleaned_data[[#This Row],[YearsAtCompany]]&lt;=5, "0-5",cleaned_data[[#This Row],[YearsAtCompany]]&lt;=10,"6-10",TRUE,"10+")</f>
        <v>10+</v>
      </c>
    </row>
    <row r="193" spans="1:28" x14ac:dyDescent="0.3">
      <c r="A193" s="2">
        <v>27</v>
      </c>
      <c r="B193" t="s">
        <v>43</v>
      </c>
      <c r="C193">
        <v>0</v>
      </c>
      <c r="D193" t="s">
        <v>36</v>
      </c>
      <c r="E193" t="s">
        <v>45</v>
      </c>
      <c r="F193">
        <v>9</v>
      </c>
      <c r="G193" t="s">
        <v>51</v>
      </c>
      <c r="H193" t="s">
        <v>263</v>
      </c>
      <c r="I193">
        <v>4</v>
      </c>
      <c r="J193" t="s">
        <v>39</v>
      </c>
      <c r="K193">
        <v>3</v>
      </c>
      <c r="L193">
        <v>1</v>
      </c>
      <c r="M193" t="s">
        <v>47</v>
      </c>
      <c r="N193">
        <v>2</v>
      </c>
      <c r="O193" t="s">
        <v>41</v>
      </c>
      <c r="P193" s="1">
        <v>2279</v>
      </c>
      <c r="Q193" t="s">
        <v>72</v>
      </c>
      <c r="R193" t="s">
        <v>43</v>
      </c>
      <c r="S193">
        <v>3</v>
      </c>
      <c r="T193">
        <v>7</v>
      </c>
      <c r="U193">
        <v>2</v>
      </c>
      <c r="V193">
        <v>7</v>
      </c>
      <c r="W193">
        <v>7</v>
      </c>
      <c r="X193">
        <v>0</v>
      </c>
      <c r="Y193">
        <v>3</v>
      </c>
      <c r="Z193" t="s">
        <v>1551</v>
      </c>
      <c r="AA193" t="s">
        <v>69</v>
      </c>
      <c r="AB193" t="str" cm="1">
        <f t="array" ref="AB193">_xlfn.IFS(cleaned_data[[#This Row],[YearsAtCompany]]&lt;=5, "0-5",cleaned_data[[#This Row],[YearsAtCompany]]&lt;=10,"6-10",TRUE,"10+")</f>
        <v>6-10</v>
      </c>
    </row>
    <row r="194" spans="1:28" x14ac:dyDescent="0.3">
      <c r="A194" s="2">
        <v>35</v>
      </c>
      <c r="B194" t="s">
        <v>35</v>
      </c>
      <c r="C194">
        <v>1</v>
      </c>
      <c r="D194" t="s">
        <v>36</v>
      </c>
      <c r="E194" t="s">
        <v>45</v>
      </c>
      <c r="F194">
        <v>23</v>
      </c>
      <c r="G194" t="s">
        <v>38</v>
      </c>
      <c r="H194" t="s">
        <v>264</v>
      </c>
      <c r="I194">
        <v>2</v>
      </c>
      <c r="J194" t="s">
        <v>46</v>
      </c>
      <c r="K194">
        <v>2</v>
      </c>
      <c r="L194">
        <v>2</v>
      </c>
      <c r="M194" t="s">
        <v>53</v>
      </c>
      <c r="N194">
        <v>3</v>
      </c>
      <c r="O194" t="s">
        <v>48</v>
      </c>
      <c r="P194" s="1">
        <v>5916</v>
      </c>
      <c r="Q194" t="s">
        <v>67</v>
      </c>
      <c r="R194" t="s">
        <v>35</v>
      </c>
      <c r="S194">
        <v>3</v>
      </c>
      <c r="T194">
        <v>8</v>
      </c>
      <c r="U194">
        <v>3</v>
      </c>
      <c r="V194">
        <v>1</v>
      </c>
      <c r="W194">
        <v>0</v>
      </c>
      <c r="X194">
        <v>0</v>
      </c>
      <c r="Y194">
        <v>1</v>
      </c>
      <c r="Z194" t="s">
        <v>1551</v>
      </c>
      <c r="AA194" t="s">
        <v>69</v>
      </c>
      <c r="AB194" t="str" cm="1">
        <f t="array" ref="AB194">_xlfn.IFS(cleaned_data[[#This Row],[YearsAtCompany]]&lt;=5, "0-5",cleaned_data[[#This Row],[YearsAtCompany]]&lt;=10,"6-10",TRUE,"10+")</f>
        <v>0-5</v>
      </c>
    </row>
    <row r="195" spans="1:28" x14ac:dyDescent="0.3">
      <c r="A195" s="2">
        <v>43</v>
      </c>
      <c r="B195" t="s">
        <v>43</v>
      </c>
      <c r="C195">
        <v>0</v>
      </c>
      <c r="D195" t="s">
        <v>55</v>
      </c>
      <c r="E195" t="s">
        <v>45</v>
      </c>
      <c r="F195">
        <v>7</v>
      </c>
      <c r="G195" t="s">
        <v>51</v>
      </c>
      <c r="H195" t="s">
        <v>265</v>
      </c>
      <c r="I195">
        <v>4</v>
      </c>
      <c r="J195" t="s">
        <v>46</v>
      </c>
      <c r="K195">
        <v>4</v>
      </c>
      <c r="L195">
        <v>1</v>
      </c>
      <c r="M195" t="s">
        <v>47</v>
      </c>
      <c r="N195">
        <v>4</v>
      </c>
      <c r="O195" t="s">
        <v>52</v>
      </c>
      <c r="P195" s="1">
        <v>2089</v>
      </c>
      <c r="Q195" t="s">
        <v>72</v>
      </c>
      <c r="R195" t="s">
        <v>43</v>
      </c>
      <c r="S195">
        <v>3</v>
      </c>
      <c r="T195">
        <v>7</v>
      </c>
      <c r="U195">
        <v>4</v>
      </c>
      <c r="V195">
        <v>5</v>
      </c>
      <c r="W195">
        <v>4</v>
      </c>
      <c r="X195">
        <v>2</v>
      </c>
      <c r="Y195">
        <v>2</v>
      </c>
      <c r="Z195" t="s">
        <v>1550</v>
      </c>
      <c r="AA195" t="s">
        <v>69</v>
      </c>
      <c r="AB195" t="str" cm="1">
        <f t="array" ref="AB195">_xlfn.IFS(cleaned_data[[#This Row],[YearsAtCompany]]&lt;=5, "0-5",cleaned_data[[#This Row],[YearsAtCompany]]&lt;=10,"6-10",TRUE,"10+")</f>
        <v>0-5</v>
      </c>
    </row>
    <row r="196" spans="1:28" x14ac:dyDescent="0.3">
      <c r="A196" s="2">
        <v>45</v>
      </c>
      <c r="B196" t="s">
        <v>43</v>
      </c>
      <c r="C196">
        <v>0</v>
      </c>
      <c r="D196" t="s">
        <v>55</v>
      </c>
      <c r="E196" t="s">
        <v>45</v>
      </c>
      <c r="F196">
        <v>2</v>
      </c>
      <c r="G196" t="s">
        <v>51</v>
      </c>
      <c r="H196" t="s">
        <v>266</v>
      </c>
      <c r="I196">
        <v>1</v>
      </c>
      <c r="J196" t="s">
        <v>46</v>
      </c>
      <c r="K196">
        <v>2</v>
      </c>
      <c r="L196">
        <v>4</v>
      </c>
      <c r="M196" t="s">
        <v>56</v>
      </c>
      <c r="N196">
        <v>4</v>
      </c>
      <c r="O196" t="s">
        <v>48</v>
      </c>
      <c r="P196" s="1">
        <v>16792</v>
      </c>
      <c r="Q196" t="s">
        <v>90</v>
      </c>
      <c r="R196" t="s">
        <v>43</v>
      </c>
      <c r="S196">
        <v>4</v>
      </c>
      <c r="T196">
        <v>22</v>
      </c>
      <c r="U196">
        <v>3</v>
      </c>
      <c r="V196">
        <v>20</v>
      </c>
      <c r="W196">
        <v>8</v>
      </c>
      <c r="X196">
        <v>11</v>
      </c>
      <c r="Y196">
        <v>8</v>
      </c>
      <c r="Z196" t="s">
        <v>1550</v>
      </c>
      <c r="AA196" t="s">
        <v>82</v>
      </c>
      <c r="AB196" t="str" cm="1">
        <f t="array" ref="AB196">_xlfn.IFS(cleaned_data[[#This Row],[YearsAtCompany]]&lt;=5, "0-5",cleaned_data[[#This Row],[YearsAtCompany]]&lt;=10,"6-10",TRUE,"10+")</f>
        <v>10+</v>
      </c>
    </row>
    <row r="197" spans="1:28" x14ac:dyDescent="0.3">
      <c r="A197" s="2">
        <v>37</v>
      </c>
      <c r="B197" t="s">
        <v>43</v>
      </c>
      <c r="C197">
        <v>0</v>
      </c>
      <c r="D197" t="s">
        <v>36</v>
      </c>
      <c r="E197" t="s">
        <v>45</v>
      </c>
      <c r="F197">
        <v>21</v>
      </c>
      <c r="G197" t="s">
        <v>38</v>
      </c>
      <c r="H197" t="s">
        <v>267</v>
      </c>
      <c r="I197">
        <v>2</v>
      </c>
      <c r="J197" t="s">
        <v>46</v>
      </c>
      <c r="K197">
        <v>4</v>
      </c>
      <c r="L197">
        <v>1</v>
      </c>
      <c r="M197" t="s">
        <v>47</v>
      </c>
      <c r="N197">
        <v>1</v>
      </c>
      <c r="O197" t="s">
        <v>48</v>
      </c>
      <c r="P197" s="6">
        <v>3564</v>
      </c>
      <c r="Q197" t="s">
        <v>72</v>
      </c>
      <c r="R197" t="s">
        <v>35</v>
      </c>
      <c r="S197">
        <v>3</v>
      </c>
      <c r="T197">
        <v>8</v>
      </c>
      <c r="U197">
        <v>2</v>
      </c>
      <c r="V197">
        <v>8</v>
      </c>
      <c r="W197">
        <v>7</v>
      </c>
      <c r="X197">
        <v>1</v>
      </c>
      <c r="Y197">
        <v>7</v>
      </c>
      <c r="Z197" t="s">
        <v>1550</v>
      </c>
      <c r="AA197" t="s">
        <v>69</v>
      </c>
      <c r="AB197" t="str" cm="1">
        <f t="array" ref="AB197">_xlfn.IFS(cleaned_data[[#This Row],[YearsAtCompany]]&lt;=5, "0-5",cleaned_data[[#This Row],[YearsAtCompany]]&lt;=10,"6-10",TRUE,"10+")</f>
        <v>6-10</v>
      </c>
    </row>
    <row r="198" spans="1:28" x14ac:dyDescent="0.3">
      <c r="A198" s="2">
        <v>35</v>
      </c>
      <c r="B198" t="s">
        <v>43</v>
      </c>
      <c r="C198">
        <v>0</v>
      </c>
      <c r="D198" t="s">
        <v>44</v>
      </c>
      <c r="E198" t="s">
        <v>45</v>
      </c>
      <c r="F198">
        <v>2</v>
      </c>
      <c r="G198" t="s">
        <v>51</v>
      </c>
      <c r="H198" t="s">
        <v>268</v>
      </c>
      <c r="I198">
        <v>2</v>
      </c>
      <c r="J198" t="s">
        <v>39</v>
      </c>
      <c r="K198">
        <v>3</v>
      </c>
      <c r="L198">
        <v>2</v>
      </c>
      <c r="M198" t="s">
        <v>50</v>
      </c>
      <c r="N198">
        <v>2</v>
      </c>
      <c r="O198" t="s">
        <v>41</v>
      </c>
      <c r="P198" s="1">
        <v>4425</v>
      </c>
      <c r="Q198" t="s">
        <v>72</v>
      </c>
      <c r="R198" t="s">
        <v>43</v>
      </c>
      <c r="S198">
        <v>3</v>
      </c>
      <c r="T198">
        <v>10</v>
      </c>
      <c r="U198">
        <v>3</v>
      </c>
      <c r="V198">
        <v>6</v>
      </c>
      <c r="W198">
        <v>2</v>
      </c>
      <c r="X198">
        <v>1</v>
      </c>
      <c r="Y198">
        <v>2</v>
      </c>
      <c r="Z198" t="s">
        <v>1551</v>
      </c>
      <c r="AA198" t="s">
        <v>69</v>
      </c>
      <c r="AB198" t="str" cm="1">
        <f t="array" ref="AB198">_xlfn.IFS(cleaned_data[[#This Row],[YearsAtCompany]]&lt;=5, "0-5",cleaned_data[[#This Row],[YearsAtCompany]]&lt;=10,"6-10",TRUE,"10+")</f>
        <v>6-10</v>
      </c>
    </row>
    <row r="199" spans="1:28" x14ac:dyDescent="0.3">
      <c r="A199" s="2">
        <v>42</v>
      </c>
      <c r="B199" t="s">
        <v>43</v>
      </c>
      <c r="C199">
        <v>0</v>
      </c>
      <c r="D199" t="s">
        <v>55</v>
      </c>
      <c r="E199" t="s">
        <v>45</v>
      </c>
      <c r="F199">
        <v>21</v>
      </c>
      <c r="G199" t="s">
        <v>51</v>
      </c>
      <c r="H199" t="s">
        <v>269</v>
      </c>
      <c r="I199">
        <v>3</v>
      </c>
      <c r="J199" t="s">
        <v>39</v>
      </c>
      <c r="K199">
        <v>3</v>
      </c>
      <c r="L199">
        <v>2</v>
      </c>
      <c r="M199" t="s">
        <v>53</v>
      </c>
      <c r="N199">
        <v>3</v>
      </c>
      <c r="O199" t="s">
        <v>52</v>
      </c>
      <c r="P199" s="1">
        <v>5265</v>
      </c>
      <c r="Q199" t="s">
        <v>67</v>
      </c>
      <c r="R199" t="s">
        <v>43</v>
      </c>
      <c r="S199">
        <v>3</v>
      </c>
      <c r="T199">
        <v>11</v>
      </c>
      <c r="U199">
        <v>3</v>
      </c>
      <c r="V199">
        <v>5</v>
      </c>
      <c r="W199">
        <v>3</v>
      </c>
      <c r="X199">
        <v>0</v>
      </c>
      <c r="Y199">
        <v>2</v>
      </c>
      <c r="Z199" t="s">
        <v>1550</v>
      </c>
      <c r="AA199" t="s">
        <v>69</v>
      </c>
      <c r="AB199" t="str" cm="1">
        <f t="array" ref="AB199">_xlfn.IFS(cleaned_data[[#This Row],[YearsAtCompany]]&lt;=5, "0-5",cleaned_data[[#This Row],[YearsAtCompany]]&lt;=10,"6-10",TRUE,"10+")</f>
        <v>0-5</v>
      </c>
    </row>
    <row r="200" spans="1:28" x14ac:dyDescent="0.3">
      <c r="A200" s="2">
        <v>38</v>
      </c>
      <c r="B200" t="s">
        <v>43</v>
      </c>
      <c r="C200">
        <v>0</v>
      </c>
      <c r="D200" t="s">
        <v>36</v>
      </c>
      <c r="E200" t="s">
        <v>45</v>
      </c>
      <c r="F200">
        <v>2</v>
      </c>
      <c r="G200" t="s">
        <v>38</v>
      </c>
      <c r="H200" t="s">
        <v>270</v>
      </c>
      <c r="I200">
        <v>4</v>
      </c>
      <c r="J200" t="s">
        <v>46</v>
      </c>
      <c r="K200">
        <v>3</v>
      </c>
      <c r="L200">
        <v>2</v>
      </c>
      <c r="M200" t="s">
        <v>53</v>
      </c>
      <c r="N200">
        <v>3</v>
      </c>
      <c r="O200" t="s">
        <v>48</v>
      </c>
      <c r="P200" s="1">
        <v>6553</v>
      </c>
      <c r="Q200" t="s">
        <v>67</v>
      </c>
      <c r="R200" t="s">
        <v>43</v>
      </c>
      <c r="S200">
        <v>3</v>
      </c>
      <c r="T200">
        <v>14</v>
      </c>
      <c r="U200">
        <v>3</v>
      </c>
      <c r="V200">
        <v>1</v>
      </c>
      <c r="W200">
        <v>0</v>
      </c>
      <c r="X200">
        <v>0</v>
      </c>
      <c r="Y200">
        <v>0</v>
      </c>
      <c r="Z200" t="s">
        <v>1550</v>
      </c>
      <c r="AA200" t="s">
        <v>69</v>
      </c>
      <c r="AB200" t="str" cm="1">
        <f t="array" ref="AB200">_xlfn.IFS(cleaned_data[[#This Row],[YearsAtCompany]]&lt;=5, "0-5",cleaned_data[[#This Row],[YearsAtCompany]]&lt;=10,"6-10",TRUE,"10+")</f>
        <v>0-5</v>
      </c>
    </row>
    <row r="201" spans="1:28" x14ac:dyDescent="0.3">
      <c r="A201" s="2">
        <v>38</v>
      </c>
      <c r="B201" t="s">
        <v>43</v>
      </c>
      <c r="C201">
        <v>0</v>
      </c>
      <c r="D201" t="s">
        <v>36</v>
      </c>
      <c r="E201" t="s">
        <v>45</v>
      </c>
      <c r="F201">
        <v>29</v>
      </c>
      <c r="G201" t="s">
        <v>60</v>
      </c>
      <c r="H201" t="s">
        <v>271</v>
      </c>
      <c r="I201">
        <v>4</v>
      </c>
      <c r="J201" t="s">
        <v>46</v>
      </c>
      <c r="K201">
        <v>3</v>
      </c>
      <c r="L201">
        <v>2</v>
      </c>
      <c r="M201" t="s">
        <v>53</v>
      </c>
      <c r="N201">
        <v>4</v>
      </c>
      <c r="O201" t="s">
        <v>48</v>
      </c>
      <c r="P201" s="1">
        <v>6261</v>
      </c>
      <c r="Q201" t="s">
        <v>67</v>
      </c>
      <c r="R201" t="s">
        <v>43</v>
      </c>
      <c r="S201">
        <v>3</v>
      </c>
      <c r="T201">
        <v>9</v>
      </c>
      <c r="U201">
        <v>1</v>
      </c>
      <c r="V201">
        <v>7</v>
      </c>
      <c r="W201">
        <v>7</v>
      </c>
      <c r="X201">
        <v>1</v>
      </c>
      <c r="Y201">
        <v>7</v>
      </c>
      <c r="Z201" t="s">
        <v>1550</v>
      </c>
      <c r="AA201" t="s">
        <v>69</v>
      </c>
      <c r="AB201" t="str" cm="1">
        <f t="array" ref="AB201">_xlfn.IFS(cleaned_data[[#This Row],[YearsAtCompany]]&lt;=5, "0-5",cleaned_data[[#This Row],[YearsAtCompany]]&lt;=10,"6-10",TRUE,"10+")</f>
        <v>6-10</v>
      </c>
    </row>
    <row r="202" spans="1:28" x14ac:dyDescent="0.3">
      <c r="A202" s="2">
        <v>27</v>
      </c>
      <c r="B202" t="s">
        <v>43</v>
      </c>
      <c r="C202">
        <v>0</v>
      </c>
      <c r="D202" t="s">
        <v>44</v>
      </c>
      <c r="E202" t="s">
        <v>45</v>
      </c>
      <c r="F202">
        <v>1</v>
      </c>
      <c r="G202" t="s">
        <v>60</v>
      </c>
      <c r="H202" t="s">
        <v>272</v>
      </c>
      <c r="I202">
        <v>3</v>
      </c>
      <c r="J202" t="s">
        <v>46</v>
      </c>
      <c r="K202">
        <v>2</v>
      </c>
      <c r="L202">
        <v>2</v>
      </c>
      <c r="M202" t="s">
        <v>53</v>
      </c>
      <c r="N202">
        <v>1</v>
      </c>
      <c r="O202" t="s">
        <v>48</v>
      </c>
      <c r="P202" s="6">
        <v>4298</v>
      </c>
      <c r="Q202" t="s">
        <v>72</v>
      </c>
      <c r="R202" t="s">
        <v>43</v>
      </c>
      <c r="S202">
        <v>3</v>
      </c>
      <c r="T202">
        <v>6</v>
      </c>
      <c r="U202">
        <v>3</v>
      </c>
      <c r="V202">
        <v>2</v>
      </c>
      <c r="W202">
        <v>2</v>
      </c>
      <c r="X202">
        <v>2</v>
      </c>
      <c r="Y202">
        <v>0</v>
      </c>
      <c r="Z202" t="s">
        <v>1551</v>
      </c>
      <c r="AA202" t="s">
        <v>69</v>
      </c>
      <c r="AB202" t="str" cm="1">
        <f t="array" ref="AB202">_xlfn.IFS(cleaned_data[[#This Row],[YearsAtCompany]]&lt;=5, "0-5",cleaned_data[[#This Row],[YearsAtCompany]]&lt;=10,"6-10",TRUE,"10+")</f>
        <v>0-5</v>
      </c>
    </row>
    <row r="203" spans="1:28" x14ac:dyDescent="0.3">
      <c r="A203" s="2">
        <v>49</v>
      </c>
      <c r="B203" t="s">
        <v>43</v>
      </c>
      <c r="C203">
        <v>0</v>
      </c>
      <c r="D203" t="s">
        <v>55</v>
      </c>
      <c r="E203" t="s">
        <v>45</v>
      </c>
      <c r="F203">
        <v>18</v>
      </c>
      <c r="G203" t="s">
        <v>38</v>
      </c>
      <c r="H203" t="s">
        <v>273</v>
      </c>
      <c r="I203">
        <v>4</v>
      </c>
      <c r="J203" t="s">
        <v>46</v>
      </c>
      <c r="K203">
        <v>3</v>
      </c>
      <c r="L203">
        <v>2</v>
      </c>
      <c r="M203" t="s">
        <v>53</v>
      </c>
      <c r="N203">
        <v>4</v>
      </c>
      <c r="O203" t="s">
        <v>52</v>
      </c>
      <c r="P203" s="1">
        <v>6804</v>
      </c>
      <c r="Q203" t="s">
        <v>67</v>
      </c>
      <c r="R203" t="s">
        <v>35</v>
      </c>
      <c r="S203">
        <v>3</v>
      </c>
      <c r="T203">
        <v>7</v>
      </c>
      <c r="U203">
        <v>3</v>
      </c>
      <c r="V203">
        <v>7</v>
      </c>
      <c r="W203">
        <v>7</v>
      </c>
      <c r="X203">
        <v>1</v>
      </c>
      <c r="Y203">
        <v>7</v>
      </c>
      <c r="Z203" t="s">
        <v>106</v>
      </c>
      <c r="AA203" t="s">
        <v>69</v>
      </c>
      <c r="AB203" t="str" cm="1">
        <f t="array" ref="AB203">_xlfn.IFS(cleaned_data[[#This Row],[YearsAtCompany]]&lt;=5, "0-5",cleaned_data[[#This Row],[YearsAtCompany]]&lt;=10,"6-10",TRUE,"10+")</f>
        <v>6-10</v>
      </c>
    </row>
    <row r="204" spans="1:28" x14ac:dyDescent="0.3">
      <c r="A204" s="2">
        <v>34</v>
      </c>
      <c r="B204" t="s">
        <v>43</v>
      </c>
      <c r="C204">
        <v>0</v>
      </c>
      <c r="D204" t="s">
        <v>44</v>
      </c>
      <c r="E204" t="s">
        <v>45</v>
      </c>
      <c r="F204">
        <v>10</v>
      </c>
      <c r="G204" t="s">
        <v>51</v>
      </c>
      <c r="H204" t="s">
        <v>274</v>
      </c>
      <c r="I204">
        <v>4</v>
      </c>
      <c r="J204" t="s">
        <v>46</v>
      </c>
      <c r="K204">
        <v>3</v>
      </c>
      <c r="L204">
        <v>1</v>
      </c>
      <c r="M204" t="s">
        <v>47</v>
      </c>
      <c r="N204">
        <v>3</v>
      </c>
      <c r="O204" t="s">
        <v>52</v>
      </c>
      <c r="P204" s="1">
        <v>3815</v>
      </c>
      <c r="Q204" t="s">
        <v>72</v>
      </c>
      <c r="R204" t="s">
        <v>35</v>
      </c>
      <c r="S204">
        <v>3</v>
      </c>
      <c r="T204">
        <v>5</v>
      </c>
      <c r="U204">
        <v>4</v>
      </c>
      <c r="V204">
        <v>5</v>
      </c>
      <c r="W204">
        <v>3</v>
      </c>
      <c r="X204">
        <v>2</v>
      </c>
      <c r="Y204">
        <v>0</v>
      </c>
      <c r="Z204" t="s">
        <v>1551</v>
      </c>
      <c r="AA204" t="s">
        <v>78</v>
      </c>
      <c r="AB204" t="str" cm="1">
        <f t="array" ref="AB204">_xlfn.IFS(cleaned_data[[#This Row],[YearsAtCompany]]&lt;=5, "0-5",cleaned_data[[#This Row],[YearsAtCompany]]&lt;=10,"6-10",TRUE,"10+")</f>
        <v>0-5</v>
      </c>
    </row>
    <row r="205" spans="1:28" x14ac:dyDescent="0.3">
      <c r="A205" s="2">
        <v>40</v>
      </c>
      <c r="B205" t="s">
        <v>43</v>
      </c>
      <c r="C205">
        <v>0</v>
      </c>
      <c r="D205" t="s">
        <v>36</v>
      </c>
      <c r="E205" t="s">
        <v>45</v>
      </c>
      <c r="F205">
        <v>19</v>
      </c>
      <c r="G205" t="s">
        <v>51</v>
      </c>
      <c r="H205" t="s">
        <v>275</v>
      </c>
      <c r="I205">
        <v>3</v>
      </c>
      <c r="J205" t="s">
        <v>46</v>
      </c>
      <c r="K205">
        <v>3</v>
      </c>
      <c r="L205">
        <v>2</v>
      </c>
      <c r="M205" t="s">
        <v>50</v>
      </c>
      <c r="N205">
        <v>4</v>
      </c>
      <c r="O205" t="s">
        <v>48</v>
      </c>
      <c r="P205" s="1">
        <v>2741</v>
      </c>
      <c r="Q205" t="s">
        <v>72</v>
      </c>
      <c r="R205" t="s">
        <v>35</v>
      </c>
      <c r="S205">
        <v>3</v>
      </c>
      <c r="T205">
        <v>15</v>
      </c>
      <c r="U205">
        <v>4</v>
      </c>
      <c r="V205">
        <v>7</v>
      </c>
      <c r="W205">
        <v>2</v>
      </c>
      <c r="X205">
        <v>3</v>
      </c>
      <c r="Y205">
        <v>7</v>
      </c>
      <c r="Z205" t="s">
        <v>1550</v>
      </c>
      <c r="AA205" t="s">
        <v>69</v>
      </c>
      <c r="AB205" t="str" cm="1">
        <f t="array" ref="AB205">_xlfn.IFS(cleaned_data[[#This Row],[YearsAtCompany]]&lt;=5, "0-5",cleaned_data[[#This Row],[YearsAtCompany]]&lt;=10,"6-10",TRUE,"10+")</f>
        <v>6-10</v>
      </c>
    </row>
    <row r="206" spans="1:28" x14ac:dyDescent="0.3">
      <c r="A206" s="2">
        <v>38</v>
      </c>
      <c r="B206" t="s">
        <v>35</v>
      </c>
      <c r="C206">
        <v>1</v>
      </c>
      <c r="D206" t="s">
        <v>36</v>
      </c>
      <c r="E206" t="s">
        <v>45</v>
      </c>
      <c r="F206">
        <v>29</v>
      </c>
      <c r="G206" t="s">
        <v>51</v>
      </c>
      <c r="H206" t="s">
        <v>276</v>
      </c>
      <c r="I206">
        <v>2</v>
      </c>
      <c r="J206" t="s">
        <v>46</v>
      </c>
      <c r="K206">
        <v>3</v>
      </c>
      <c r="L206">
        <v>2</v>
      </c>
      <c r="M206" t="s">
        <v>54</v>
      </c>
      <c r="N206">
        <v>1</v>
      </c>
      <c r="O206" t="s">
        <v>48</v>
      </c>
      <c r="P206" s="6">
        <v>6673</v>
      </c>
      <c r="Q206" t="s">
        <v>67</v>
      </c>
      <c r="R206" t="s">
        <v>35</v>
      </c>
      <c r="S206">
        <v>3</v>
      </c>
      <c r="T206">
        <v>17</v>
      </c>
      <c r="U206">
        <v>3</v>
      </c>
      <c r="V206">
        <v>1</v>
      </c>
      <c r="W206">
        <v>0</v>
      </c>
      <c r="X206">
        <v>0</v>
      </c>
      <c r="Y206">
        <v>0</v>
      </c>
      <c r="Z206" t="s">
        <v>1550</v>
      </c>
      <c r="AA206" t="s">
        <v>82</v>
      </c>
      <c r="AB206" t="str" cm="1">
        <f t="array" ref="AB206">_xlfn.IFS(cleaned_data[[#This Row],[YearsAtCompany]]&lt;=5, "0-5",cleaned_data[[#This Row],[YearsAtCompany]]&lt;=10,"6-10",TRUE,"10+")</f>
        <v>0-5</v>
      </c>
    </row>
    <row r="207" spans="1:28" x14ac:dyDescent="0.3">
      <c r="A207" s="2">
        <v>29</v>
      </c>
      <c r="B207" t="s">
        <v>35</v>
      </c>
      <c r="C207">
        <v>1</v>
      </c>
      <c r="D207" t="s">
        <v>36</v>
      </c>
      <c r="E207" t="s">
        <v>37</v>
      </c>
      <c r="F207">
        <v>27</v>
      </c>
      <c r="G207" t="s">
        <v>59</v>
      </c>
      <c r="H207" t="s">
        <v>277</v>
      </c>
      <c r="I207">
        <v>2</v>
      </c>
      <c r="J207" t="s">
        <v>39</v>
      </c>
      <c r="K207">
        <v>3</v>
      </c>
      <c r="L207">
        <v>3</v>
      </c>
      <c r="M207" t="s">
        <v>40</v>
      </c>
      <c r="N207">
        <v>4</v>
      </c>
      <c r="O207" t="s">
        <v>48</v>
      </c>
      <c r="P207" s="1">
        <v>7639</v>
      </c>
      <c r="Q207" t="s">
        <v>67</v>
      </c>
      <c r="R207" t="s">
        <v>43</v>
      </c>
      <c r="S207">
        <v>4</v>
      </c>
      <c r="T207">
        <v>10</v>
      </c>
      <c r="U207">
        <v>2</v>
      </c>
      <c r="V207">
        <v>10</v>
      </c>
      <c r="W207">
        <v>4</v>
      </c>
      <c r="X207">
        <v>1</v>
      </c>
      <c r="Y207">
        <v>9</v>
      </c>
      <c r="Z207" t="s">
        <v>1551</v>
      </c>
      <c r="AA207" t="s">
        <v>69</v>
      </c>
      <c r="AB207" t="str" cm="1">
        <f t="array" ref="AB207">_xlfn.IFS(cleaned_data[[#This Row],[YearsAtCompany]]&lt;=5, "0-5",cleaned_data[[#This Row],[YearsAtCompany]]&lt;=10,"6-10",TRUE,"10+")</f>
        <v>6-10</v>
      </c>
    </row>
    <row r="208" spans="1:28" x14ac:dyDescent="0.3">
      <c r="A208" s="2">
        <v>22</v>
      </c>
      <c r="B208" t="s">
        <v>43</v>
      </c>
      <c r="C208">
        <v>0</v>
      </c>
      <c r="D208" t="s">
        <v>36</v>
      </c>
      <c r="E208" t="s">
        <v>45</v>
      </c>
      <c r="F208">
        <v>5</v>
      </c>
      <c r="G208" t="s">
        <v>38</v>
      </c>
      <c r="H208" t="s">
        <v>278</v>
      </c>
      <c r="I208">
        <v>4</v>
      </c>
      <c r="J208" t="s">
        <v>46</v>
      </c>
      <c r="K208">
        <v>4</v>
      </c>
      <c r="L208">
        <v>1</v>
      </c>
      <c r="M208" t="s">
        <v>47</v>
      </c>
      <c r="N208">
        <v>2</v>
      </c>
      <c r="O208" t="s">
        <v>52</v>
      </c>
      <c r="P208" s="1">
        <v>2328</v>
      </c>
      <c r="Q208" t="s">
        <v>72</v>
      </c>
      <c r="R208" t="s">
        <v>35</v>
      </c>
      <c r="S208">
        <v>3</v>
      </c>
      <c r="T208">
        <v>4</v>
      </c>
      <c r="U208">
        <v>2</v>
      </c>
      <c r="V208">
        <v>4</v>
      </c>
      <c r="W208">
        <v>2</v>
      </c>
      <c r="X208">
        <v>2</v>
      </c>
      <c r="Y208">
        <v>2</v>
      </c>
      <c r="Z208" t="s">
        <v>68</v>
      </c>
      <c r="AA208" t="s">
        <v>78</v>
      </c>
      <c r="AB208" t="str" cm="1">
        <f t="array" ref="AB208">_xlfn.IFS(cleaned_data[[#This Row],[YearsAtCompany]]&lt;=5, "0-5",cleaned_data[[#This Row],[YearsAtCompany]]&lt;=10,"6-10",TRUE,"10+")</f>
        <v>0-5</v>
      </c>
    </row>
    <row r="209" spans="1:28" x14ac:dyDescent="0.3">
      <c r="A209" s="2">
        <v>36</v>
      </c>
      <c r="B209" t="s">
        <v>43</v>
      </c>
      <c r="C209">
        <v>0</v>
      </c>
      <c r="D209" t="s">
        <v>44</v>
      </c>
      <c r="E209" t="s">
        <v>45</v>
      </c>
      <c r="F209">
        <v>18</v>
      </c>
      <c r="G209" t="s">
        <v>51</v>
      </c>
      <c r="H209" t="s">
        <v>279</v>
      </c>
      <c r="I209">
        <v>2</v>
      </c>
      <c r="J209" t="s">
        <v>39</v>
      </c>
      <c r="K209">
        <v>3</v>
      </c>
      <c r="L209">
        <v>1</v>
      </c>
      <c r="M209" t="s">
        <v>50</v>
      </c>
      <c r="N209">
        <v>4</v>
      </c>
      <c r="O209" t="s">
        <v>41</v>
      </c>
      <c r="P209" s="1">
        <v>2153</v>
      </c>
      <c r="Q209" t="s">
        <v>72</v>
      </c>
      <c r="R209" t="s">
        <v>43</v>
      </c>
      <c r="S209">
        <v>3</v>
      </c>
      <c r="T209">
        <v>8</v>
      </c>
      <c r="U209">
        <v>3</v>
      </c>
      <c r="V209">
        <v>8</v>
      </c>
      <c r="W209">
        <v>1</v>
      </c>
      <c r="X209">
        <v>1</v>
      </c>
      <c r="Y209">
        <v>7</v>
      </c>
      <c r="Z209" t="s">
        <v>1550</v>
      </c>
      <c r="AA209" t="s">
        <v>69</v>
      </c>
      <c r="AB209" t="str" cm="1">
        <f t="array" ref="AB209">_xlfn.IFS(cleaned_data[[#This Row],[YearsAtCompany]]&lt;=5, "0-5",cleaned_data[[#This Row],[YearsAtCompany]]&lt;=10,"6-10",TRUE,"10+")</f>
        <v>6-10</v>
      </c>
    </row>
    <row r="210" spans="1:28" x14ac:dyDescent="0.3">
      <c r="A210" s="2">
        <v>40</v>
      </c>
      <c r="B210" t="s">
        <v>43</v>
      </c>
      <c r="C210">
        <v>0</v>
      </c>
      <c r="D210" t="s">
        <v>55</v>
      </c>
      <c r="E210" t="s">
        <v>45</v>
      </c>
      <c r="F210">
        <v>9</v>
      </c>
      <c r="G210" t="s">
        <v>38</v>
      </c>
      <c r="H210" t="s">
        <v>280</v>
      </c>
      <c r="I210">
        <v>4</v>
      </c>
      <c r="J210" t="s">
        <v>46</v>
      </c>
      <c r="K210">
        <v>2</v>
      </c>
      <c r="L210">
        <v>2</v>
      </c>
      <c r="M210" t="s">
        <v>54</v>
      </c>
      <c r="N210">
        <v>4</v>
      </c>
      <c r="O210" t="s">
        <v>48</v>
      </c>
      <c r="P210" s="1">
        <v>4876</v>
      </c>
      <c r="Q210" t="s">
        <v>72</v>
      </c>
      <c r="R210" t="s">
        <v>43</v>
      </c>
      <c r="S210">
        <v>3</v>
      </c>
      <c r="T210">
        <v>5</v>
      </c>
      <c r="U210">
        <v>1</v>
      </c>
      <c r="V210">
        <v>3</v>
      </c>
      <c r="W210">
        <v>2</v>
      </c>
      <c r="X210">
        <v>0</v>
      </c>
      <c r="Y210">
        <v>2</v>
      </c>
      <c r="Z210" t="s">
        <v>1550</v>
      </c>
      <c r="AA210" t="s">
        <v>78</v>
      </c>
      <c r="AB210" t="str" cm="1">
        <f t="array" ref="AB210">_xlfn.IFS(cleaned_data[[#This Row],[YearsAtCompany]]&lt;=5, "0-5",cleaned_data[[#This Row],[YearsAtCompany]]&lt;=10,"6-10",TRUE,"10+")</f>
        <v>0-5</v>
      </c>
    </row>
    <row r="211" spans="1:28" x14ac:dyDescent="0.3">
      <c r="A211" s="2">
        <v>46</v>
      </c>
      <c r="B211" t="s">
        <v>43</v>
      </c>
      <c r="C211">
        <v>0</v>
      </c>
      <c r="D211" t="s">
        <v>36</v>
      </c>
      <c r="E211" t="s">
        <v>45</v>
      </c>
      <c r="F211">
        <v>1</v>
      </c>
      <c r="G211" t="s">
        <v>51</v>
      </c>
      <c r="H211" t="s">
        <v>281</v>
      </c>
      <c r="I211">
        <v>4</v>
      </c>
      <c r="J211" t="s">
        <v>46</v>
      </c>
      <c r="K211">
        <v>3</v>
      </c>
      <c r="L211">
        <v>3</v>
      </c>
      <c r="M211" t="s">
        <v>54</v>
      </c>
      <c r="N211">
        <v>1</v>
      </c>
      <c r="O211" t="s">
        <v>52</v>
      </c>
      <c r="P211" s="6">
        <v>9396</v>
      </c>
      <c r="Q211" t="s">
        <v>67</v>
      </c>
      <c r="R211" t="s">
        <v>43</v>
      </c>
      <c r="S211">
        <v>3</v>
      </c>
      <c r="T211">
        <v>17</v>
      </c>
      <c r="U211">
        <v>3</v>
      </c>
      <c r="V211">
        <v>4</v>
      </c>
      <c r="W211">
        <v>2</v>
      </c>
      <c r="X211">
        <v>0</v>
      </c>
      <c r="Y211">
        <v>3</v>
      </c>
      <c r="Z211" t="s">
        <v>106</v>
      </c>
      <c r="AA211" t="s">
        <v>82</v>
      </c>
      <c r="AB211" t="str" cm="1">
        <f t="array" ref="AB211">_xlfn.IFS(cleaned_data[[#This Row],[YearsAtCompany]]&lt;=5, "0-5",cleaned_data[[#This Row],[YearsAtCompany]]&lt;=10,"6-10",TRUE,"10+")</f>
        <v>0-5</v>
      </c>
    </row>
    <row r="212" spans="1:28" x14ac:dyDescent="0.3">
      <c r="A212" s="2">
        <v>32</v>
      </c>
      <c r="B212" t="s">
        <v>35</v>
      </c>
      <c r="C212">
        <v>1</v>
      </c>
      <c r="D212" t="s">
        <v>36</v>
      </c>
      <c r="E212" t="s">
        <v>37</v>
      </c>
      <c r="F212">
        <v>4</v>
      </c>
      <c r="G212" t="s">
        <v>51</v>
      </c>
      <c r="H212" t="s">
        <v>282</v>
      </c>
      <c r="I212">
        <v>4</v>
      </c>
      <c r="J212" t="s">
        <v>46</v>
      </c>
      <c r="K212">
        <v>1</v>
      </c>
      <c r="L212">
        <v>3</v>
      </c>
      <c r="M212" t="s">
        <v>40</v>
      </c>
      <c r="N212">
        <v>4</v>
      </c>
      <c r="O212" t="s">
        <v>48</v>
      </c>
      <c r="P212" s="1">
        <v>10400</v>
      </c>
      <c r="Q212" t="s">
        <v>67</v>
      </c>
      <c r="R212" t="s">
        <v>43</v>
      </c>
      <c r="S212">
        <v>3</v>
      </c>
      <c r="T212">
        <v>14</v>
      </c>
      <c r="U212">
        <v>2</v>
      </c>
      <c r="V212">
        <v>14</v>
      </c>
      <c r="W212">
        <v>8</v>
      </c>
      <c r="X212">
        <v>9</v>
      </c>
      <c r="Y212">
        <v>8</v>
      </c>
      <c r="Z212" t="s">
        <v>1551</v>
      </c>
      <c r="AA212" t="s">
        <v>69</v>
      </c>
      <c r="AB212" t="str" cm="1">
        <f t="array" ref="AB212">_xlfn.IFS(cleaned_data[[#This Row],[YearsAtCompany]]&lt;=5, "0-5",cleaned_data[[#This Row],[YearsAtCompany]]&lt;=10,"6-10",TRUE,"10+")</f>
        <v>10+</v>
      </c>
    </row>
    <row r="213" spans="1:28" x14ac:dyDescent="0.3">
      <c r="A213" s="2">
        <v>30</v>
      </c>
      <c r="B213" t="s">
        <v>43</v>
      </c>
      <c r="C213">
        <v>0</v>
      </c>
      <c r="D213" t="s">
        <v>55</v>
      </c>
      <c r="E213" t="s">
        <v>45</v>
      </c>
      <c r="F213">
        <v>1</v>
      </c>
      <c r="G213" t="s">
        <v>38</v>
      </c>
      <c r="H213" t="s">
        <v>283</v>
      </c>
      <c r="I213">
        <v>3</v>
      </c>
      <c r="J213" t="s">
        <v>46</v>
      </c>
      <c r="K213">
        <v>2</v>
      </c>
      <c r="L213">
        <v>3</v>
      </c>
      <c r="M213" t="s">
        <v>53</v>
      </c>
      <c r="N213">
        <v>3</v>
      </c>
      <c r="O213" t="s">
        <v>41</v>
      </c>
      <c r="P213" s="1">
        <v>8474</v>
      </c>
      <c r="Q213" t="s">
        <v>67</v>
      </c>
      <c r="R213" t="s">
        <v>43</v>
      </c>
      <c r="S213">
        <v>4</v>
      </c>
      <c r="T213">
        <v>12</v>
      </c>
      <c r="U213">
        <v>3</v>
      </c>
      <c r="V213">
        <v>11</v>
      </c>
      <c r="W213">
        <v>8</v>
      </c>
      <c r="X213">
        <v>5</v>
      </c>
      <c r="Y213">
        <v>8</v>
      </c>
      <c r="Z213" t="s">
        <v>1551</v>
      </c>
      <c r="AA213" t="s">
        <v>69</v>
      </c>
      <c r="AB213" t="str" cm="1">
        <f t="array" ref="AB213">_xlfn.IFS(cleaned_data[[#This Row],[YearsAtCompany]]&lt;=5, "0-5",cleaned_data[[#This Row],[YearsAtCompany]]&lt;=10,"6-10",TRUE,"10+")</f>
        <v>10+</v>
      </c>
    </row>
    <row r="214" spans="1:28" x14ac:dyDescent="0.3">
      <c r="A214" s="2">
        <v>27</v>
      </c>
      <c r="B214" t="s">
        <v>43</v>
      </c>
      <c r="C214">
        <v>0</v>
      </c>
      <c r="D214" t="s">
        <v>44</v>
      </c>
      <c r="E214" t="s">
        <v>37</v>
      </c>
      <c r="F214">
        <v>20</v>
      </c>
      <c r="G214" t="s">
        <v>38</v>
      </c>
      <c r="H214" t="s">
        <v>284</v>
      </c>
      <c r="I214">
        <v>4</v>
      </c>
      <c r="J214" t="s">
        <v>39</v>
      </c>
      <c r="K214">
        <v>3</v>
      </c>
      <c r="L214">
        <v>2</v>
      </c>
      <c r="M214" t="s">
        <v>40</v>
      </c>
      <c r="N214">
        <v>3</v>
      </c>
      <c r="O214" t="s">
        <v>41</v>
      </c>
      <c r="P214" s="1">
        <v>9981</v>
      </c>
      <c r="Q214" t="s">
        <v>67</v>
      </c>
      <c r="R214" t="s">
        <v>43</v>
      </c>
      <c r="S214">
        <v>3</v>
      </c>
      <c r="T214">
        <v>7</v>
      </c>
      <c r="U214">
        <v>3</v>
      </c>
      <c r="V214">
        <v>7</v>
      </c>
      <c r="W214">
        <v>7</v>
      </c>
      <c r="X214">
        <v>0</v>
      </c>
      <c r="Y214">
        <v>7</v>
      </c>
      <c r="Z214" t="s">
        <v>1551</v>
      </c>
      <c r="AA214" t="s">
        <v>69</v>
      </c>
      <c r="AB214" t="str" cm="1">
        <f t="array" ref="AB214">_xlfn.IFS(cleaned_data[[#This Row],[YearsAtCompany]]&lt;=5, "0-5",cleaned_data[[#This Row],[YearsAtCompany]]&lt;=10,"6-10",TRUE,"10+")</f>
        <v>6-10</v>
      </c>
    </row>
    <row r="215" spans="1:28" x14ac:dyDescent="0.3">
      <c r="A215" s="2">
        <v>51</v>
      </c>
      <c r="B215" t="s">
        <v>43</v>
      </c>
      <c r="C215">
        <v>0</v>
      </c>
      <c r="D215" t="s">
        <v>36</v>
      </c>
      <c r="E215" t="s">
        <v>45</v>
      </c>
      <c r="F215">
        <v>8</v>
      </c>
      <c r="G215" t="s">
        <v>38</v>
      </c>
      <c r="H215" t="s">
        <v>285</v>
      </c>
      <c r="I215">
        <v>2</v>
      </c>
      <c r="J215" t="s">
        <v>46</v>
      </c>
      <c r="K215">
        <v>2</v>
      </c>
      <c r="L215">
        <v>3</v>
      </c>
      <c r="M215" t="s">
        <v>58</v>
      </c>
      <c r="N215">
        <v>2</v>
      </c>
      <c r="O215" t="s">
        <v>48</v>
      </c>
      <c r="P215" s="1">
        <v>12490</v>
      </c>
      <c r="Q215" t="s">
        <v>90</v>
      </c>
      <c r="R215" t="s">
        <v>43</v>
      </c>
      <c r="S215">
        <v>3</v>
      </c>
      <c r="T215">
        <v>16</v>
      </c>
      <c r="U215">
        <v>1</v>
      </c>
      <c r="V215">
        <v>10</v>
      </c>
      <c r="W215">
        <v>9</v>
      </c>
      <c r="X215">
        <v>4</v>
      </c>
      <c r="Y215">
        <v>7</v>
      </c>
      <c r="Z215" t="s">
        <v>106</v>
      </c>
      <c r="AA215" t="s">
        <v>82</v>
      </c>
      <c r="AB215" t="str" cm="1">
        <f t="array" ref="AB215">_xlfn.IFS(cleaned_data[[#This Row],[YearsAtCompany]]&lt;=5, "0-5",cleaned_data[[#This Row],[YearsAtCompany]]&lt;=10,"6-10",TRUE,"10+")</f>
        <v>6-10</v>
      </c>
    </row>
    <row r="216" spans="1:28" x14ac:dyDescent="0.3">
      <c r="A216" s="2">
        <v>30</v>
      </c>
      <c r="B216" t="s">
        <v>35</v>
      </c>
      <c r="C216">
        <v>1</v>
      </c>
      <c r="D216" t="s">
        <v>36</v>
      </c>
      <c r="E216" t="s">
        <v>45</v>
      </c>
      <c r="F216">
        <v>3</v>
      </c>
      <c r="G216" t="s">
        <v>60</v>
      </c>
      <c r="H216" t="s">
        <v>286</v>
      </c>
      <c r="I216">
        <v>4</v>
      </c>
      <c r="J216" t="s">
        <v>39</v>
      </c>
      <c r="K216">
        <v>3</v>
      </c>
      <c r="L216">
        <v>1</v>
      </c>
      <c r="M216" t="s">
        <v>47</v>
      </c>
      <c r="N216">
        <v>1</v>
      </c>
      <c r="O216" t="s">
        <v>41</v>
      </c>
      <c r="P216" s="6">
        <v>2657</v>
      </c>
      <c r="Q216" t="s">
        <v>72</v>
      </c>
      <c r="R216" t="s">
        <v>35</v>
      </c>
      <c r="S216">
        <v>3</v>
      </c>
      <c r="T216">
        <v>8</v>
      </c>
      <c r="U216">
        <v>3</v>
      </c>
      <c r="V216">
        <v>5</v>
      </c>
      <c r="W216">
        <v>2</v>
      </c>
      <c r="X216">
        <v>0</v>
      </c>
      <c r="Y216">
        <v>4</v>
      </c>
      <c r="Z216" t="s">
        <v>1551</v>
      </c>
      <c r="AA216" t="s">
        <v>69</v>
      </c>
      <c r="AB216" t="str" cm="1">
        <f t="array" ref="AB216">_xlfn.IFS(cleaned_data[[#This Row],[YearsAtCompany]]&lt;=5, "0-5",cleaned_data[[#This Row],[YearsAtCompany]]&lt;=10,"6-10",TRUE,"10+")</f>
        <v>0-5</v>
      </c>
    </row>
    <row r="217" spans="1:28" x14ac:dyDescent="0.3">
      <c r="A217" s="2">
        <v>41</v>
      </c>
      <c r="B217" t="s">
        <v>43</v>
      </c>
      <c r="C217">
        <v>0</v>
      </c>
      <c r="D217" t="s">
        <v>36</v>
      </c>
      <c r="E217" t="s">
        <v>37</v>
      </c>
      <c r="F217">
        <v>6</v>
      </c>
      <c r="G217" t="s">
        <v>38</v>
      </c>
      <c r="H217" t="s">
        <v>287</v>
      </c>
      <c r="I217">
        <v>4</v>
      </c>
      <c r="J217" t="s">
        <v>39</v>
      </c>
      <c r="K217">
        <v>3</v>
      </c>
      <c r="L217">
        <v>3</v>
      </c>
      <c r="M217" t="s">
        <v>56</v>
      </c>
      <c r="N217">
        <v>4</v>
      </c>
      <c r="O217" t="s">
        <v>41</v>
      </c>
      <c r="P217" s="1">
        <v>13591</v>
      </c>
      <c r="Q217" t="s">
        <v>90</v>
      </c>
      <c r="R217" t="s">
        <v>35</v>
      </c>
      <c r="S217">
        <v>3</v>
      </c>
      <c r="T217">
        <v>16</v>
      </c>
      <c r="U217">
        <v>3</v>
      </c>
      <c r="V217">
        <v>1</v>
      </c>
      <c r="W217">
        <v>0</v>
      </c>
      <c r="X217">
        <v>0</v>
      </c>
      <c r="Y217">
        <v>0</v>
      </c>
      <c r="Z217" t="s">
        <v>1550</v>
      </c>
      <c r="AA217" t="s">
        <v>82</v>
      </c>
      <c r="AB217" t="str" cm="1">
        <f t="array" ref="AB217">_xlfn.IFS(cleaned_data[[#This Row],[YearsAtCompany]]&lt;=5, "0-5",cleaned_data[[#This Row],[YearsAtCompany]]&lt;=10,"6-10",TRUE,"10+")</f>
        <v>0-5</v>
      </c>
    </row>
    <row r="218" spans="1:28" x14ac:dyDescent="0.3">
      <c r="A218" s="2">
        <v>30</v>
      </c>
      <c r="B218" t="s">
        <v>35</v>
      </c>
      <c r="C218">
        <v>1</v>
      </c>
      <c r="D218" t="s">
        <v>44</v>
      </c>
      <c r="E218" t="s">
        <v>37</v>
      </c>
      <c r="F218">
        <v>26</v>
      </c>
      <c r="G218" t="s">
        <v>59</v>
      </c>
      <c r="H218" t="s">
        <v>288</v>
      </c>
      <c r="I218">
        <v>3</v>
      </c>
      <c r="J218" t="s">
        <v>39</v>
      </c>
      <c r="K218">
        <v>2</v>
      </c>
      <c r="L218">
        <v>2</v>
      </c>
      <c r="M218" t="s">
        <v>40</v>
      </c>
      <c r="N218">
        <v>1</v>
      </c>
      <c r="O218" t="s">
        <v>41</v>
      </c>
      <c r="P218" s="6">
        <v>6696</v>
      </c>
      <c r="Q218" t="s">
        <v>67</v>
      </c>
      <c r="R218" t="s">
        <v>43</v>
      </c>
      <c r="S218">
        <v>3</v>
      </c>
      <c r="T218">
        <v>9</v>
      </c>
      <c r="U218">
        <v>2</v>
      </c>
      <c r="V218">
        <v>6</v>
      </c>
      <c r="W218">
        <v>3</v>
      </c>
      <c r="X218">
        <v>0</v>
      </c>
      <c r="Y218">
        <v>1</v>
      </c>
      <c r="Z218" t="s">
        <v>1551</v>
      </c>
      <c r="AA218" t="s">
        <v>69</v>
      </c>
      <c r="AB218" t="str" cm="1">
        <f t="array" ref="AB218">_xlfn.IFS(cleaned_data[[#This Row],[YearsAtCompany]]&lt;=5, "0-5",cleaned_data[[#This Row],[YearsAtCompany]]&lt;=10,"6-10",TRUE,"10+")</f>
        <v>6-10</v>
      </c>
    </row>
    <row r="219" spans="1:28" x14ac:dyDescent="0.3">
      <c r="A219" s="2">
        <v>29</v>
      </c>
      <c r="B219" t="s">
        <v>35</v>
      </c>
      <c r="C219">
        <v>1</v>
      </c>
      <c r="D219" t="s">
        <v>36</v>
      </c>
      <c r="E219" t="s">
        <v>45</v>
      </c>
      <c r="F219">
        <v>1</v>
      </c>
      <c r="G219" t="s">
        <v>60</v>
      </c>
      <c r="H219" t="s">
        <v>289</v>
      </c>
      <c r="I219">
        <v>3</v>
      </c>
      <c r="J219" t="s">
        <v>46</v>
      </c>
      <c r="K219">
        <v>3</v>
      </c>
      <c r="L219">
        <v>1</v>
      </c>
      <c r="M219" t="s">
        <v>47</v>
      </c>
      <c r="N219">
        <v>3</v>
      </c>
      <c r="O219" t="s">
        <v>41</v>
      </c>
      <c r="P219" s="1">
        <v>2058</v>
      </c>
      <c r="Q219" t="s">
        <v>72</v>
      </c>
      <c r="R219" t="s">
        <v>43</v>
      </c>
      <c r="S219">
        <v>3</v>
      </c>
      <c r="T219">
        <v>7</v>
      </c>
      <c r="U219">
        <v>2</v>
      </c>
      <c r="V219">
        <v>6</v>
      </c>
      <c r="W219">
        <v>2</v>
      </c>
      <c r="X219">
        <v>1</v>
      </c>
      <c r="Y219">
        <v>5</v>
      </c>
      <c r="Z219" t="s">
        <v>1551</v>
      </c>
      <c r="AA219" t="s">
        <v>69</v>
      </c>
      <c r="AB219" t="str" cm="1">
        <f t="array" ref="AB219">_xlfn.IFS(cleaned_data[[#This Row],[YearsAtCompany]]&lt;=5, "0-5",cleaned_data[[#This Row],[YearsAtCompany]]&lt;=10,"6-10",TRUE,"10+")</f>
        <v>6-10</v>
      </c>
    </row>
    <row r="220" spans="1:28" x14ac:dyDescent="0.3">
      <c r="A220" s="2">
        <v>45</v>
      </c>
      <c r="B220" t="s">
        <v>43</v>
      </c>
      <c r="C220">
        <v>0</v>
      </c>
      <c r="D220" t="s">
        <v>55</v>
      </c>
      <c r="E220" t="s">
        <v>37</v>
      </c>
      <c r="F220">
        <v>6</v>
      </c>
      <c r="G220" t="s">
        <v>51</v>
      </c>
      <c r="H220" t="s">
        <v>290</v>
      </c>
      <c r="I220">
        <v>4</v>
      </c>
      <c r="J220" t="s">
        <v>39</v>
      </c>
      <c r="K220">
        <v>2</v>
      </c>
      <c r="L220">
        <v>3</v>
      </c>
      <c r="M220" t="s">
        <v>40</v>
      </c>
      <c r="N220">
        <v>4</v>
      </c>
      <c r="O220" t="s">
        <v>41</v>
      </c>
      <c r="P220" s="1">
        <v>8865</v>
      </c>
      <c r="Q220" t="s">
        <v>67</v>
      </c>
      <c r="R220" t="s">
        <v>43</v>
      </c>
      <c r="S220">
        <v>3</v>
      </c>
      <c r="T220">
        <v>23</v>
      </c>
      <c r="U220">
        <v>3</v>
      </c>
      <c r="V220">
        <v>19</v>
      </c>
      <c r="W220">
        <v>7</v>
      </c>
      <c r="X220">
        <v>12</v>
      </c>
      <c r="Y220">
        <v>8</v>
      </c>
      <c r="Z220" t="s">
        <v>1550</v>
      </c>
      <c r="AA220" t="s">
        <v>82</v>
      </c>
      <c r="AB220" t="str" cm="1">
        <f t="array" ref="AB220">_xlfn.IFS(cleaned_data[[#This Row],[YearsAtCompany]]&lt;=5, "0-5",cleaned_data[[#This Row],[YearsAtCompany]]&lt;=10,"6-10",TRUE,"10+")</f>
        <v>10+</v>
      </c>
    </row>
    <row r="221" spans="1:28" x14ac:dyDescent="0.3">
      <c r="A221" s="2">
        <v>54</v>
      </c>
      <c r="B221" t="s">
        <v>43</v>
      </c>
      <c r="C221">
        <v>0</v>
      </c>
      <c r="D221" t="s">
        <v>36</v>
      </c>
      <c r="E221" t="s">
        <v>37</v>
      </c>
      <c r="F221">
        <v>3</v>
      </c>
      <c r="G221" t="s">
        <v>59</v>
      </c>
      <c r="H221" t="s">
        <v>291</v>
      </c>
      <c r="I221">
        <v>4</v>
      </c>
      <c r="J221" t="s">
        <v>39</v>
      </c>
      <c r="K221">
        <v>3</v>
      </c>
      <c r="L221">
        <v>2</v>
      </c>
      <c r="M221" t="s">
        <v>40</v>
      </c>
      <c r="N221">
        <v>1</v>
      </c>
      <c r="O221" t="s">
        <v>48</v>
      </c>
      <c r="P221" s="6">
        <v>5940</v>
      </c>
      <c r="Q221" t="s">
        <v>67</v>
      </c>
      <c r="R221" t="s">
        <v>43</v>
      </c>
      <c r="S221">
        <v>3</v>
      </c>
      <c r="T221">
        <v>16</v>
      </c>
      <c r="U221">
        <v>3</v>
      </c>
      <c r="V221">
        <v>6</v>
      </c>
      <c r="W221">
        <v>2</v>
      </c>
      <c r="X221">
        <v>0</v>
      </c>
      <c r="Y221">
        <v>5</v>
      </c>
      <c r="Z221" t="s">
        <v>106</v>
      </c>
      <c r="AA221" t="s">
        <v>82</v>
      </c>
      <c r="AB221" t="str" cm="1">
        <f t="array" ref="AB221">_xlfn.IFS(cleaned_data[[#This Row],[YearsAtCompany]]&lt;=5, "0-5",cleaned_data[[#This Row],[YearsAtCompany]]&lt;=10,"6-10",TRUE,"10+")</f>
        <v>6-10</v>
      </c>
    </row>
    <row r="222" spans="1:28" x14ac:dyDescent="0.3">
      <c r="A222" s="2">
        <v>36</v>
      </c>
      <c r="B222" t="s">
        <v>43</v>
      </c>
      <c r="C222">
        <v>0</v>
      </c>
      <c r="D222" t="s">
        <v>36</v>
      </c>
      <c r="E222" t="s">
        <v>45</v>
      </c>
      <c r="F222">
        <v>5</v>
      </c>
      <c r="G222" t="s">
        <v>38</v>
      </c>
      <c r="H222" t="s">
        <v>292</v>
      </c>
      <c r="I222">
        <v>4</v>
      </c>
      <c r="J222" t="s">
        <v>46</v>
      </c>
      <c r="K222">
        <v>3</v>
      </c>
      <c r="L222">
        <v>2</v>
      </c>
      <c r="M222" t="s">
        <v>50</v>
      </c>
      <c r="N222">
        <v>2</v>
      </c>
      <c r="O222" t="s">
        <v>41</v>
      </c>
      <c r="P222" s="1">
        <v>5914</v>
      </c>
      <c r="Q222" t="s">
        <v>67</v>
      </c>
      <c r="R222" t="s">
        <v>43</v>
      </c>
      <c r="S222">
        <v>3</v>
      </c>
      <c r="T222">
        <v>16</v>
      </c>
      <c r="U222">
        <v>4</v>
      </c>
      <c r="V222">
        <v>13</v>
      </c>
      <c r="W222">
        <v>11</v>
      </c>
      <c r="X222">
        <v>3</v>
      </c>
      <c r="Y222">
        <v>7</v>
      </c>
      <c r="Z222" t="s">
        <v>1550</v>
      </c>
      <c r="AA222" t="s">
        <v>82</v>
      </c>
      <c r="AB222" t="str" cm="1">
        <f t="array" ref="AB222">_xlfn.IFS(cleaned_data[[#This Row],[YearsAtCompany]]&lt;=5, "0-5",cleaned_data[[#This Row],[YearsAtCompany]]&lt;=10,"6-10",TRUE,"10+")</f>
        <v>10+</v>
      </c>
    </row>
    <row r="223" spans="1:28" x14ac:dyDescent="0.3">
      <c r="A223" s="2">
        <v>33</v>
      </c>
      <c r="B223" t="s">
        <v>43</v>
      </c>
      <c r="C223">
        <v>0</v>
      </c>
      <c r="D223" t="s">
        <v>36</v>
      </c>
      <c r="E223" t="s">
        <v>45</v>
      </c>
      <c r="F223">
        <v>4</v>
      </c>
      <c r="G223" t="s">
        <v>51</v>
      </c>
      <c r="H223" t="s">
        <v>293</v>
      </c>
      <c r="I223">
        <v>3</v>
      </c>
      <c r="J223" t="s">
        <v>39</v>
      </c>
      <c r="K223">
        <v>2</v>
      </c>
      <c r="L223">
        <v>1</v>
      </c>
      <c r="M223" t="s">
        <v>47</v>
      </c>
      <c r="N223">
        <v>2</v>
      </c>
      <c r="O223" t="s">
        <v>48</v>
      </c>
      <c r="P223" s="1">
        <v>2622</v>
      </c>
      <c r="Q223" t="s">
        <v>72</v>
      </c>
      <c r="R223" t="s">
        <v>43</v>
      </c>
      <c r="S223">
        <v>4</v>
      </c>
      <c r="T223">
        <v>7</v>
      </c>
      <c r="U223">
        <v>3</v>
      </c>
      <c r="V223">
        <v>3</v>
      </c>
      <c r="W223">
        <v>2</v>
      </c>
      <c r="X223">
        <v>1</v>
      </c>
      <c r="Y223">
        <v>1</v>
      </c>
      <c r="Z223" t="s">
        <v>1551</v>
      </c>
      <c r="AA223" t="s">
        <v>69</v>
      </c>
      <c r="AB223" t="str" cm="1">
        <f t="array" ref="AB223">_xlfn.IFS(cleaned_data[[#This Row],[YearsAtCompany]]&lt;=5, "0-5",cleaned_data[[#This Row],[YearsAtCompany]]&lt;=10,"6-10",TRUE,"10+")</f>
        <v>0-5</v>
      </c>
    </row>
    <row r="224" spans="1:28" x14ac:dyDescent="0.3">
      <c r="A224" s="2">
        <v>37</v>
      </c>
      <c r="B224" t="s">
        <v>43</v>
      </c>
      <c r="C224">
        <v>0</v>
      </c>
      <c r="D224" t="s">
        <v>44</v>
      </c>
      <c r="E224" t="s">
        <v>45</v>
      </c>
      <c r="F224">
        <v>11</v>
      </c>
      <c r="G224" t="s">
        <v>49</v>
      </c>
      <c r="H224" t="s">
        <v>294</v>
      </c>
      <c r="I224">
        <v>2</v>
      </c>
      <c r="J224" t="s">
        <v>46</v>
      </c>
      <c r="K224">
        <v>3</v>
      </c>
      <c r="L224">
        <v>3</v>
      </c>
      <c r="M224" t="s">
        <v>58</v>
      </c>
      <c r="N224">
        <v>4</v>
      </c>
      <c r="O224" t="s">
        <v>52</v>
      </c>
      <c r="P224" s="1">
        <v>12185</v>
      </c>
      <c r="Q224" t="s">
        <v>90</v>
      </c>
      <c r="R224" t="s">
        <v>35</v>
      </c>
      <c r="S224">
        <v>3</v>
      </c>
      <c r="T224">
        <v>10</v>
      </c>
      <c r="U224">
        <v>3</v>
      </c>
      <c r="V224">
        <v>10</v>
      </c>
      <c r="W224">
        <v>8</v>
      </c>
      <c r="X224">
        <v>0</v>
      </c>
      <c r="Y224">
        <v>7</v>
      </c>
      <c r="Z224" t="s">
        <v>1550</v>
      </c>
      <c r="AA224" t="s">
        <v>69</v>
      </c>
      <c r="AB224" t="str" cm="1">
        <f t="array" ref="AB224">_xlfn.IFS(cleaned_data[[#This Row],[YearsAtCompany]]&lt;=5, "0-5",cleaned_data[[#This Row],[YearsAtCompany]]&lt;=10,"6-10",TRUE,"10+")</f>
        <v>6-10</v>
      </c>
    </row>
    <row r="225" spans="1:28" x14ac:dyDescent="0.3">
      <c r="A225" s="2">
        <v>38</v>
      </c>
      <c r="B225" t="s">
        <v>43</v>
      </c>
      <c r="C225">
        <v>0</v>
      </c>
      <c r="D225" t="s">
        <v>36</v>
      </c>
      <c r="E225" t="s">
        <v>37</v>
      </c>
      <c r="F225">
        <v>3</v>
      </c>
      <c r="G225" t="s">
        <v>38</v>
      </c>
      <c r="H225" t="s">
        <v>295</v>
      </c>
      <c r="I225">
        <v>1</v>
      </c>
      <c r="J225" t="s">
        <v>46</v>
      </c>
      <c r="K225">
        <v>3</v>
      </c>
      <c r="L225">
        <v>3</v>
      </c>
      <c r="M225" t="s">
        <v>40</v>
      </c>
      <c r="N225">
        <v>3</v>
      </c>
      <c r="O225" t="s">
        <v>52</v>
      </c>
      <c r="P225" s="1">
        <v>10609</v>
      </c>
      <c r="Q225" t="s">
        <v>67</v>
      </c>
      <c r="R225" t="s">
        <v>43</v>
      </c>
      <c r="S225">
        <v>3</v>
      </c>
      <c r="T225">
        <v>17</v>
      </c>
      <c r="U225">
        <v>2</v>
      </c>
      <c r="V225">
        <v>16</v>
      </c>
      <c r="W225">
        <v>10</v>
      </c>
      <c r="X225">
        <v>5</v>
      </c>
      <c r="Y225">
        <v>13</v>
      </c>
      <c r="Z225" t="s">
        <v>1550</v>
      </c>
      <c r="AA225" t="s">
        <v>82</v>
      </c>
      <c r="AB225" t="str" cm="1">
        <f t="array" ref="AB225">_xlfn.IFS(cleaned_data[[#This Row],[YearsAtCompany]]&lt;=5, "0-5",cleaned_data[[#This Row],[YearsAtCompany]]&lt;=10,"6-10",TRUE,"10+")</f>
        <v>10+</v>
      </c>
    </row>
    <row r="226" spans="1:28" x14ac:dyDescent="0.3">
      <c r="A226" s="2">
        <v>31</v>
      </c>
      <c r="B226" t="s">
        <v>43</v>
      </c>
      <c r="C226">
        <v>0</v>
      </c>
      <c r="D226" t="s">
        <v>55</v>
      </c>
      <c r="E226" t="s">
        <v>45</v>
      </c>
      <c r="F226">
        <v>1</v>
      </c>
      <c r="G226" t="s">
        <v>51</v>
      </c>
      <c r="H226" t="s">
        <v>296</v>
      </c>
      <c r="I226">
        <v>3</v>
      </c>
      <c r="J226" t="s">
        <v>46</v>
      </c>
      <c r="K226">
        <v>1</v>
      </c>
      <c r="L226">
        <v>2</v>
      </c>
      <c r="M226" t="s">
        <v>53</v>
      </c>
      <c r="N226">
        <v>3</v>
      </c>
      <c r="O226" t="s">
        <v>48</v>
      </c>
      <c r="P226" s="1">
        <v>4345</v>
      </c>
      <c r="Q226" t="s">
        <v>72</v>
      </c>
      <c r="R226" t="s">
        <v>43</v>
      </c>
      <c r="S226">
        <v>3</v>
      </c>
      <c r="T226">
        <v>6</v>
      </c>
      <c r="U226">
        <v>3</v>
      </c>
      <c r="V226">
        <v>5</v>
      </c>
      <c r="W226">
        <v>4</v>
      </c>
      <c r="X226">
        <v>1</v>
      </c>
      <c r="Y226">
        <v>4</v>
      </c>
      <c r="Z226" t="s">
        <v>1551</v>
      </c>
      <c r="AA226" t="s">
        <v>69</v>
      </c>
      <c r="AB226" t="str" cm="1">
        <f t="array" ref="AB226">_xlfn.IFS(cleaned_data[[#This Row],[YearsAtCompany]]&lt;=5, "0-5",cleaned_data[[#This Row],[YearsAtCompany]]&lt;=10,"6-10",TRUE,"10+")</f>
        <v>0-5</v>
      </c>
    </row>
    <row r="227" spans="1:28" x14ac:dyDescent="0.3">
      <c r="A227" s="2">
        <v>59</v>
      </c>
      <c r="B227" t="s">
        <v>43</v>
      </c>
      <c r="C227">
        <v>0</v>
      </c>
      <c r="D227" t="s">
        <v>36</v>
      </c>
      <c r="E227" t="s">
        <v>45</v>
      </c>
      <c r="F227">
        <v>3</v>
      </c>
      <c r="G227" t="s">
        <v>38</v>
      </c>
      <c r="H227" t="s">
        <v>297</v>
      </c>
      <c r="I227">
        <v>3</v>
      </c>
      <c r="J227" t="s">
        <v>46</v>
      </c>
      <c r="K227">
        <v>2</v>
      </c>
      <c r="L227">
        <v>1</v>
      </c>
      <c r="M227" t="s">
        <v>47</v>
      </c>
      <c r="N227">
        <v>4</v>
      </c>
      <c r="O227" t="s">
        <v>48</v>
      </c>
      <c r="P227" s="1">
        <v>2177</v>
      </c>
      <c r="Q227" t="s">
        <v>72</v>
      </c>
      <c r="R227" t="s">
        <v>43</v>
      </c>
      <c r="S227">
        <v>3</v>
      </c>
      <c r="T227">
        <v>7</v>
      </c>
      <c r="U227">
        <v>3</v>
      </c>
      <c r="V227">
        <v>1</v>
      </c>
      <c r="W227">
        <v>0</v>
      </c>
      <c r="X227">
        <v>0</v>
      </c>
      <c r="Y227">
        <v>0</v>
      </c>
      <c r="Z227" t="s">
        <v>106</v>
      </c>
      <c r="AA227" t="s">
        <v>69</v>
      </c>
      <c r="AB227" t="str" cm="1">
        <f t="array" ref="AB227">_xlfn.IFS(cleaned_data[[#This Row],[YearsAtCompany]]&lt;=5, "0-5",cleaned_data[[#This Row],[YearsAtCompany]]&lt;=10,"6-10",TRUE,"10+")</f>
        <v>0-5</v>
      </c>
    </row>
    <row r="228" spans="1:28" x14ac:dyDescent="0.3">
      <c r="A228" s="2">
        <v>37</v>
      </c>
      <c r="B228" t="s">
        <v>43</v>
      </c>
      <c r="C228">
        <v>0</v>
      </c>
      <c r="D228" t="s">
        <v>44</v>
      </c>
      <c r="E228" t="s">
        <v>37</v>
      </c>
      <c r="F228">
        <v>4</v>
      </c>
      <c r="G228" t="s">
        <v>59</v>
      </c>
      <c r="H228" t="s">
        <v>298</v>
      </c>
      <c r="I228">
        <v>1</v>
      </c>
      <c r="J228" t="s">
        <v>46</v>
      </c>
      <c r="K228">
        <v>3</v>
      </c>
      <c r="L228">
        <v>1</v>
      </c>
      <c r="M228" t="s">
        <v>57</v>
      </c>
      <c r="N228">
        <v>4</v>
      </c>
      <c r="O228" t="s">
        <v>52</v>
      </c>
      <c r="P228" s="1">
        <v>2793</v>
      </c>
      <c r="Q228" t="s">
        <v>72</v>
      </c>
      <c r="R228" t="s">
        <v>43</v>
      </c>
      <c r="S228">
        <v>3</v>
      </c>
      <c r="T228">
        <v>13</v>
      </c>
      <c r="U228">
        <v>3</v>
      </c>
      <c r="V228">
        <v>9</v>
      </c>
      <c r="W228">
        <v>8</v>
      </c>
      <c r="X228">
        <v>5</v>
      </c>
      <c r="Y228">
        <v>8</v>
      </c>
      <c r="Z228" t="s">
        <v>1550</v>
      </c>
      <c r="AA228" t="s">
        <v>69</v>
      </c>
      <c r="AB228" t="str" cm="1">
        <f t="array" ref="AB228">_xlfn.IFS(cleaned_data[[#This Row],[YearsAtCompany]]&lt;=5, "0-5",cleaned_data[[#This Row],[YearsAtCompany]]&lt;=10,"6-10",TRUE,"10+")</f>
        <v>6-10</v>
      </c>
    </row>
    <row r="229" spans="1:28" x14ac:dyDescent="0.3">
      <c r="A229" s="2">
        <v>29</v>
      </c>
      <c r="B229" t="s">
        <v>43</v>
      </c>
      <c r="C229">
        <v>0</v>
      </c>
      <c r="D229" t="s">
        <v>44</v>
      </c>
      <c r="E229" t="s">
        <v>37</v>
      </c>
      <c r="F229">
        <v>1</v>
      </c>
      <c r="G229" t="s">
        <v>51</v>
      </c>
      <c r="H229" t="s">
        <v>299</v>
      </c>
      <c r="I229">
        <v>2</v>
      </c>
      <c r="J229" t="s">
        <v>39</v>
      </c>
      <c r="K229">
        <v>3</v>
      </c>
      <c r="L229">
        <v>3</v>
      </c>
      <c r="M229" t="s">
        <v>40</v>
      </c>
      <c r="N229">
        <v>4</v>
      </c>
      <c r="O229" t="s">
        <v>48</v>
      </c>
      <c r="P229" s="1">
        <v>7918</v>
      </c>
      <c r="Q229" t="s">
        <v>67</v>
      </c>
      <c r="R229" t="s">
        <v>43</v>
      </c>
      <c r="S229">
        <v>3</v>
      </c>
      <c r="T229">
        <v>11</v>
      </c>
      <c r="U229">
        <v>3</v>
      </c>
      <c r="V229">
        <v>11</v>
      </c>
      <c r="W229">
        <v>10</v>
      </c>
      <c r="X229">
        <v>4</v>
      </c>
      <c r="Y229">
        <v>1</v>
      </c>
      <c r="Z229" t="s">
        <v>1551</v>
      </c>
      <c r="AA229" t="s">
        <v>69</v>
      </c>
      <c r="AB229" t="str" cm="1">
        <f t="array" ref="AB229">_xlfn.IFS(cleaned_data[[#This Row],[YearsAtCompany]]&lt;=5, "0-5",cleaned_data[[#This Row],[YearsAtCompany]]&lt;=10,"6-10",TRUE,"10+")</f>
        <v>10+</v>
      </c>
    </row>
    <row r="230" spans="1:28" x14ac:dyDescent="0.3">
      <c r="A230" s="2">
        <v>35</v>
      </c>
      <c r="B230" t="s">
        <v>43</v>
      </c>
      <c r="C230">
        <v>0</v>
      </c>
      <c r="D230" t="s">
        <v>44</v>
      </c>
      <c r="E230" t="s">
        <v>37</v>
      </c>
      <c r="F230">
        <v>1</v>
      </c>
      <c r="G230" t="s">
        <v>59</v>
      </c>
      <c r="H230" t="s">
        <v>300</v>
      </c>
      <c r="I230">
        <v>3</v>
      </c>
      <c r="J230" t="s">
        <v>39</v>
      </c>
      <c r="K230">
        <v>3</v>
      </c>
      <c r="L230">
        <v>3</v>
      </c>
      <c r="M230" t="s">
        <v>40</v>
      </c>
      <c r="N230">
        <v>3</v>
      </c>
      <c r="O230" t="s">
        <v>41</v>
      </c>
      <c r="P230" s="1">
        <v>8789</v>
      </c>
      <c r="Q230" t="s">
        <v>67</v>
      </c>
      <c r="R230" t="s">
        <v>43</v>
      </c>
      <c r="S230">
        <v>3</v>
      </c>
      <c r="T230">
        <v>10</v>
      </c>
      <c r="U230">
        <v>4</v>
      </c>
      <c r="V230">
        <v>10</v>
      </c>
      <c r="W230">
        <v>7</v>
      </c>
      <c r="X230">
        <v>0</v>
      </c>
      <c r="Y230">
        <v>8</v>
      </c>
      <c r="Z230" t="s">
        <v>1551</v>
      </c>
      <c r="AA230" t="s">
        <v>69</v>
      </c>
      <c r="AB230" t="str" cm="1">
        <f t="array" ref="AB230">_xlfn.IFS(cleaned_data[[#This Row],[YearsAtCompany]]&lt;=5, "0-5",cleaned_data[[#This Row],[YearsAtCompany]]&lt;=10,"6-10",TRUE,"10+")</f>
        <v>6-10</v>
      </c>
    </row>
    <row r="231" spans="1:28" x14ac:dyDescent="0.3">
      <c r="A231" s="2">
        <v>29</v>
      </c>
      <c r="B231" t="s">
        <v>35</v>
      </c>
      <c r="C231">
        <v>1</v>
      </c>
      <c r="D231" t="s">
        <v>36</v>
      </c>
      <c r="E231" t="s">
        <v>45</v>
      </c>
      <c r="F231">
        <v>18</v>
      </c>
      <c r="G231" t="s">
        <v>51</v>
      </c>
      <c r="H231" t="s">
        <v>301</v>
      </c>
      <c r="I231">
        <v>3</v>
      </c>
      <c r="J231" t="s">
        <v>46</v>
      </c>
      <c r="K231">
        <v>2</v>
      </c>
      <c r="L231">
        <v>1</v>
      </c>
      <c r="M231" t="s">
        <v>47</v>
      </c>
      <c r="N231">
        <v>4</v>
      </c>
      <c r="O231" t="s">
        <v>41</v>
      </c>
      <c r="P231" s="1">
        <v>2389</v>
      </c>
      <c r="Q231" t="s">
        <v>72</v>
      </c>
      <c r="R231" t="s">
        <v>35</v>
      </c>
      <c r="S231">
        <v>3</v>
      </c>
      <c r="T231">
        <v>4</v>
      </c>
      <c r="U231">
        <v>2</v>
      </c>
      <c r="V231">
        <v>4</v>
      </c>
      <c r="W231">
        <v>3</v>
      </c>
      <c r="X231">
        <v>0</v>
      </c>
      <c r="Y231">
        <v>1</v>
      </c>
      <c r="Z231" t="s">
        <v>1551</v>
      </c>
      <c r="AA231" t="s">
        <v>78</v>
      </c>
      <c r="AB231" t="str" cm="1">
        <f t="array" ref="AB231">_xlfn.IFS(cleaned_data[[#This Row],[YearsAtCompany]]&lt;=5, "0-5",cleaned_data[[#This Row],[YearsAtCompany]]&lt;=10,"6-10",TRUE,"10+")</f>
        <v>0-5</v>
      </c>
    </row>
    <row r="232" spans="1:28" x14ac:dyDescent="0.3">
      <c r="A232" s="2">
        <v>52</v>
      </c>
      <c r="B232" t="s">
        <v>43</v>
      </c>
      <c r="C232">
        <v>0</v>
      </c>
      <c r="D232" t="s">
        <v>36</v>
      </c>
      <c r="E232" t="s">
        <v>45</v>
      </c>
      <c r="F232">
        <v>2</v>
      </c>
      <c r="G232" t="s">
        <v>38</v>
      </c>
      <c r="H232" t="s">
        <v>302</v>
      </c>
      <c r="I232">
        <v>3</v>
      </c>
      <c r="J232" t="s">
        <v>39</v>
      </c>
      <c r="K232">
        <v>2</v>
      </c>
      <c r="L232">
        <v>1</v>
      </c>
      <c r="M232" t="s">
        <v>50</v>
      </c>
      <c r="N232">
        <v>4</v>
      </c>
      <c r="O232" t="s">
        <v>41</v>
      </c>
      <c r="P232" s="1">
        <v>3212</v>
      </c>
      <c r="Q232" t="s">
        <v>72</v>
      </c>
      <c r="R232" t="s">
        <v>43</v>
      </c>
      <c r="S232">
        <v>3</v>
      </c>
      <c r="T232">
        <v>6</v>
      </c>
      <c r="U232">
        <v>2</v>
      </c>
      <c r="V232">
        <v>2</v>
      </c>
      <c r="W232">
        <v>2</v>
      </c>
      <c r="X232">
        <v>2</v>
      </c>
      <c r="Y232">
        <v>2</v>
      </c>
      <c r="Z232" t="s">
        <v>106</v>
      </c>
      <c r="AA232" t="s">
        <v>69</v>
      </c>
      <c r="AB232" t="str" cm="1">
        <f t="array" ref="AB232">_xlfn.IFS(cleaned_data[[#This Row],[YearsAtCompany]]&lt;=5, "0-5",cleaned_data[[#This Row],[YearsAtCompany]]&lt;=10,"6-10",TRUE,"10+")</f>
        <v>0-5</v>
      </c>
    </row>
    <row r="233" spans="1:28" x14ac:dyDescent="0.3">
      <c r="A233" s="2">
        <v>42</v>
      </c>
      <c r="B233" t="s">
        <v>43</v>
      </c>
      <c r="C233">
        <v>0</v>
      </c>
      <c r="D233" t="s">
        <v>36</v>
      </c>
      <c r="E233" t="s">
        <v>45</v>
      </c>
      <c r="F233">
        <v>4</v>
      </c>
      <c r="G233" t="s">
        <v>60</v>
      </c>
      <c r="H233" t="s">
        <v>303</v>
      </c>
      <c r="I233">
        <v>3</v>
      </c>
      <c r="J233" t="s">
        <v>46</v>
      </c>
      <c r="K233">
        <v>3</v>
      </c>
      <c r="L233">
        <v>5</v>
      </c>
      <c r="M233" t="s">
        <v>56</v>
      </c>
      <c r="N233">
        <v>4</v>
      </c>
      <c r="O233" t="s">
        <v>48</v>
      </c>
      <c r="P233" s="1">
        <v>19232</v>
      </c>
      <c r="Q233" t="s">
        <v>90</v>
      </c>
      <c r="R233" t="s">
        <v>43</v>
      </c>
      <c r="S233">
        <v>3</v>
      </c>
      <c r="T233">
        <v>22</v>
      </c>
      <c r="U233">
        <v>3</v>
      </c>
      <c r="V233">
        <v>22</v>
      </c>
      <c r="W233">
        <v>17</v>
      </c>
      <c r="X233">
        <v>11</v>
      </c>
      <c r="Y233">
        <v>15</v>
      </c>
      <c r="Z233" t="s">
        <v>1550</v>
      </c>
      <c r="AA233" t="s">
        <v>82</v>
      </c>
      <c r="AB233" t="str" cm="1">
        <f t="array" ref="AB233">_xlfn.IFS(cleaned_data[[#This Row],[YearsAtCompany]]&lt;=5, "0-5",cleaned_data[[#This Row],[YearsAtCompany]]&lt;=10,"6-10",TRUE,"10+")</f>
        <v>10+</v>
      </c>
    </row>
    <row r="234" spans="1:28" x14ac:dyDescent="0.3">
      <c r="A234" s="2">
        <v>59</v>
      </c>
      <c r="B234" t="s">
        <v>43</v>
      </c>
      <c r="C234">
        <v>0</v>
      </c>
      <c r="D234" t="s">
        <v>36</v>
      </c>
      <c r="E234" t="s">
        <v>61</v>
      </c>
      <c r="F234">
        <v>6</v>
      </c>
      <c r="G234" t="s">
        <v>51</v>
      </c>
      <c r="H234" t="s">
        <v>304</v>
      </c>
      <c r="I234">
        <v>2</v>
      </c>
      <c r="J234" t="s">
        <v>46</v>
      </c>
      <c r="K234">
        <v>3</v>
      </c>
      <c r="L234">
        <v>1</v>
      </c>
      <c r="M234" t="s">
        <v>61</v>
      </c>
      <c r="N234">
        <v>3</v>
      </c>
      <c r="O234" t="s">
        <v>48</v>
      </c>
      <c r="P234" s="1">
        <v>2267</v>
      </c>
      <c r="Q234" t="s">
        <v>72</v>
      </c>
      <c r="R234" t="s">
        <v>43</v>
      </c>
      <c r="S234">
        <v>3</v>
      </c>
      <c r="T234">
        <v>7</v>
      </c>
      <c r="U234">
        <v>2</v>
      </c>
      <c r="V234">
        <v>2</v>
      </c>
      <c r="W234">
        <v>2</v>
      </c>
      <c r="X234">
        <v>2</v>
      </c>
      <c r="Y234">
        <v>2</v>
      </c>
      <c r="Z234" t="s">
        <v>106</v>
      </c>
      <c r="AA234" t="s">
        <v>69</v>
      </c>
      <c r="AB234" t="str" cm="1">
        <f t="array" ref="AB234">_xlfn.IFS(cleaned_data[[#This Row],[YearsAtCompany]]&lt;=5, "0-5",cleaned_data[[#This Row],[YearsAtCompany]]&lt;=10,"6-10",TRUE,"10+")</f>
        <v>0-5</v>
      </c>
    </row>
    <row r="235" spans="1:28" x14ac:dyDescent="0.3">
      <c r="A235" s="2">
        <v>50</v>
      </c>
      <c r="B235" t="s">
        <v>43</v>
      </c>
      <c r="C235">
        <v>0</v>
      </c>
      <c r="D235" t="s">
        <v>36</v>
      </c>
      <c r="E235" t="s">
        <v>37</v>
      </c>
      <c r="F235">
        <v>1</v>
      </c>
      <c r="G235" t="s">
        <v>51</v>
      </c>
      <c r="H235" t="s">
        <v>305</v>
      </c>
      <c r="I235">
        <v>4</v>
      </c>
      <c r="J235" t="s">
        <v>39</v>
      </c>
      <c r="K235">
        <v>3</v>
      </c>
      <c r="L235">
        <v>5</v>
      </c>
      <c r="M235" t="s">
        <v>56</v>
      </c>
      <c r="N235">
        <v>4</v>
      </c>
      <c r="O235" t="s">
        <v>52</v>
      </c>
      <c r="P235" s="1">
        <v>19517</v>
      </c>
      <c r="Q235" t="s">
        <v>90</v>
      </c>
      <c r="R235" t="s">
        <v>43</v>
      </c>
      <c r="S235">
        <v>3</v>
      </c>
      <c r="T235">
        <v>32</v>
      </c>
      <c r="U235">
        <v>2</v>
      </c>
      <c r="V235">
        <v>7</v>
      </c>
      <c r="W235">
        <v>0</v>
      </c>
      <c r="X235">
        <v>0</v>
      </c>
      <c r="Y235">
        <v>6</v>
      </c>
      <c r="Z235" t="s">
        <v>106</v>
      </c>
      <c r="AA235" t="s">
        <v>82</v>
      </c>
      <c r="AB235" t="str" cm="1">
        <f t="array" ref="AB235">_xlfn.IFS(cleaned_data[[#This Row],[YearsAtCompany]]&lt;=5, "0-5",cleaned_data[[#This Row],[YearsAtCompany]]&lt;=10,"6-10",TRUE,"10+")</f>
        <v>6-10</v>
      </c>
    </row>
    <row r="236" spans="1:28" x14ac:dyDescent="0.3">
      <c r="A236" s="2">
        <v>33</v>
      </c>
      <c r="B236" t="s">
        <v>35</v>
      </c>
      <c r="C236">
        <v>1</v>
      </c>
      <c r="D236" t="s">
        <v>36</v>
      </c>
      <c r="E236" t="s">
        <v>45</v>
      </c>
      <c r="F236">
        <v>14</v>
      </c>
      <c r="G236" t="s">
        <v>51</v>
      </c>
      <c r="H236" t="s">
        <v>306</v>
      </c>
      <c r="I236">
        <v>3</v>
      </c>
      <c r="J236" t="s">
        <v>46</v>
      </c>
      <c r="K236">
        <v>3</v>
      </c>
      <c r="L236">
        <v>1</v>
      </c>
      <c r="M236" t="s">
        <v>50</v>
      </c>
      <c r="N236">
        <v>4</v>
      </c>
      <c r="O236" t="s">
        <v>48</v>
      </c>
      <c r="P236" s="1">
        <v>2436</v>
      </c>
      <c r="Q236" t="s">
        <v>72</v>
      </c>
      <c r="R236" t="s">
        <v>35</v>
      </c>
      <c r="S236">
        <v>3</v>
      </c>
      <c r="T236">
        <v>8</v>
      </c>
      <c r="U236">
        <v>1</v>
      </c>
      <c r="V236">
        <v>5</v>
      </c>
      <c r="W236">
        <v>4</v>
      </c>
      <c r="X236">
        <v>0</v>
      </c>
      <c r="Y236">
        <v>4</v>
      </c>
      <c r="Z236" t="s">
        <v>1551</v>
      </c>
      <c r="AA236" t="s">
        <v>69</v>
      </c>
      <c r="AB236" t="str" cm="1">
        <f t="array" ref="AB236">_xlfn.IFS(cleaned_data[[#This Row],[YearsAtCompany]]&lt;=5, "0-5",cleaned_data[[#This Row],[YearsAtCompany]]&lt;=10,"6-10",TRUE,"10+")</f>
        <v>0-5</v>
      </c>
    </row>
    <row r="237" spans="1:28" x14ac:dyDescent="0.3">
      <c r="A237" s="2">
        <v>43</v>
      </c>
      <c r="B237" t="s">
        <v>43</v>
      </c>
      <c r="C237">
        <v>0</v>
      </c>
      <c r="D237" t="s">
        <v>36</v>
      </c>
      <c r="E237" t="s">
        <v>37</v>
      </c>
      <c r="F237">
        <v>16</v>
      </c>
      <c r="G237" t="s">
        <v>59</v>
      </c>
      <c r="H237" t="s">
        <v>307</v>
      </c>
      <c r="I237">
        <v>4</v>
      </c>
      <c r="J237" t="s">
        <v>39</v>
      </c>
      <c r="K237">
        <v>3</v>
      </c>
      <c r="L237">
        <v>4</v>
      </c>
      <c r="M237" t="s">
        <v>56</v>
      </c>
      <c r="N237">
        <v>4</v>
      </c>
      <c r="O237" t="s">
        <v>48</v>
      </c>
      <c r="P237" s="1">
        <v>16064</v>
      </c>
      <c r="Q237" t="s">
        <v>90</v>
      </c>
      <c r="R237" t="s">
        <v>35</v>
      </c>
      <c r="S237">
        <v>4</v>
      </c>
      <c r="T237">
        <v>22</v>
      </c>
      <c r="U237">
        <v>3</v>
      </c>
      <c r="V237">
        <v>17</v>
      </c>
      <c r="W237">
        <v>13</v>
      </c>
      <c r="X237">
        <v>1</v>
      </c>
      <c r="Y237">
        <v>9</v>
      </c>
      <c r="Z237" t="s">
        <v>1550</v>
      </c>
      <c r="AA237" t="s">
        <v>82</v>
      </c>
      <c r="AB237" t="str" cm="1">
        <f t="array" ref="AB237">_xlfn.IFS(cleaned_data[[#This Row],[YearsAtCompany]]&lt;=5, "0-5",cleaned_data[[#This Row],[YearsAtCompany]]&lt;=10,"6-10",TRUE,"10+")</f>
        <v>10+</v>
      </c>
    </row>
    <row r="238" spans="1:28" x14ac:dyDescent="0.3">
      <c r="A238" s="2">
        <v>33</v>
      </c>
      <c r="B238" t="s">
        <v>35</v>
      </c>
      <c r="C238">
        <v>1</v>
      </c>
      <c r="D238" t="s">
        <v>36</v>
      </c>
      <c r="E238" t="s">
        <v>45</v>
      </c>
      <c r="F238">
        <v>2</v>
      </c>
      <c r="G238" t="s">
        <v>38</v>
      </c>
      <c r="H238" t="s">
        <v>308</v>
      </c>
      <c r="I238">
        <v>1</v>
      </c>
      <c r="J238" t="s">
        <v>39</v>
      </c>
      <c r="K238">
        <v>3</v>
      </c>
      <c r="L238">
        <v>1</v>
      </c>
      <c r="M238" t="s">
        <v>50</v>
      </c>
      <c r="N238">
        <v>1</v>
      </c>
      <c r="O238" t="s">
        <v>48</v>
      </c>
      <c r="P238" s="6">
        <v>2707</v>
      </c>
      <c r="Q238" t="s">
        <v>72</v>
      </c>
      <c r="R238" t="s">
        <v>43</v>
      </c>
      <c r="S238">
        <v>4</v>
      </c>
      <c r="T238">
        <v>13</v>
      </c>
      <c r="U238">
        <v>4</v>
      </c>
      <c r="V238">
        <v>9</v>
      </c>
      <c r="W238">
        <v>7</v>
      </c>
      <c r="X238">
        <v>1</v>
      </c>
      <c r="Y238">
        <v>7</v>
      </c>
      <c r="Z238" t="s">
        <v>1551</v>
      </c>
      <c r="AA238" t="s">
        <v>69</v>
      </c>
      <c r="AB238" t="str" cm="1">
        <f t="array" ref="AB238">_xlfn.IFS(cleaned_data[[#This Row],[YearsAtCompany]]&lt;=5, "0-5",cleaned_data[[#This Row],[YearsAtCompany]]&lt;=10,"6-10",TRUE,"10+")</f>
        <v>6-10</v>
      </c>
    </row>
    <row r="239" spans="1:28" x14ac:dyDescent="0.3">
      <c r="A239" s="2">
        <v>52</v>
      </c>
      <c r="B239" t="s">
        <v>43</v>
      </c>
      <c r="C239">
        <v>0</v>
      </c>
      <c r="D239" t="s">
        <v>55</v>
      </c>
      <c r="E239" t="s">
        <v>37</v>
      </c>
      <c r="F239">
        <v>2</v>
      </c>
      <c r="G239" t="s">
        <v>38</v>
      </c>
      <c r="H239" t="s">
        <v>309</v>
      </c>
      <c r="I239">
        <v>1</v>
      </c>
      <c r="J239" t="s">
        <v>46</v>
      </c>
      <c r="K239">
        <v>2</v>
      </c>
      <c r="L239">
        <v>5</v>
      </c>
      <c r="M239" t="s">
        <v>56</v>
      </c>
      <c r="N239">
        <v>3</v>
      </c>
      <c r="O239" t="s">
        <v>41</v>
      </c>
      <c r="P239" s="1">
        <v>19068</v>
      </c>
      <c r="Q239" t="s">
        <v>90</v>
      </c>
      <c r="R239" t="s">
        <v>35</v>
      </c>
      <c r="S239">
        <v>3</v>
      </c>
      <c r="T239">
        <v>33</v>
      </c>
      <c r="U239">
        <v>4</v>
      </c>
      <c r="V239">
        <v>33</v>
      </c>
      <c r="W239">
        <v>7</v>
      </c>
      <c r="X239">
        <v>15</v>
      </c>
      <c r="Y239">
        <v>12</v>
      </c>
      <c r="Z239" t="s">
        <v>106</v>
      </c>
      <c r="AA239" t="s">
        <v>82</v>
      </c>
      <c r="AB239" t="str" cm="1">
        <f t="array" ref="AB239">_xlfn.IFS(cleaned_data[[#This Row],[YearsAtCompany]]&lt;=5, "0-5",cleaned_data[[#This Row],[YearsAtCompany]]&lt;=10,"6-10",TRUE,"10+")</f>
        <v>10+</v>
      </c>
    </row>
    <row r="240" spans="1:28" x14ac:dyDescent="0.3">
      <c r="A240" s="2">
        <v>32</v>
      </c>
      <c r="B240" t="s">
        <v>43</v>
      </c>
      <c r="C240">
        <v>0</v>
      </c>
      <c r="D240" t="s">
        <v>36</v>
      </c>
      <c r="E240" t="s">
        <v>37</v>
      </c>
      <c r="F240">
        <v>4</v>
      </c>
      <c r="G240" t="s">
        <v>38</v>
      </c>
      <c r="H240" t="s">
        <v>310</v>
      </c>
      <c r="I240">
        <v>3</v>
      </c>
      <c r="J240" t="s">
        <v>39</v>
      </c>
      <c r="K240">
        <v>3</v>
      </c>
      <c r="L240">
        <v>1</v>
      </c>
      <c r="M240" t="s">
        <v>57</v>
      </c>
      <c r="N240">
        <v>2</v>
      </c>
      <c r="O240" t="s">
        <v>48</v>
      </c>
      <c r="P240" s="1">
        <v>3931</v>
      </c>
      <c r="Q240" t="s">
        <v>72</v>
      </c>
      <c r="R240" t="s">
        <v>43</v>
      </c>
      <c r="S240">
        <v>3</v>
      </c>
      <c r="T240">
        <v>6</v>
      </c>
      <c r="U240">
        <v>3</v>
      </c>
      <c r="V240">
        <v>4</v>
      </c>
      <c r="W240">
        <v>3</v>
      </c>
      <c r="X240">
        <v>1</v>
      </c>
      <c r="Y240">
        <v>2</v>
      </c>
      <c r="Z240" t="s">
        <v>1551</v>
      </c>
      <c r="AA240" t="s">
        <v>69</v>
      </c>
      <c r="AB240" t="str" cm="1">
        <f t="array" ref="AB240">_xlfn.IFS(cleaned_data[[#This Row],[YearsAtCompany]]&lt;=5, "0-5",cleaned_data[[#This Row],[YearsAtCompany]]&lt;=10,"6-10",TRUE,"10+")</f>
        <v>0-5</v>
      </c>
    </row>
    <row r="241" spans="1:28" x14ac:dyDescent="0.3">
      <c r="A241" s="2">
        <v>32</v>
      </c>
      <c r="B241" t="s">
        <v>35</v>
      </c>
      <c r="C241">
        <v>1</v>
      </c>
      <c r="D241" t="s">
        <v>36</v>
      </c>
      <c r="E241" t="s">
        <v>45</v>
      </c>
      <c r="F241">
        <v>1</v>
      </c>
      <c r="G241" t="s">
        <v>38</v>
      </c>
      <c r="H241" t="s">
        <v>311</v>
      </c>
      <c r="I241">
        <v>4</v>
      </c>
      <c r="J241" t="s">
        <v>46</v>
      </c>
      <c r="K241">
        <v>2</v>
      </c>
      <c r="L241">
        <v>1</v>
      </c>
      <c r="M241" t="s">
        <v>50</v>
      </c>
      <c r="N241">
        <v>3</v>
      </c>
      <c r="O241" t="s">
        <v>41</v>
      </c>
      <c r="P241" s="1">
        <v>3730</v>
      </c>
      <c r="Q241" t="s">
        <v>72</v>
      </c>
      <c r="R241" t="s">
        <v>35</v>
      </c>
      <c r="S241">
        <v>3</v>
      </c>
      <c r="T241">
        <v>4</v>
      </c>
      <c r="U241">
        <v>1</v>
      </c>
      <c r="V241">
        <v>3</v>
      </c>
      <c r="W241">
        <v>2</v>
      </c>
      <c r="X241">
        <v>1</v>
      </c>
      <c r="Y241">
        <v>2</v>
      </c>
      <c r="Z241" t="s">
        <v>1551</v>
      </c>
      <c r="AA241" t="s">
        <v>78</v>
      </c>
      <c r="AB241" t="str" cm="1">
        <f t="array" ref="AB241">_xlfn.IFS(cleaned_data[[#This Row],[YearsAtCompany]]&lt;=5, "0-5",cleaned_data[[#This Row],[YearsAtCompany]]&lt;=10,"6-10",TRUE,"10+")</f>
        <v>0-5</v>
      </c>
    </row>
    <row r="242" spans="1:28" x14ac:dyDescent="0.3">
      <c r="A242" s="2">
        <v>39</v>
      </c>
      <c r="B242" t="s">
        <v>43</v>
      </c>
      <c r="C242">
        <v>0</v>
      </c>
      <c r="D242" t="s">
        <v>36</v>
      </c>
      <c r="E242" t="s">
        <v>45</v>
      </c>
      <c r="F242">
        <v>1</v>
      </c>
      <c r="G242" t="s">
        <v>51</v>
      </c>
      <c r="H242" t="s">
        <v>312</v>
      </c>
      <c r="I242">
        <v>3</v>
      </c>
      <c r="J242" t="s">
        <v>39</v>
      </c>
      <c r="K242">
        <v>3</v>
      </c>
      <c r="L242">
        <v>1</v>
      </c>
      <c r="M242" t="s">
        <v>50</v>
      </c>
      <c r="N242">
        <v>3</v>
      </c>
      <c r="O242" t="s">
        <v>52</v>
      </c>
      <c r="P242" s="1">
        <v>2232</v>
      </c>
      <c r="Q242" t="s">
        <v>72</v>
      </c>
      <c r="R242" t="s">
        <v>43</v>
      </c>
      <c r="S242">
        <v>3</v>
      </c>
      <c r="T242">
        <v>7</v>
      </c>
      <c r="U242">
        <v>3</v>
      </c>
      <c r="V242">
        <v>3</v>
      </c>
      <c r="W242">
        <v>2</v>
      </c>
      <c r="X242">
        <v>1</v>
      </c>
      <c r="Y242">
        <v>2</v>
      </c>
      <c r="Z242" t="s">
        <v>1550</v>
      </c>
      <c r="AA242" t="s">
        <v>69</v>
      </c>
      <c r="AB242" t="str" cm="1">
        <f t="array" ref="AB242">_xlfn.IFS(cleaned_data[[#This Row],[YearsAtCompany]]&lt;=5, "0-5",cleaned_data[[#This Row],[YearsAtCompany]]&lt;=10,"6-10",TRUE,"10+")</f>
        <v>0-5</v>
      </c>
    </row>
    <row r="243" spans="1:28" x14ac:dyDescent="0.3">
      <c r="A243" s="2">
        <v>32</v>
      </c>
      <c r="B243" t="s">
        <v>43</v>
      </c>
      <c r="C243">
        <v>0</v>
      </c>
      <c r="D243" t="s">
        <v>55</v>
      </c>
      <c r="E243" t="s">
        <v>37</v>
      </c>
      <c r="F243">
        <v>26</v>
      </c>
      <c r="G243" t="s">
        <v>59</v>
      </c>
      <c r="H243" t="s">
        <v>313</v>
      </c>
      <c r="I243">
        <v>3</v>
      </c>
      <c r="J243" t="s">
        <v>46</v>
      </c>
      <c r="K243">
        <v>3</v>
      </c>
      <c r="L243">
        <v>2</v>
      </c>
      <c r="M243" t="s">
        <v>40</v>
      </c>
      <c r="N243">
        <v>4</v>
      </c>
      <c r="O243" t="s">
        <v>48</v>
      </c>
      <c r="P243" s="1">
        <v>4465</v>
      </c>
      <c r="Q243" t="s">
        <v>72</v>
      </c>
      <c r="R243" t="s">
        <v>43</v>
      </c>
      <c r="S243">
        <v>3</v>
      </c>
      <c r="T243">
        <v>4</v>
      </c>
      <c r="U243">
        <v>3</v>
      </c>
      <c r="V243">
        <v>3</v>
      </c>
      <c r="W243">
        <v>2</v>
      </c>
      <c r="X243">
        <v>2</v>
      </c>
      <c r="Y243">
        <v>2</v>
      </c>
      <c r="Z243" t="s">
        <v>1551</v>
      </c>
      <c r="AA243" t="s">
        <v>78</v>
      </c>
      <c r="AB243" t="str" cm="1">
        <f t="array" ref="AB243">_xlfn.IFS(cleaned_data[[#This Row],[YearsAtCompany]]&lt;=5, "0-5",cleaned_data[[#This Row],[YearsAtCompany]]&lt;=10,"6-10",TRUE,"10+")</f>
        <v>0-5</v>
      </c>
    </row>
    <row r="244" spans="1:28" x14ac:dyDescent="0.3">
      <c r="A244" s="2">
        <v>41</v>
      </c>
      <c r="B244" t="s">
        <v>43</v>
      </c>
      <c r="C244">
        <v>0</v>
      </c>
      <c r="D244" t="s">
        <v>36</v>
      </c>
      <c r="E244" t="s">
        <v>45</v>
      </c>
      <c r="F244">
        <v>19</v>
      </c>
      <c r="G244" t="s">
        <v>38</v>
      </c>
      <c r="H244" t="s">
        <v>314</v>
      </c>
      <c r="I244">
        <v>3</v>
      </c>
      <c r="J244" t="s">
        <v>46</v>
      </c>
      <c r="K244">
        <v>3</v>
      </c>
      <c r="L244">
        <v>2</v>
      </c>
      <c r="M244" t="s">
        <v>47</v>
      </c>
      <c r="N244">
        <v>1</v>
      </c>
      <c r="O244" t="s">
        <v>52</v>
      </c>
      <c r="P244" s="6">
        <v>3072</v>
      </c>
      <c r="Q244" t="s">
        <v>72</v>
      </c>
      <c r="R244" t="s">
        <v>43</v>
      </c>
      <c r="S244">
        <v>3</v>
      </c>
      <c r="T244">
        <v>17</v>
      </c>
      <c r="U244">
        <v>2</v>
      </c>
      <c r="V244">
        <v>1</v>
      </c>
      <c r="W244">
        <v>0</v>
      </c>
      <c r="X244">
        <v>0</v>
      </c>
      <c r="Y244">
        <v>0</v>
      </c>
      <c r="Z244" t="s">
        <v>1550</v>
      </c>
      <c r="AA244" t="s">
        <v>82</v>
      </c>
      <c r="AB244" t="str" cm="1">
        <f t="array" ref="AB244">_xlfn.IFS(cleaned_data[[#This Row],[YearsAtCompany]]&lt;=5, "0-5",cleaned_data[[#This Row],[YearsAtCompany]]&lt;=10,"6-10",TRUE,"10+")</f>
        <v>0-5</v>
      </c>
    </row>
    <row r="245" spans="1:28" x14ac:dyDescent="0.3">
      <c r="A245" s="2">
        <v>40</v>
      </c>
      <c r="B245" t="s">
        <v>43</v>
      </c>
      <c r="C245">
        <v>0</v>
      </c>
      <c r="D245" t="s">
        <v>36</v>
      </c>
      <c r="E245" t="s">
        <v>45</v>
      </c>
      <c r="F245">
        <v>24</v>
      </c>
      <c r="G245" t="s">
        <v>60</v>
      </c>
      <c r="H245" t="s">
        <v>315</v>
      </c>
      <c r="I245">
        <v>1</v>
      </c>
      <c r="J245" t="s">
        <v>46</v>
      </c>
      <c r="K245">
        <v>3</v>
      </c>
      <c r="L245">
        <v>2</v>
      </c>
      <c r="M245" t="s">
        <v>47</v>
      </c>
      <c r="N245">
        <v>4</v>
      </c>
      <c r="O245" t="s">
        <v>52</v>
      </c>
      <c r="P245" s="1">
        <v>3319</v>
      </c>
      <c r="Q245" t="s">
        <v>72</v>
      </c>
      <c r="R245" t="s">
        <v>43</v>
      </c>
      <c r="S245">
        <v>3</v>
      </c>
      <c r="T245">
        <v>9</v>
      </c>
      <c r="U245">
        <v>3</v>
      </c>
      <c r="V245">
        <v>9</v>
      </c>
      <c r="W245">
        <v>8</v>
      </c>
      <c r="X245">
        <v>4</v>
      </c>
      <c r="Y245">
        <v>7</v>
      </c>
      <c r="Z245" t="s">
        <v>1550</v>
      </c>
      <c r="AA245" t="s">
        <v>69</v>
      </c>
      <c r="AB245" t="str" cm="1">
        <f t="array" ref="AB245">_xlfn.IFS(cleaned_data[[#This Row],[YearsAtCompany]]&lt;=5, "0-5",cleaned_data[[#This Row],[YearsAtCompany]]&lt;=10,"6-10",TRUE,"10+")</f>
        <v>6-10</v>
      </c>
    </row>
    <row r="246" spans="1:28" x14ac:dyDescent="0.3">
      <c r="A246" s="2">
        <v>45</v>
      </c>
      <c r="B246" t="s">
        <v>43</v>
      </c>
      <c r="C246">
        <v>0</v>
      </c>
      <c r="D246" t="s">
        <v>36</v>
      </c>
      <c r="E246" t="s">
        <v>45</v>
      </c>
      <c r="F246">
        <v>1</v>
      </c>
      <c r="G246" t="s">
        <v>49</v>
      </c>
      <c r="H246" t="s">
        <v>316</v>
      </c>
      <c r="I246">
        <v>3</v>
      </c>
      <c r="J246" t="s">
        <v>46</v>
      </c>
      <c r="K246">
        <v>4</v>
      </c>
      <c r="L246">
        <v>5</v>
      </c>
      <c r="M246" t="s">
        <v>56</v>
      </c>
      <c r="N246">
        <v>4</v>
      </c>
      <c r="O246" t="s">
        <v>48</v>
      </c>
      <c r="P246" s="1">
        <v>19202</v>
      </c>
      <c r="Q246" t="s">
        <v>90</v>
      </c>
      <c r="R246" t="s">
        <v>43</v>
      </c>
      <c r="S246">
        <v>3</v>
      </c>
      <c r="T246">
        <v>25</v>
      </c>
      <c r="U246">
        <v>3</v>
      </c>
      <c r="V246">
        <v>24</v>
      </c>
      <c r="W246">
        <v>0</v>
      </c>
      <c r="X246">
        <v>1</v>
      </c>
      <c r="Y246">
        <v>7</v>
      </c>
      <c r="Z246" t="s">
        <v>1550</v>
      </c>
      <c r="AA246" t="s">
        <v>82</v>
      </c>
      <c r="AB246" t="str" cm="1">
        <f t="array" ref="AB246">_xlfn.IFS(cleaned_data[[#This Row],[YearsAtCompany]]&lt;=5, "0-5",cleaned_data[[#This Row],[YearsAtCompany]]&lt;=10,"6-10",TRUE,"10+")</f>
        <v>10+</v>
      </c>
    </row>
    <row r="247" spans="1:28" x14ac:dyDescent="0.3">
      <c r="A247" s="2">
        <v>31</v>
      </c>
      <c r="B247" t="s">
        <v>43</v>
      </c>
      <c r="C247">
        <v>0</v>
      </c>
      <c r="D247" t="s">
        <v>44</v>
      </c>
      <c r="E247" t="s">
        <v>45</v>
      </c>
      <c r="F247">
        <v>3</v>
      </c>
      <c r="G247" t="s">
        <v>51</v>
      </c>
      <c r="H247" t="s">
        <v>317</v>
      </c>
      <c r="I247">
        <v>2</v>
      </c>
      <c r="J247" t="s">
        <v>46</v>
      </c>
      <c r="K247">
        <v>3</v>
      </c>
      <c r="L247">
        <v>3</v>
      </c>
      <c r="M247" t="s">
        <v>58</v>
      </c>
      <c r="N247">
        <v>3</v>
      </c>
      <c r="O247" t="s">
        <v>52</v>
      </c>
      <c r="P247" s="1">
        <v>13675</v>
      </c>
      <c r="Q247" t="s">
        <v>90</v>
      </c>
      <c r="R247" t="s">
        <v>43</v>
      </c>
      <c r="S247">
        <v>3</v>
      </c>
      <c r="T247">
        <v>9</v>
      </c>
      <c r="U247">
        <v>3</v>
      </c>
      <c r="V247">
        <v>2</v>
      </c>
      <c r="W247">
        <v>2</v>
      </c>
      <c r="X247">
        <v>2</v>
      </c>
      <c r="Y247">
        <v>2</v>
      </c>
      <c r="Z247" t="s">
        <v>1551</v>
      </c>
      <c r="AA247" t="s">
        <v>69</v>
      </c>
      <c r="AB247" t="str" cm="1">
        <f t="array" ref="AB247">_xlfn.IFS(cleaned_data[[#This Row],[YearsAtCompany]]&lt;=5, "0-5",cleaned_data[[#This Row],[YearsAtCompany]]&lt;=10,"6-10",TRUE,"10+")</f>
        <v>0-5</v>
      </c>
    </row>
    <row r="248" spans="1:28" x14ac:dyDescent="0.3">
      <c r="A248" s="2">
        <v>33</v>
      </c>
      <c r="B248" t="s">
        <v>43</v>
      </c>
      <c r="C248">
        <v>0</v>
      </c>
      <c r="D248" t="s">
        <v>36</v>
      </c>
      <c r="E248" t="s">
        <v>45</v>
      </c>
      <c r="F248">
        <v>5</v>
      </c>
      <c r="G248" t="s">
        <v>38</v>
      </c>
      <c r="H248" t="s">
        <v>318</v>
      </c>
      <c r="I248">
        <v>3</v>
      </c>
      <c r="J248" t="s">
        <v>39</v>
      </c>
      <c r="K248">
        <v>2</v>
      </c>
      <c r="L248">
        <v>1</v>
      </c>
      <c r="M248" t="s">
        <v>47</v>
      </c>
      <c r="N248">
        <v>4</v>
      </c>
      <c r="O248" t="s">
        <v>48</v>
      </c>
      <c r="P248" s="1">
        <v>2911</v>
      </c>
      <c r="Q248" t="s">
        <v>72</v>
      </c>
      <c r="R248" t="s">
        <v>43</v>
      </c>
      <c r="S248">
        <v>3</v>
      </c>
      <c r="T248">
        <v>2</v>
      </c>
      <c r="U248">
        <v>2</v>
      </c>
      <c r="V248">
        <v>2</v>
      </c>
      <c r="W248">
        <v>2</v>
      </c>
      <c r="X248">
        <v>0</v>
      </c>
      <c r="Y248">
        <v>2</v>
      </c>
      <c r="Z248" t="s">
        <v>1551</v>
      </c>
      <c r="AA248" t="s">
        <v>78</v>
      </c>
      <c r="AB248" t="str" cm="1">
        <f t="array" ref="AB248">_xlfn.IFS(cleaned_data[[#This Row],[YearsAtCompany]]&lt;=5, "0-5",cleaned_data[[#This Row],[YearsAtCompany]]&lt;=10,"6-10",TRUE,"10+")</f>
        <v>0-5</v>
      </c>
    </row>
    <row r="249" spans="1:28" x14ac:dyDescent="0.3">
      <c r="A249" s="2">
        <v>34</v>
      </c>
      <c r="B249" t="s">
        <v>43</v>
      </c>
      <c r="C249">
        <v>0</v>
      </c>
      <c r="D249" t="s">
        <v>36</v>
      </c>
      <c r="E249" t="s">
        <v>45</v>
      </c>
      <c r="F249">
        <v>2</v>
      </c>
      <c r="G249" t="s">
        <v>38</v>
      </c>
      <c r="H249" t="s">
        <v>319</v>
      </c>
      <c r="I249">
        <v>4</v>
      </c>
      <c r="J249" t="s">
        <v>46</v>
      </c>
      <c r="K249">
        <v>2</v>
      </c>
      <c r="L249">
        <v>2</v>
      </c>
      <c r="M249" t="s">
        <v>53</v>
      </c>
      <c r="N249">
        <v>1</v>
      </c>
      <c r="O249" t="s">
        <v>48</v>
      </c>
      <c r="P249" s="6">
        <v>5957</v>
      </c>
      <c r="Q249" t="s">
        <v>67</v>
      </c>
      <c r="R249" t="s">
        <v>43</v>
      </c>
      <c r="S249">
        <v>3</v>
      </c>
      <c r="T249">
        <v>13</v>
      </c>
      <c r="U249">
        <v>3</v>
      </c>
      <c r="V249">
        <v>11</v>
      </c>
      <c r="W249">
        <v>9</v>
      </c>
      <c r="X249">
        <v>5</v>
      </c>
      <c r="Y249">
        <v>9</v>
      </c>
      <c r="Z249" t="s">
        <v>1551</v>
      </c>
      <c r="AA249" t="s">
        <v>69</v>
      </c>
      <c r="AB249" t="str" cm="1">
        <f t="array" ref="AB249">_xlfn.IFS(cleaned_data[[#This Row],[YearsAtCompany]]&lt;=5, "0-5",cleaned_data[[#This Row],[YearsAtCompany]]&lt;=10,"6-10",TRUE,"10+")</f>
        <v>10+</v>
      </c>
    </row>
    <row r="250" spans="1:28" x14ac:dyDescent="0.3">
      <c r="A250" s="2">
        <v>37</v>
      </c>
      <c r="B250" t="s">
        <v>43</v>
      </c>
      <c r="C250">
        <v>0</v>
      </c>
      <c r="D250" t="s">
        <v>36</v>
      </c>
      <c r="E250" t="s">
        <v>45</v>
      </c>
      <c r="F250">
        <v>1</v>
      </c>
      <c r="G250" t="s">
        <v>51</v>
      </c>
      <c r="H250" t="s">
        <v>320</v>
      </c>
      <c r="I250">
        <v>3</v>
      </c>
      <c r="J250" t="s">
        <v>39</v>
      </c>
      <c r="K250">
        <v>2</v>
      </c>
      <c r="L250">
        <v>1</v>
      </c>
      <c r="M250" t="s">
        <v>47</v>
      </c>
      <c r="N250">
        <v>1</v>
      </c>
      <c r="O250" t="s">
        <v>48</v>
      </c>
      <c r="P250" s="6">
        <v>3920</v>
      </c>
      <c r="Q250" t="s">
        <v>72</v>
      </c>
      <c r="R250" t="s">
        <v>43</v>
      </c>
      <c r="S250">
        <v>3</v>
      </c>
      <c r="T250">
        <v>17</v>
      </c>
      <c r="U250">
        <v>2</v>
      </c>
      <c r="V250">
        <v>3</v>
      </c>
      <c r="W250">
        <v>1</v>
      </c>
      <c r="X250">
        <v>0</v>
      </c>
      <c r="Y250">
        <v>2</v>
      </c>
      <c r="Z250" t="s">
        <v>1550</v>
      </c>
      <c r="AA250" t="s">
        <v>82</v>
      </c>
      <c r="AB250" t="str" cm="1">
        <f t="array" ref="AB250">_xlfn.IFS(cleaned_data[[#This Row],[YearsAtCompany]]&lt;=5, "0-5",cleaned_data[[#This Row],[YearsAtCompany]]&lt;=10,"6-10",TRUE,"10+")</f>
        <v>0-5</v>
      </c>
    </row>
    <row r="251" spans="1:28" x14ac:dyDescent="0.3">
      <c r="A251" s="2">
        <v>45</v>
      </c>
      <c r="B251" t="s">
        <v>43</v>
      </c>
      <c r="C251">
        <v>0</v>
      </c>
      <c r="D251" t="s">
        <v>44</v>
      </c>
      <c r="E251" t="s">
        <v>45</v>
      </c>
      <c r="F251">
        <v>7</v>
      </c>
      <c r="G251" t="s">
        <v>38</v>
      </c>
      <c r="H251" t="s">
        <v>321</v>
      </c>
      <c r="I251">
        <v>1</v>
      </c>
      <c r="J251" t="s">
        <v>46</v>
      </c>
      <c r="K251">
        <v>4</v>
      </c>
      <c r="L251">
        <v>2</v>
      </c>
      <c r="M251" t="s">
        <v>53</v>
      </c>
      <c r="N251">
        <v>3</v>
      </c>
      <c r="O251" t="s">
        <v>48</v>
      </c>
      <c r="P251" s="1">
        <v>6434</v>
      </c>
      <c r="Q251" t="s">
        <v>67</v>
      </c>
      <c r="R251" t="s">
        <v>43</v>
      </c>
      <c r="S251">
        <v>3</v>
      </c>
      <c r="T251">
        <v>9</v>
      </c>
      <c r="U251">
        <v>3</v>
      </c>
      <c r="V251">
        <v>3</v>
      </c>
      <c r="W251">
        <v>2</v>
      </c>
      <c r="X251">
        <v>0</v>
      </c>
      <c r="Y251">
        <v>2</v>
      </c>
      <c r="Z251" t="s">
        <v>1550</v>
      </c>
      <c r="AA251" t="s">
        <v>69</v>
      </c>
      <c r="AB251" t="str" cm="1">
        <f t="array" ref="AB251">_xlfn.IFS(cleaned_data[[#This Row],[YearsAtCompany]]&lt;=5, "0-5",cleaned_data[[#This Row],[YearsAtCompany]]&lt;=10,"6-10",TRUE,"10+")</f>
        <v>0-5</v>
      </c>
    </row>
    <row r="252" spans="1:28" x14ac:dyDescent="0.3">
      <c r="A252" s="2">
        <v>37</v>
      </c>
      <c r="B252" t="s">
        <v>35</v>
      </c>
      <c r="C252">
        <v>1</v>
      </c>
      <c r="D252" t="s">
        <v>44</v>
      </c>
      <c r="E252" t="s">
        <v>45</v>
      </c>
      <c r="F252">
        <v>10</v>
      </c>
      <c r="G252" t="s">
        <v>51</v>
      </c>
      <c r="H252" t="s">
        <v>322</v>
      </c>
      <c r="I252">
        <v>1</v>
      </c>
      <c r="J252" t="s">
        <v>46</v>
      </c>
      <c r="K252">
        <v>3</v>
      </c>
      <c r="L252">
        <v>3</v>
      </c>
      <c r="M252" t="s">
        <v>53</v>
      </c>
      <c r="N252">
        <v>3</v>
      </c>
      <c r="O252" t="s">
        <v>52</v>
      </c>
      <c r="P252" s="1">
        <v>10048</v>
      </c>
      <c r="Q252" t="s">
        <v>67</v>
      </c>
      <c r="R252" t="s">
        <v>43</v>
      </c>
      <c r="S252">
        <v>3</v>
      </c>
      <c r="T252">
        <v>17</v>
      </c>
      <c r="U252">
        <v>3</v>
      </c>
      <c r="V252">
        <v>1</v>
      </c>
      <c r="W252">
        <v>0</v>
      </c>
      <c r="X252">
        <v>0</v>
      </c>
      <c r="Y252">
        <v>0</v>
      </c>
      <c r="Z252" t="s">
        <v>1550</v>
      </c>
      <c r="AA252" t="s">
        <v>82</v>
      </c>
      <c r="AB252" t="str" cm="1">
        <f t="array" ref="AB252">_xlfn.IFS(cleaned_data[[#This Row],[YearsAtCompany]]&lt;=5, "0-5",cleaned_data[[#This Row],[YearsAtCompany]]&lt;=10,"6-10",TRUE,"10+")</f>
        <v>0-5</v>
      </c>
    </row>
    <row r="253" spans="1:28" x14ac:dyDescent="0.3">
      <c r="A253" s="2">
        <v>39</v>
      </c>
      <c r="B253" t="s">
        <v>43</v>
      </c>
      <c r="C253">
        <v>0</v>
      </c>
      <c r="D253" t="s">
        <v>44</v>
      </c>
      <c r="E253" t="s">
        <v>45</v>
      </c>
      <c r="F253">
        <v>2</v>
      </c>
      <c r="G253" t="s">
        <v>60</v>
      </c>
      <c r="H253" t="s">
        <v>323</v>
      </c>
      <c r="I253">
        <v>3</v>
      </c>
      <c r="J253" t="s">
        <v>39</v>
      </c>
      <c r="K253">
        <v>3</v>
      </c>
      <c r="L253">
        <v>3</v>
      </c>
      <c r="M253" t="s">
        <v>54</v>
      </c>
      <c r="N253">
        <v>3</v>
      </c>
      <c r="O253" t="s">
        <v>41</v>
      </c>
      <c r="P253" s="1">
        <v>10938</v>
      </c>
      <c r="Q253" t="s">
        <v>67</v>
      </c>
      <c r="R253" t="s">
        <v>43</v>
      </c>
      <c r="S253">
        <v>4</v>
      </c>
      <c r="T253">
        <v>20</v>
      </c>
      <c r="U253">
        <v>3</v>
      </c>
      <c r="V253">
        <v>19</v>
      </c>
      <c r="W253">
        <v>6</v>
      </c>
      <c r="X253">
        <v>11</v>
      </c>
      <c r="Y253">
        <v>8</v>
      </c>
      <c r="Z253" t="s">
        <v>1550</v>
      </c>
      <c r="AA253" t="s">
        <v>82</v>
      </c>
      <c r="AB253" t="str" cm="1">
        <f t="array" ref="AB253">_xlfn.IFS(cleaned_data[[#This Row],[YearsAtCompany]]&lt;=5, "0-5",cleaned_data[[#This Row],[YearsAtCompany]]&lt;=10,"6-10",TRUE,"10+")</f>
        <v>10+</v>
      </c>
    </row>
    <row r="254" spans="1:28" x14ac:dyDescent="0.3">
      <c r="A254" s="2">
        <v>29</v>
      </c>
      <c r="B254" t="s">
        <v>43</v>
      </c>
      <c r="C254">
        <v>0</v>
      </c>
      <c r="D254" t="s">
        <v>36</v>
      </c>
      <c r="E254" t="s">
        <v>45</v>
      </c>
      <c r="F254">
        <v>15</v>
      </c>
      <c r="G254" t="s">
        <v>38</v>
      </c>
      <c r="H254" t="s">
        <v>324</v>
      </c>
      <c r="I254">
        <v>3</v>
      </c>
      <c r="J254" t="s">
        <v>46</v>
      </c>
      <c r="K254">
        <v>3</v>
      </c>
      <c r="L254">
        <v>1</v>
      </c>
      <c r="M254" t="s">
        <v>47</v>
      </c>
      <c r="N254">
        <v>4</v>
      </c>
      <c r="O254" t="s">
        <v>41</v>
      </c>
      <c r="P254" s="1">
        <v>2340</v>
      </c>
      <c r="Q254" t="s">
        <v>72</v>
      </c>
      <c r="R254" t="s">
        <v>43</v>
      </c>
      <c r="S254">
        <v>3</v>
      </c>
      <c r="T254">
        <v>6</v>
      </c>
      <c r="U254">
        <v>3</v>
      </c>
      <c r="V254">
        <v>6</v>
      </c>
      <c r="W254">
        <v>5</v>
      </c>
      <c r="X254">
        <v>1</v>
      </c>
      <c r="Y254">
        <v>5</v>
      </c>
      <c r="Z254" t="s">
        <v>1551</v>
      </c>
      <c r="AA254" t="s">
        <v>69</v>
      </c>
      <c r="AB254" t="str" cm="1">
        <f t="array" ref="AB254">_xlfn.IFS(cleaned_data[[#This Row],[YearsAtCompany]]&lt;=5, "0-5",cleaned_data[[#This Row],[YearsAtCompany]]&lt;=10,"6-10",TRUE,"10+")</f>
        <v>6-10</v>
      </c>
    </row>
    <row r="255" spans="1:28" x14ac:dyDescent="0.3">
      <c r="A255" s="2">
        <v>42</v>
      </c>
      <c r="B255" t="s">
        <v>43</v>
      </c>
      <c r="C255">
        <v>0</v>
      </c>
      <c r="D255" t="s">
        <v>36</v>
      </c>
      <c r="E255" t="s">
        <v>45</v>
      </c>
      <c r="F255">
        <v>17</v>
      </c>
      <c r="G255" t="s">
        <v>38</v>
      </c>
      <c r="H255" t="s">
        <v>325</v>
      </c>
      <c r="I255">
        <v>4</v>
      </c>
      <c r="J255" t="s">
        <v>39</v>
      </c>
      <c r="K255">
        <v>4</v>
      </c>
      <c r="L255">
        <v>2</v>
      </c>
      <c r="M255" t="s">
        <v>47</v>
      </c>
      <c r="N255">
        <v>1</v>
      </c>
      <c r="O255" t="s">
        <v>41</v>
      </c>
      <c r="P255" s="6">
        <v>6545</v>
      </c>
      <c r="Q255" t="s">
        <v>67</v>
      </c>
      <c r="R255" t="s">
        <v>35</v>
      </c>
      <c r="S255">
        <v>3</v>
      </c>
      <c r="T255">
        <v>10</v>
      </c>
      <c r="U255">
        <v>3</v>
      </c>
      <c r="V255">
        <v>3</v>
      </c>
      <c r="W255">
        <v>2</v>
      </c>
      <c r="X255">
        <v>0</v>
      </c>
      <c r="Y255">
        <v>2</v>
      </c>
      <c r="Z255" t="s">
        <v>1550</v>
      </c>
      <c r="AA255" t="s">
        <v>69</v>
      </c>
      <c r="AB255" t="str" cm="1">
        <f t="array" ref="AB255">_xlfn.IFS(cleaned_data[[#This Row],[YearsAtCompany]]&lt;=5, "0-5",cleaned_data[[#This Row],[YearsAtCompany]]&lt;=10,"6-10",TRUE,"10+")</f>
        <v>0-5</v>
      </c>
    </row>
    <row r="256" spans="1:28" x14ac:dyDescent="0.3">
      <c r="A256" s="2">
        <v>29</v>
      </c>
      <c r="B256" t="s">
        <v>43</v>
      </c>
      <c r="C256">
        <v>0</v>
      </c>
      <c r="D256" t="s">
        <v>36</v>
      </c>
      <c r="E256" t="s">
        <v>37</v>
      </c>
      <c r="F256">
        <v>20</v>
      </c>
      <c r="G256" t="s">
        <v>59</v>
      </c>
      <c r="H256" t="s">
        <v>326</v>
      </c>
      <c r="I256">
        <v>4</v>
      </c>
      <c r="J256" t="s">
        <v>46</v>
      </c>
      <c r="K256">
        <v>3</v>
      </c>
      <c r="L256">
        <v>2</v>
      </c>
      <c r="M256" t="s">
        <v>40</v>
      </c>
      <c r="N256">
        <v>4</v>
      </c>
      <c r="O256" t="s">
        <v>52</v>
      </c>
      <c r="P256" s="1">
        <v>6931</v>
      </c>
      <c r="Q256" t="s">
        <v>67</v>
      </c>
      <c r="R256" t="s">
        <v>43</v>
      </c>
      <c r="S256">
        <v>3</v>
      </c>
      <c r="T256">
        <v>10</v>
      </c>
      <c r="U256">
        <v>3</v>
      </c>
      <c r="V256">
        <v>3</v>
      </c>
      <c r="W256">
        <v>2</v>
      </c>
      <c r="X256">
        <v>0</v>
      </c>
      <c r="Y256">
        <v>2</v>
      </c>
      <c r="Z256" t="s">
        <v>1551</v>
      </c>
      <c r="AA256" t="s">
        <v>69</v>
      </c>
      <c r="AB256" t="str" cm="1">
        <f t="array" ref="AB256">_xlfn.IFS(cleaned_data[[#This Row],[YearsAtCompany]]&lt;=5, "0-5",cleaned_data[[#This Row],[YearsAtCompany]]&lt;=10,"6-10",TRUE,"10+")</f>
        <v>0-5</v>
      </c>
    </row>
    <row r="257" spans="1:28" x14ac:dyDescent="0.3">
      <c r="A257" s="2">
        <v>25</v>
      </c>
      <c r="B257" t="s">
        <v>43</v>
      </c>
      <c r="C257">
        <v>0</v>
      </c>
      <c r="D257" t="s">
        <v>36</v>
      </c>
      <c r="E257" t="s">
        <v>45</v>
      </c>
      <c r="F257">
        <v>1</v>
      </c>
      <c r="G257" t="s">
        <v>38</v>
      </c>
      <c r="H257" t="s">
        <v>327</v>
      </c>
      <c r="I257">
        <v>1</v>
      </c>
      <c r="J257" t="s">
        <v>39</v>
      </c>
      <c r="K257">
        <v>3</v>
      </c>
      <c r="L257">
        <v>2</v>
      </c>
      <c r="M257" t="s">
        <v>53</v>
      </c>
      <c r="N257">
        <v>3</v>
      </c>
      <c r="O257" t="s">
        <v>48</v>
      </c>
      <c r="P257" s="1">
        <v>4898</v>
      </c>
      <c r="Q257" t="s">
        <v>72</v>
      </c>
      <c r="R257" t="s">
        <v>43</v>
      </c>
      <c r="S257">
        <v>3</v>
      </c>
      <c r="T257">
        <v>5</v>
      </c>
      <c r="U257">
        <v>3</v>
      </c>
      <c r="V257">
        <v>4</v>
      </c>
      <c r="W257">
        <v>2</v>
      </c>
      <c r="X257">
        <v>1</v>
      </c>
      <c r="Y257">
        <v>2</v>
      </c>
      <c r="Z257" t="s">
        <v>68</v>
      </c>
      <c r="AA257" t="s">
        <v>78</v>
      </c>
      <c r="AB257" t="str" cm="1">
        <f t="array" ref="AB257">_xlfn.IFS(cleaned_data[[#This Row],[YearsAtCompany]]&lt;=5, "0-5",cleaned_data[[#This Row],[YearsAtCompany]]&lt;=10,"6-10",TRUE,"10+")</f>
        <v>0-5</v>
      </c>
    </row>
    <row r="258" spans="1:28" x14ac:dyDescent="0.3">
      <c r="A258" s="2">
        <v>42</v>
      </c>
      <c r="B258" t="s">
        <v>43</v>
      </c>
      <c r="C258">
        <v>0</v>
      </c>
      <c r="D258" t="s">
        <v>36</v>
      </c>
      <c r="E258" t="s">
        <v>45</v>
      </c>
      <c r="F258">
        <v>2</v>
      </c>
      <c r="G258" t="s">
        <v>51</v>
      </c>
      <c r="H258" t="s">
        <v>328</v>
      </c>
      <c r="I258">
        <v>4</v>
      </c>
      <c r="J258" t="s">
        <v>39</v>
      </c>
      <c r="K258">
        <v>2</v>
      </c>
      <c r="L258">
        <v>1</v>
      </c>
      <c r="M258" t="s">
        <v>50</v>
      </c>
      <c r="N258">
        <v>1</v>
      </c>
      <c r="O258" t="s">
        <v>52</v>
      </c>
      <c r="P258" s="6">
        <v>2593</v>
      </c>
      <c r="Q258" t="s">
        <v>72</v>
      </c>
      <c r="R258" t="s">
        <v>35</v>
      </c>
      <c r="S258">
        <v>3</v>
      </c>
      <c r="T258">
        <v>10</v>
      </c>
      <c r="U258">
        <v>3</v>
      </c>
      <c r="V258">
        <v>9</v>
      </c>
      <c r="W258">
        <v>6</v>
      </c>
      <c r="X258">
        <v>7</v>
      </c>
      <c r="Y258">
        <v>8</v>
      </c>
      <c r="Z258" t="s">
        <v>1550</v>
      </c>
      <c r="AA258" t="s">
        <v>69</v>
      </c>
      <c r="AB258" t="str" cm="1">
        <f t="array" ref="AB258">_xlfn.IFS(cleaned_data[[#This Row],[YearsAtCompany]]&lt;=5, "0-5",cleaned_data[[#This Row],[YearsAtCompany]]&lt;=10,"6-10",TRUE,"10+")</f>
        <v>6-10</v>
      </c>
    </row>
    <row r="259" spans="1:28" x14ac:dyDescent="0.3">
      <c r="A259" s="2">
        <v>40</v>
      </c>
      <c r="B259" t="s">
        <v>43</v>
      </c>
      <c r="C259">
        <v>0</v>
      </c>
      <c r="D259" t="s">
        <v>36</v>
      </c>
      <c r="E259" t="s">
        <v>45</v>
      </c>
      <c r="F259">
        <v>2</v>
      </c>
      <c r="G259" t="s">
        <v>51</v>
      </c>
      <c r="H259" t="s">
        <v>329</v>
      </c>
      <c r="I259">
        <v>1</v>
      </c>
      <c r="J259" t="s">
        <v>46</v>
      </c>
      <c r="K259">
        <v>3</v>
      </c>
      <c r="L259">
        <v>5</v>
      </c>
      <c r="M259" t="s">
        <v>58</v>
      </c>
      <c r="N259">
        <v>3</v>
      </c>
      <c r="O259" t="s">
        <v>52</v>
      </c>
      <c r="P259" s="1">
        <v>19436</v>
      </c>
      <c r="Q259" t="s">
        <v>90</v>
      </c>
      <c r="R259" t="s">
        <v>43</v>
      </c>
      <c r="S259">
        <v>3</v>
      </c>
      <c r="T259">
        <v>22</v>
      </c>
      <c r="U259">
        <v>3</v>
      </c>
      <c r="V259">
        <v>21</v>
      </c>
      <c r="W259">
        <v>7</v>
      </c>
      <c r="X259">
        <v>3</v>
      </c>
      <c r="Y259">
        <v>9</v>
      </c>
      <c r="Z259" t="s">
        <v>1550</v>
      </c>
      <c r="AA259" t="s">
        <v>82</v>
      </c>
      <c r="AB259" t="str" cm="1">
        <f t="array" ref="AB259">_xlfn.IFS(cleaned_data[[#This Row],[YearsAtCompany]]&lt;=5, "0-5",cleaned_data[[#This Row],[YearsAtCompany]]&lt;=10,"6-10",TRUE,"10+")</f>
        <v>10+</v>
      </c>
    </row>
    <row r="260" spans="1:28" x14ac:dyDescent="0.3">
      <c r="A260" s="2">
        <v>51</v>
      </c>
      <c r="B260" t="s">
        <v>43</v>
      </c>
      <c r="C260">
        <v>0</v>
      </c>
      <c r="D260" t="s">
        <v>36</v>
      </c>
      <c r="E260" t="s">
        <v>45</v>
      </c>
      <c r="F260">
        <v>1</v>
      </c>
      <c r="G260" t="s">
        <v>38</v>
      </c>
      <c r="H260" t="s">
        <v>330</v>
      </c>
      <c r="I260">
        <v>3</v>
      </c>
      <c r="J260" t="s">
        <v>46</v>
      </c>
      <c r="K260">
        <v>3</v>
      </c>
      <c r="L260">
        <v>1</v>
      </c>
      <c r="M260" t="s">
        <v>47</v>
      </c>
      <c r="N260">
        <v>4</v>
      </c>
      <c r="O260" t="s">
        <v>48</v>
      </c>
      <c r="P260" s="1">
        <v>2723</v>
      </c>
      <c r="Q260" t="s">
        <v>72</v>
      </c>
      <c r="R260" t="s">
        <v>43</v>
      </c>
      <c r="S260">
        <v>3</v>
      </c>
      <c r="T260">
        <v>1</v>
      </c>
      <c r="U260">
        <v>2</v>
      </c>
      <c r="V260">
        <v>1</v>
      </c>
      <c r="W260">
        <v>0</v>
      </c>
      <c r="X260">
        <v>0</v>
      </c>
      <c r="Y260">
        <v>0</v>
      </c>
      <c r="Z260" t="s">
        <v>106</v>
      </c>
      <c r="AA260" t="s">
        <v>78</v>
      </c>
      <c r="AB260" t="str" cm="1">
        <f t="array" ref="AB260">_xlfn.IFS(cleaned_data[[#This Row],[YearsAtCompany]]&lt;=5, "0-5",cleaned_data[[#This Row],[YearsAtCompany]]&lt;=10,"6-10",TRUE,"10+")</f>
        <v>0-5</v>
      </c>
    </row>
    <row r="261" spans="1:28" x14ac:dyDescent="0.3">
      <c r="A261" s="2">
        <v>31</v>
      </c>
      <c r="B261" t="s">
        <v>35</v>
      </c>
      <c r="C261">
        <v>1</v>
      </c>
      <c r="D261" t="s">
        <v>44</v>
      </c>
      <c r="E261" t="s">
        <v>45</v>
      </c>
      <c r="F261">
        <v>29</v>
      </c>
      <c r="G261" t="s">
        <v>51</v>
      </c>
      <c r="H261" t="s">
        <v>331</v>
      </c>
      <c r="I261">
        <v>3</v>
      </c>
      <c r="J261" t="s">
        <v>46</v>
      </c>
      <c r="K261">
        <v>2</v>
      </c>
      <c r="L261">
        <v>1</v>
      </c>
      <c r="M261" t="s">
        <v>50</v>
      </c>
      <c r="N261">
        <v>2</v>
      </c>
      <c r="O261" t="s">
        <v>41</v>
      </c>
      <c r="P261" s="1">
        <v>3479</v>
      </c>
      <c r="Q261" t="s">
        <v>72</v>
      </c>
      <c r="R261" t="s">
        <v>43</v>
      </c>
      <c r="S261">
        <v>3</v>
      </c>
      <c r="T261">
        <v>6</v>
      </c>
      <c r="U261">
        <v>4</v>
      </c>
      <c r="V261">
        <v>5</v>
      </c>
      <c r="W261">
        <v>4</v>
      </c>
      <c r="X261">
        <v>1</v>
      </c>
      <c r="Y261">
        <v>4</v>
      </c>
      <c r="Z261" t="s">
        <v>1551</v>
      </c>
      <c r="AA261" t="s">
        <v>69</v>
      </c>
      <c r="AB261" t="str" cm="1">
        <f t="array" ref="AB261">_xlfn.IFS(cleaned_data[[#This Row],[YearsAtCompany]]&lt;=5, "0-5",cleaned_data[[#This Row],[YearsAtCompany]]&lt;=10,"6-10",TRUE,"10+")</f>
        <v>0-5</v>
      </c>
    </row>
    <row r="262" spans="1:28" x14ac:dyDescent="0.3">
      <c r="A262" s="2">
        <v>32</v>
      </c>
      <c r="B262" t="s">
        <v>43</v>
      </c>
      <c r="C262">
        <v>0</v>
      </c>
      <c r="D262" t="s">
        <v>44</v>
      </c>
      <c r="E262" t="s">
        <v>45</v>
      </c>
      <c r="F262">
        <v>7</v>
      </c>
      <c r="G262" t="s">
        <v>38</v>
      </c>
      <c r="H262" t="s">
        <v>332</v>
      </c>
      <c r="I262">
        <v>2</v>
      </c>
      <c r="J262" t="s">
        <v>46</v>
      </c>
      <c r="K262">
        <v>4</v>
      </c>
      <c r="L262">
        <v>1</v>
      </c>
      <c r="M262" t="s">
        <v>50</v>
      </c>
      <c r="N262">
        <v>2</v>
      </c>
      <c r="O262" t="s">
        <v>48</v>
      </c>
      <c r="P262" s="1">
        <v>2794</v>
      </c>
      <c r="Q262" t="s">
        <v>72</v>
      </c>
      <c r="R262" t="s">
        <v>43</v>
      </c>
      <c r="S262">
        <v>4</v>
      </c>
      <c r="T262">
        <v>5</v>
      </c>
      <c r="U262">
        <v>1</v>
      </c>
      <c r="V262">
        <v>5</v>
      </c>
      <c r="W262">
        <v>1</v>
      </c>
      <c r="X262">
        <v>0</v>
      </c>
      <c r="Y262">
        <v>3</v>
      </c>
      <c r="Z262" t="s">
        <v>1551</v>
      </c>
      <c r="AA262" t="s">
        <v>78</v>
      </c>
      <c r="AB262" t="str" cm="1">
        <f t="array" ref="AB262">_xlfn.IFS(cleaned_data[[#This Row],[YearsAtCompany]]&lt;=5, "0-5",cleaned_data[[#This Row],[YearsAtCompany]]&lt;=10,"6-10",TRUE,"10+")</f>
        <v>0-5</v>
      </c>
    </row>
    <row r="263" spans="1:28" x14ac:dyDescent="0.3">
      <c r="A263" s="2">
        <v>38</v>
      </c>
      <c r="B263" t="s">
        <v>43</v>
      </c>
      <c r="C263">
        <v>0</v>
      </c>
      <c r="D263" t="s">
        <v>55</v>
      </c>
      <c r="E263" t="s">
        <v>37</v>
      </c>
      <c r="F263">
        <v>2</v>
      </c>
      <c r="G263" t="s">
        <v>38</v>
      </c>
      <c r="H263" t="s">
        <v>333</v>
      </c>
      <c r="I263">
        <v>4</v>
      </c>
      <c r="J263" t="s">
        <v>46</v>
      </c>
      <c r="K263">
        <v>2</v>
      </c>
      <c r="L263">
        <v>2</v>
      </c>
      <c r="M263" t="s">
        <v>40</v>
      </c>
      <c r="N263">
        <v>4</v>
      </c>
      <c r="O263" t="s">
        <v>48</v>
      </c>
      <c r="P263" s="1">
        <v>5249</v>
      </c>
      <c r="Q263" t="s">
        <v>67</v>
      </c>
      <c r="R263" t="s">
        <v>43</v>
      </c>
      <c r="S263">
        <v>3</v>
      </c>
      <c r="T263">
        <v>13</v>
      </c>
      <c r="U263">
        <v>3</v>
      </c>
      <c r="V263">
        <v>8</v>
      </c>
      <c r="W263">
        <v>7</v>
      </c>
      <c r="X263">
        <v>7</v>
      </c>
      <c r="Y263">
        <v>5</v>
      </c>
      <c r="Z263" t="s">
        <v>1550</v>
      </c>
      <c r="AA263" t="s">
        <v>69</v>
      </c>
      <c r="AB263" t="str" cm="1">
        <f t="array" ref="AB263">_xlfn.IFS(cleaned_data[[#This Row],[YearsAtCompany]]&lt;=5, "0-5",cleaned_data[[#This Row],[YearsAtCompany]]&lt;=10,"6-10",TRUE,"10+")</f>
        <v>6-10</v>
      </c>
    </row>
    <row r="264" spans="1:28" x14ac:dyDescent="0.3">
      <c r="A264" s="2">
        <v>32</v>
      </c>
      <c r="B264" t="s">
        <v>43</v>
      </c>
      <c r="C264">
        <v>0</v>
      </c>
      <c r="D264" t="s">
        <v>36</v>
      </c>
      <c r="E264" t="s">
        <v>45</v>
      </c>
      <c r="F264">
        <v>2</v>
      </c>
      <c r="G264" t="s">
        <v>60</v>
      </c>
      <c r="H264" t="s">
        <v>334</v>
      </c>
      <c r="I264">
        <v>4</v>
      </c>
      <c r="J264" t="s">
        <v>46</v>
      </c>
      <c r="K264">
        <v>2</v>
      </c>
      <c r="L264">
        <v>2</v>
      </c>
      <c r="M264" t="s">
        <v>50</v>
      </c>
      <c r="N264">
        <v>1</v>
      </c>
      <c r="O264" t="s">
        <v>41</v>
      </c>
      <c r="P264" s="6">
        <v>2176</v>
      </c>
      <c r="Q264" t="s">
        <v>72</v>
      </c>
      <c r="R264" t="s">
        <v>43</v>
      </c>
      <c r="S264">
        <v>3</v>
      </c>
      <c r="T264">
        <v>9</v>
      </c>
      <c r="U264">
        <v>3</v>
      </c>
      <c r="V264">
        <v>6</v>
      </c>
      <c r="W264">
        <v>2</v>
      </c>
      <c r="X264">
        <v>0</v>
      </c>
      <c r="Y264">
        <v>4</v>
      </c>
      <c r="Z264" t="s">
        <v>1551</v>
      </c>
      <c r="AA264" t="s">
        <v>69</v>
      </c>
      <c r="AB264" t="str" cm="1">
        <f t="array" ref="AB264">_xlfn.IFS(cleaned_data[[#This Row],[YearsAtCompany]]&lt;=5, "0-5",cleaned_data[[#This Row],[YearsAtCompany]]&lt;=10,"6-10",TRUE,"10+")</f>
        <v>6-10</v>
      </c>
    </row>
    <row r="265" spans="1:28" x14ac:dyDescent="0.3">
      <c r="A265" s="2">
        <v>46</v>
      </c>
      <c r="B265" t="s">
        <v>43</v>
      </c>
      <c r="C265">
        <v>0</v>
      </c>
      <c r="D265" t="s">
        <v>36</v>
      </c>
      <c r="E265" t="s">
        <v>37</v>
      </c>
      <c r="F265">
        <v>2</v>
      </c>
      <c r="G265" t="s">
        <v>60</v>
      </c>
      <c r="H265" t="s">
        <v>335</v>
      </c>
      <c r="I265">
        <v>3</v>
      </c>
      <c r="J265" t="s">
        <v>39</v>
      </c>
      <c r="K265">
        <v>1</v>
      </c>
      <c r="L265">
        <v>4</v>
      </c>
      <c r="M265" t="s">
        <v>56</v>
      </c>
      <c r="N265">
        <v>2</v>
      </c>
      <c r="O265" t="s">
        <v>48</v>
      </c>
      <c r="P265" s="1">
        <v>16872</v>
      </c>
      <c r="Q265" t="s">
        <v>90</v>
      </c>
      <c r="R265" t="s">
        <v>35</v>
      </c>
      <c r="S265">
        <v>3</v>
      </c>
      <c r="T265">
        <v>28</v>
      </c>
      <c r="U265">
        <v>2</v>
      </c>
      <c r="V265">
        <v>7</v>
      </c>
      <c r="W265">
        <v>7</v>
      </c>
      <c r="X265">
        <v>7</v>
      </c>
      <c r="Y265">
        <v>7</v>
      </c>
      <c r="Z265" t="s">
        <v>106</v>
      </c>
      <c r="AA265" t="s">
        <v>82</v>
      </c>
      <c r="AB265" t="str" cm="1">
        <f t="array" ref="AB265">_xlfn.IFS(cleaned_data[[#This Row],[YearsAtCompany]]&lt;=5, "0-5",cleaned_data[[#This Row],[YearsAtCompany]]&lt;=10,"6-10",TRUE,"10+")</f>
        <v>6-10</v>
      </c>
    </row>
    <row r="266" spans="1:28" x14ac:dyDescent="0.3">
      <c r="A266" s="2">
        <v>28</v>
      </c>
      <c r="B266" t="s">
        <v>35</v>
      </c>
      <c r="C266">
        <v>1</v>
      </c>
      <c r="D266" t="s">
        <v>36</v>
      </c>
      <c r="E266" t="s">
        <v>45</v>
      </c>
      <c r="F266">
        <v>2</v>
      </c>
      <c r="G266" t="s">
        <v>38</v>
      </c>
      <c r="H266" t="s">
        <v>336</v>
      </c>
      <c r="I266">
        <v>1</v>
      </c>
      <c r="J266" t="s">
        <v>46</v>
      </c>
      <c r="K266">
        <v>3</v>
      </c>
      <c r="L266">
        <v>1</v>
      </c>
      <c r="M266" t="s">
        <v>50</v>
      </c>
      <c r="N266">
        <v>3</v>
      </c>
      <c r="O266" t="s">
        <v>41</v>
      </c>
      <c r="P266" s="1">
        <v>3485</v>
      </c>
      <c r="Q266" t="s">
        <v>72</v>
      </c>
      <c r="R266" t="s">
        <v>43</v>
      </c>
      <c r="S266">
        <v>3</v>
      </c>
      <c r="T266">
        <v>5</v>
      </c>
      <c r="U266">
        <v>1</v>
      </c>
      <c r="V266">
        <v>0</v>
      </c>
      <c r="W266">
        <v>0</v>
      </c>
      <c r="X266">
        <v>0</v>
      </c>
      <c r="Y266">
        <v>0</v>
      </c>
      <c r="Z266" t="s">
        <v>1551</v>
      </c>
      <c r="AA266" t="s">
        <v>78</v>
      </c>
      <c r="AB266" t="str" cm="1">
        <f t="array" ref="AB266">_xlfn.IFS(cleaned_data[[#This Row],[YearsAtCompany]]&lt;=5, "0-5",cleaned_data[[#This Row],[YearsAtCompany]]&lt;=10,"6-10",TRUE,"10+")</f>
        <v>0-5</v>
      </c>
    </row>
    <row r="267" spans="1:28" x14ac:dyDescent="0.3">
      <c r="A267" s="2">
        <v>29</v>
      </c>
      <c r="B267" t="s">
        <v>43</v>
      </c>
      <c r="C267">
        <v>0</v>
      </c>
      <c r="D267" t="s">
        <v>36</v>
      </c>
      <c r="E267" t="s">
        <v>37</v>
      </c>
      <c r="F267">
        <v>2</v>
      </c>
      <c r="G267" t="s">
        <v>51</v>
      </c>
      <c r="H267" t="s">
        <v>337</v>
      </c>
      <c r="I267">
        <v>1</v>
      </c>
      <c r="J267" t="s">
        <v>46</v>
      </c>
      <c r="K267">
        <v>2</v>
      </c>
      <c r="L267">
        <v>2</v>
      </c>
      <c r="M267" t="s">
        <v>40</v>
      </c>
      <c r="N267">
        <v>2</v>
      </c>
      <c r="O267" t="s">
        <v>48</v>
      </c>
      <c r="P267" s="1">
        <v>6644</v>
      </c>
      <c r="Q267" t="s">
        <v>67</v>
      </c>
      <c r="R267" t="s">
        <v>43</v>
      </c>
      <c r="S267">
        <v>3</v>
      </c>
      <c r="T267">
        <v>10</v>
      </c>
      <c r="U267">
        <v>3</v>
      </c>
      <c r="V267">
        <v>0</v>
      </c>
      <c r="W267">
        <v>0</v>
      </c>
      <c r="X267">
        <v>0</v>
      </c>
      <c r="Y267">
        <v>0</v>
      </c>
      <c r="Z267" t="s">
        <v>1551</v>
      </c>
      <c r="AA267" t="s">
        <v>69</v>
      </c>
      <c r="AB267" t="str" cm="1">
        <f t="array" ref="AB267">_xlfn.IFS(cleaned_data[[#This Row],[YearsAtCompany]]&lt;=5, "0-5",cleaned_data[[#This Row],[YearsAtCompany]]&lt;=10,"6-10",TRUE,"10+")</f>
        <v>0-5</v>
      </c>
    </row>
    <row r="268" spans="1:28" x14ac:dyDescent="0.3">
      <c r="A268" s="2">
        <v>31</v>
      </c>
      <c r="B268" t="s">
        <v>43</v>
      </c>
      <c r="C268">
        <v>0</v>
      </c>
      <c r="D268" t="s">
        <v>36</v>
      </c>
      <c r="E268" t="s">
        <v>45</v>
      </c>
      <c r="F268">
        <v>23</v>
      </c>
      <c r="G268" t="s">
        <v>51</v>
      </c>
      <c r="H268" t="s">
        <v>338</v>
      </c>
      <c r="I268">
        <v>2</v>
      </c>
      <c r="J268" t="s">
        <v>46</v>
      </c>
      <c r="K268">
        <v>2</v>
      </c>
      <c r="L268">
        <v>2</v>
      </c>
      <c r="M268" t="s">
        <v>54</v>
      </c>
      <c r="N268">
        <v>4</v>
      </c>
      <c r="O268" t="s">
        <v>48</v>
      </c>
      <c r="P268" s="1">
        <v>5582</v>
      </c>
      <c r="Q268" t="s">
        <v>67</v>
      </c>
      <c r="R268" t="s">
        <v>43</v>
      </c>
      <c r="S268">
        <v>4</v>
      </c>
      <c r="T268">
        <v>10</v>
      </c>
      <c r="U268">
        <v>3</v>
      </c>
      <c r="V268">
        <v>9</v>
      </c>
      <c r="W268">
        <v>0</v>
      </c>
      <c r="X268">
        <v>7</v>
      </c>
      <c r="Y268">
        <v>8</v>
      </c>
      <c r="Z268" t="s">
        <v>1551</v>
      </c>
      <c r="AA268" t="s">
        <v>69</v>
      </c>
      <c r="AB268" t="str" cm="1">
        <f t="array" ref="AB268">_xlfn.IFS(cleaned_data[[#This Row],[YearsAtCompany]]&lt;=5, "0-5",cleaned_data[[#This Row],[YearsAtCompany]]&lt;=10,"6-10",TRUE,"10+")</f>
        <v>6-10</v>
      </c>
    </row>
    <row r="269" spans="1:28" x14ac:dyDescent="0.3">
      <c r="A269" s="2">
        <v>25</v>
      </c>
      <c r="B269" t="s">
        <v>43</v>
      </c>
      <c r="C269">
        <v>0</v>
      </c>
      <c r="D269" t="s">
        <v>55</v>
      </c>
      <c r="E269" t="s">
        <v>45</v>
      </c>
      <c r="F269">
        <v>5</v>
      </c>
      <c r="G269" t="s">
        <v>38</v>
      </c>
      <c r="H269" t="s">
        <v>339</v>
      </c>
      <c r="I269">
        <v>2</v>
      </c>
      <c r="J269" t="s">
        <v>46</v>
      </c>
      <c r="K269">
        <v>4</v>
      </c>
      <c r="L269">
        <v>2</v>
      </c>
      <c r="M269" t="s">
        <v>54</v>
      </c>
      <c r="N269">
        <v>1</v>
      </c>
      <c r="O269" t="s">
        <v>52</v>
      </c>
      <c r="P269" s="6">
        <v>4000</v>
      </c>
      <c r="Q269" t="s">
        <v>72</v>
      </c>
      <c r="R269" t="s">
        <v>43</v>
      </c>
      <c r="S269">
        <v>3</v>
      </c>
      <c r="T269">
        <v>6</v>
      </c>
      <c r="U269">
        <v>3</v>
      </c>
      <c r="V269">
        <v>6</v>
      </c>
      <c r="W269">
        <v>3</v>
      </c>
      <c r="X269">
        <v>1</v>
      </c>
      <c r="Y269">
        <v>5</v>
      </c>
      <c r="Z269" t="s">
        <v>68</v>
      </c>
      <c r="AA269" t="s">
        <v>69</v>
      </c>
      <c r="AB269" t="str" cm="1">
        <f t="array" ref="AB269">_xlfn.IFS(cleaned_data[[#This Row],[YearsAtCompany]]&lt;=5, "0-5",cleaned_data[[#This Row],[YearsAtCompany]]&lt;=10,"6-10",TRUE,"10+")</f>
        <v>6-10</v>
      </c>
    </row>
    <row r="270" spans="1:28" x14ac:dyDescent="0.3">
      <c r="A270" s="2">
        <v>45</v>
      </c>
      <c r="B270" t="s">
        <v>43</v>
      </c>
      <c r="C270">
        <v>0</v>
      </c>
      <c r="D270" t="s">
        <v>36</v>
      </c>
      <c r="E270" t="s">
        <v>45</v>
      </c>
      <c r="F270">
        <v>20</v>
      </c>
      <c r="G270" t="s">
        <v>51</v>
      </c>
      <c r="H270" t="s">
        <v>340</v>
      </c>
      <c r="I270">
        <v>3</v>
      </c>
      <c r="J270" t="s">
        <v>46</v>
      </c>
      <c r="K270">
        <v>3</v>
      </c>
      <c r="L270">
        <v>4</v>
      </c>
      <c r="M270" t="s">
        <v>54</v>
      </c>
      <c r="N270">
        <v>4</v>
      </c>
      <c r="O270" t="s">
        <v>48</v>
      </c>
      <c r="P270" s="1">
        <v>13496</v>
      </c>
      <c r="Q270" t="s">
        <v>90</v>
      </c>
      <c r="R270" t="s">
        <v>35</v>
      </c>
      <c r="S270">
        <v>3</v>
      </c>
      <c r="T270">
        <v>21</v>
      </c>
      <c r="U270">
        <v>3</v>
      </c>
      <c r="V270">
        <v>20</v>
      </c>
      <c r="W270">
        <v>7</v>
      </c>
      <c r="X270">
        <v>4</v>
      </c>
      <c r="Y270">
        <v>10</v>
      </c>
      <c r="Z270" t="s">
        <v>1550</v>
      </c>
      <c r="AA270" t="s">
        <v>82</v>
      </c>
      <c r="AB270" t="str" cm="1">
        <f t="array" ref="AB270">_xlfn.IFS(cleaned_data[[#This Row],[YearsAtCompany]]&lt;=5, "0-5",cleaned_data[[#This Row],[YearsAtCompany]]&lt;=10,"6-10",TRUE,"10+")</f>
        <v>10+</v>
      </c>
    </row>
    <row r="271" spans="1:28" x14ac:dyDescent="0.3">
      <c r="A271" s="2">
        <v>36</v>
      </c>
      <c r="B271" t="s">
        <v>43</v>
      </c>
      <c r="C271">
        <v>0</v>
      </c>
      <c r="D271" t="s">
        <v>36</v>
      </c>
      <c r="E271" t="s">
        <v>45</v>
      </c>
      <c r="F271">
        <v>6</v>
      </c>
      <c r="G271" t="s">
        <v>38</v>
      </c>
      <c r="H271" t="s">
        <v>341</v>
      </c>
      <c r="I271">
        <v>4</v>
      </c>
      <c r="J271" t="s">
        <v>46</v>
      </c>
      <c r="K271">
        <v>3</v>
      </c>
      <c r="L271">
        <v>1</v>
      </c>
      <c r="M271" t="s">
        <v>50</v>
      </c>
      <c r="N271">
        <v>4</v>
      </c>
      <c r="O271" t="s">
        <v>48</v>
      </c>
      <c r="P271" s="1">
        <v>3210</v>
      </c>
      <c r="Q271" t="s">
        <v>72</v>
      </c>
      <c r="R271" t="s">
        <v>43</v>
      </c>
      <c r="S271">
        <v>3</v>
      </c>
      <c r="T271">
        <v>16</v>
      </c>
      <c r="U271">
        <v>3</v>
      </c>
      <c r="V271">
        <v>15</v>
      </c>
      <c r="W271">
        <v>13</v>
      </c>
      <c r="X271">
        <v>10</v>
      </c>
      <c r="Y271">
        <v>11</v>
      </c>
      <c r="Z271" t="s">
        <v>1550</v>
      </c>
      <c r="AA271" t="s">
        <v>82</v>
      </c>
      <c r="AB271" t="str" cm="1">
        <f t="array" ref="AB271">_xlfn.IFS(cleaned_data[[#This Row],[YearsAtCompany]]&lt;=5, "0-5",cleaned_data[[#This Row],[YearsAtCompany]]&lt;=10,"6-10",TRUE,"10+")</f>
        <v>10+</v>
      </c>
    </row>
    <row r="272" spans="1:28" x14ac:dyDescent="0.3">
      <c r="A272" s="2">
        <v>55</v>
      </c>
      <c r="B272" t="s">
        <v>43</v>
      </c>
      <c r="C272">
        <v>0</v>
      </c>
      <c r="D272" t="s">
        <v>36</v>
      </c>
      <c r="E272" t="s">
        <v>45</v>
      </c>
      <c r="F272">
        <v>1</v>
      </c>
      <c r="G272" t="s">
        <v>51</v>
      </c>
      <c r="H272" t="s">
        <v>342</v>
      </c>
      <c r="I272">
        <v>4</v>
      </c>
      <c r="J272" t="s">
        <v>46</v>
      </c>
      <c r="K272">
        <v>3</v>
      </c>
      <c r="L272">
        <v>5</v>
      </c>
      <c r="M272" t="s">
        <v>56</v>
      </c>
      <c r="N272">
        <v>1</v>
      </c>
      <c r="O272" t="s">
        <v>41</v>
      </c>
      <c r="P272" s="6">
        <v>19045</v>
      </c>
      <c r="Q272" t="s">
        <v>90</v>
      </c>
      <c r="R272" t="s">
        <v>35</v>
      </c>
      <c r="S272">
        <v>3</v>
      </c>
      <c r="T272">
        <v>37</v>
      </c>
      <c r="U272">
        <v>3</v>
      </c>
      <c r="V272">
        <v>36</v>
      </c>
      <c r="W272">
        <v>10</v>
      </c>
      <c r="X272">
        <v>4</v>
      </c>
      <c r="Y272">
        <v>13</v>
      </c>
      <c r="Z272" t="s">
        <v>106</v>
      </c>
      <c r="AA272" t="s">
        <v>82</v>
      </c>
      <c r="AB272" t="str" cm="1">
        <f t="array" ref="AB272">_xlfn.IFS(cleaned_data[[#This Row],[YearsAtCompany]]&lt;=5, "0-5",cleaned_data[[#This Row],[YearsAtCompany]]&lt;=10,"6-10",TRUE,"10+")</f>
        <v>10+</v>
      </c>
    </row>
    <row r="273" spans="1:28" x14ac:dyDescent="0.3">
      <c r="A273" s="2">
        <v>47</v>
      </c>
      <c r="B273" t="s">
        <v>35</v>
      </c>
      <c r="C273">
        <v>1</v>
      </c>
      <c r="D273" t="s">
        <v>55</v>
      </c>
      <c r="E273" t="s">
        <v>45</v>
      </c>
      <c r="F273">
        <v>29</v>
      </c>
      <c r="G273" t="s">
        <v>38</v>
      </c>
      <c r="H273" t="s">
        <v>343</v>
      </c>
      <c r="I273">
        <v>1</v>
      </c>
      <c r="J273" t="s">
        <v>46</v>
      </c>
      <c r="K273">
        <v>3</v>
      </c>
      <c r="L273">
        <v>3</v>
      </c>
      <c r="M273" t="s">
        <v>56</v>
      </c>
      <c r="N273">
        <v>2</v>
      </c>
      <c r="O273" t="s">
        <v>48</v>
      </c>
      <c r="P273" s="1">
        <v>11849</v>
      </c>
      <c r="Q273" t="s">
        <v>67</v>
      </c>
      <c r="R273" t="s">
        <v>35</v>
      </c>
      <c r="S273">
        <v>3</v>
      </c>
      <c r="T273">
        <v>10</v>
      </c>
      <c r="U273">
        <v>2</v>
      </c>
      <c r="V273">
        <v>10</v>
      </c>
      <c r="W273">
        <v>7</v>
      </c>
      <c r="X273">
        <v>9</v>
      </c>
      <c r="Y273">
        <v>9</v>
      </c>
      <c r="Z273" t="s">
        <v>106</v>
      </c>
      <c r="AA273" t="s">
        <v>69</v>
      </c>
      <c r="AB273" t="str" cm="1">
        <f t="array" ref="AB273">_xlfn.IFS(cleaned_data[[#This Row],[YearsAtCompany]]&lt;=5, "0-5",cleaned_data[[#This Row],[YearsAtCompany]]&lt;=10,"6-10",TRUE,"10+")</f>
        <v>6-10</v>
      </c>
    </row>
    <row r="274" spans="1:28" x14ac:dyDescent="0.3">
      <c r="A274" s="2">
        <v>28</v>
      </c>
      <c r="B274" t="s">
        <v>43</v>
      </c>
      <c r="C274">
        <v>0</v>
      </c>
      <c r="D274" t="s">
        <v>36</v>
      </c>
      <c r="E274" t="s">
        <v>45</v>
      </c>
      <c r="F274">
        <v>9</v>
      </c>
      <c r="G274" t="s">
        <v>51</v>
      </c>
      <c r="H274" t="s">
        <v>344</v>
      </c>
      <c r="I274">
        <v>4</v>
      </c>
      <c r="J274" t="s">
        <v>46</v>
      </c>
      <c r="K274">
        <v>3</v>
      </c>
      <c r="L274">
        <v>1</v>
      </c>
      <c r="M274" t="s">
        <v>47</v>
      </c>
      <c r="N274">
        <v>4</v>
      </c>
      <c r="O274" t="s">
        <v>48</v>
      </c>
      <c r="P274" s="1">
        <v>2070</v>
      </c>
      <c r="Q274" t="s">
        <v>72</v>
      </c>
      <c r="R274" t="s">
        <v>43</v>
      </c>
      <c r="S274">
        <v>4</v>
      </c>
      <c r="T274">
        <v>5</v>
      </c>
      <c r="U274">
        <v>2</v>
      </c>
      <c r="V274">
        <v>5</v>
      </c>
      <c r="W274">
        <v>2</v>
      </c>
      <c r="X274">
        <v>0</v>
      </c>
      <c r="Y274">
        <v>4</v>
      </c>
      <c r="Z274" t="s">
        <v>1551</v>
      </c>
      <c r="AA274" t="s">
        <v>78</v>
      </c>
      <c r="AB274" t="str" cm="1">
        <f t="array" ref="AB274">_xlfn.IFS(cleaned_data[[#This Row],[YearsAtCompany]]&lt;=5, "0-5",cleaned_data[[#This Row],[YearsAtCompany]]&lt;=10,"6-10",TRUE,"10+")</f>
        <v>0-5</v>
      </c>
    </row>
    <row r="275" spans="1:28" x14ac:dyDescent="0.3">
      <c r="A275" s="2">
        <v>37</v>
      </c>
      <c r="B275" t="s">
        <v>43</v>
      </c>
      <c r="C275">
        <v>0</v>
      </c>
      <c r="D275" t="s">
        <v>36</v>
      </c>
      <c r="E275" t="s">
        <v>37</v>
      </c>
      <c r="F275">
        <v>6</v>
      </c>
      <c r="G275" t="s">
        <v>51</v>
      </c>
      <c r="H275" t="s">
        <v>345</v>
      </c>
      <c r="I275">
        <v>3</v>
      </c>
      <c r="J275" t="s">
        <v>46</v>
      </c>
      <c r="K275">
        <v>3</v>
      </c>
      <c r="L275">
        <v>2</v>
      </c>
      <c r="M275" t="s">
        <v>40</v>
      </c>
      <c r="N275">
        <v>4</v>
      </c>
      <c r="O275" t="s">
        <v>48</v>
      </c>
      <c r="P275" s="1">
        <v>6502</v>
      </c>
      <c r="Q275" t="s">
        <v>67</v>
      </c>
      <c r="R275" t="s">
        <v>43</v>
      </c>
      <c r="S275">
        <v>3</v>
      </c>
      <c r="T275">
        <v>7</v>
      </c>
      <c r="U275">
        <v>4</v>
      </c>
      <c r="V275">
        <v>5</v>
      </c>
      <c r="W275">
        <v>4</v>
      </c>
      <c r="X275">
        <v>0</v>
      </c>
      <c r="Y275">
        <v>1</v>
      </c>
      <c r="Z275" t="s">
        <v>1550</v>
      </c>
      <c r="AA275" t="s">
        <v>69</v>
      </c>
      <c r="AB275" t="str" cm="1">
        <f t="array" ref="AB275">_xlfn.IFS(cleaned_data[[#This Row],[YearsAtCompany]]&lt;=5, "0-5",cleaned_data[[#This Row],[YearsAtCompany]]&lt;=10,"6-10",TRUE,"10+")</f>
        <v>0-5</v>
      </c>
    </row>
    <row r="276" spans="1:28" x14ac:dyDescent="0.3">
      <c r="A276" s="2">
        <v>21</v>
      </c>
      <c r="B276" t="s">
        <v>43</v>
      </c>
      <c r="C276">
        <v>0</v>
      </c>
      <c r="D276" t="s">
        <v>36</v>
      </c>
      <c r="E276" t="s">
        <v>45</v>
      </c>
      <c r="F276">
        <v>3</v>
      </c>
      <c r="G276" t="s">
        <v>51</v>
      </c>
      <c r="H276" t="s">
        <v>346</v>
      </c>
      <c r="I276">
        <v>4</v>
      </c>
      <c r="J276" t="s">
        <v>46</v>
      </c>
      <c r="K276">
        <v>2</v>
      </c>
      <c r="L276">
        <v>1</v>
      </c>
      <c r="M276" t="s">
        <v>47</v>
      </c>
      <c r="N276">
        <v>3</v>
      </c>
      <c r="O276" t="s">
        <v>41</v>
      </c>
      <c r="P276" s="1">
        <v>3230</v>
      </c>
      <c r="Q276" t="s">
        <v>72</v>
      </c>
      <c r="R276" t="s">
        <v>43</v>
      </c>
      <c r="S276">
        <v>3</v>
      </c>
      <c r="T276">
        <v>3</v>
      </c>
      <c r="U276">
        <v>4</v>
      </c>
      <c r="V276">
        <v>3</v>
      </c>
      <c r="W276">
        <v>2</v>
      </c>
      <c r="X276">
        <v>1</v>
      </c>
      <c r="Y276">
        <v>0</v>
      </c>
      <c r="Z276" t="s">
        <v>68</v>
      </c>
      <c r="AA276" t="s">
        <v>78</v>
      </c>
      <c r="AB276" t="str" cm="1">
        <f t="array" ref="AB276">_xlfn.IFS(cleaned_data[[#This Row],[YearsAtCompany]]&lt;=5, "0-5",cleaned_data[[#This Row],[YearsAtCompany]]&lt;=10,"6-10",TRUE,"10+")</f>
        <v>0-5</v>
      </c>
    </row>
    <row r="277" spans="1:28" x14ac:dyDescent="0.3">
      <c r="A277" s="2">
        <v>37</v>
      </c>
      <c r="B277" t="s">
        <v>43</v>
      </c>
      <c r="C277">
        <v>0</v>
      </c>
      <c r="D277" t="s">
        <v>55</v>
      </c>
      <c r="E277" t="s">
        <v>45</v>
      </c>
      <c r="F277">
        <v>1</v>
      </c>
      <c r="G277" t="s">
        <v>51</v>
      </c>
      <c r="H277" t="s">
        <v>347</v>
      </c>
      <c r="I277">
        <v>1</v>
      </c>
      <c r="J277" t="s">
        <v>39</v>
      </c>
      <c r="K277">
        <v>3</v>
      </c>
      <c r="L277">
        <v>3</v>
      </c>
      <c r="M277" t="s">
        <v>58</v>
      </c>
      <c r="N277">
        <v>4</v>
      </c>
      <c r="O277" t="s">
        <v>52</v>
      </c>
      <c r="P277" s="1">
        <v>13603</v>
      </c>
      <c r="Q277" t="s">
        <v>90</v>
      </c>
      <c r="R277" t="s">
        <v>35</v>
      </c>
      <c r="S277">
        <v>3</v>
      </c>
      <c r="T277">
        <v>15</v>
      </c>
      <c r="U277">
        <v>3</v>
      </c>
      <c r="V277">
        <v>5</v>
      </c>
      <c r="W277">
        <v>2</v>
      </c>
      <c r="X277">
        <v>0</v>
      </c>
      <c r="Y277">
        <v>2</v>
      </c>
      <c r="Z277" t="s">
        <v>1550</v>
      </c>
      <c r="AA277" t="s">
        <v>69</v>
      </c>
      <c r="AB277" t="str" cm="1">
        <f t="array" ref="AB277">_xlfn.IFS(cleaned_data[[#This Row],[YearsAtCompany]]&lt;=5, "0-5",cleaned_data[[#This Row],[YearsAtCompany]]&lt;=10,"6-10",TRUE,"10+")</f>
        <v>0-5</v>
      </c>
    </row>
    <row r="278" spans="1:28" x14ac:dyDescent="0.3">
      <c r="A278" s="2">
        <v>35</v>
      </c>
      <c r="B278" t="s">
        <v>43</v>
      </c>
      <c r="C278">
        <v>0</v>
      </c>
      <c r="D278" t="s">
        <v>36</v>
      </c>
      <c r="E278" t="s">
        <v>45</v>
      </c>
      <c r="F278">
        <v>22</v>
      </c>
      <c r="G278" t="s">
        <v>38</v>
      </c>
      <c r="H278" t="s">
        <v>348</v>
      </c>
      <c r="I278">
        <v>2</v>
      </c>
      <c r="J278" t="s">
        <v>39</v>
      </c>
      <c r="K278">
        <v>4</v>
      </c>
      <c r="L278">
        <v>3</v>
      </c>
      <c r="M278" t="s">
        <v>56</v>
      </c>
      <c r="N278">
        <v>2</v>
      </c>
      <c r="O278" t="s">
        <v>52</v>
      </c>
      <c r="P278" s="1">
        <v>11996</v>
      </c>
      <c r="Q278" t="s">
        <v>67</v>
      </c>
      <c r="R278" t="s">
        <v>43</v>
      </c>
      <c r="S278">
        <v>3</v>
      </c>
      <c r="T278">
        <v>10</v>
      </c>
      <c r="U278">
        <v>2</v>
      </c>
      <c r="V278">
        <v>7</v>
      </c>
      <c r="W278">
        <v>7</v>
      </c>
      <c r="X278">
        <v>6</v>
      </c>
      <c r="Y278">
        <v>2</v>
      </c>
      <c r="Z278" t="s">
        <v>1551</v>
      </c>
      <c r="AA278" t="s">
        <v>69</v>
      </c>
      <c r="AB278" t="str" cm="1">
        <f t="array" ref="AB278">_xlfn.IFS(cleaned_data[[#This Row],[YearsAtCompany]]&lt;=5, "0-5",cleaned_data[[#This Row],[YearsAtCompany]]&lt;=10,"6-10",TRUE,"10+")</f>
        <v>6-10</v>
      </c>
    </row>
    <row r="279" spans="1:28" x14ac:dyDescent="0.3">
      <c r="A279" s="2">
        <v>38</v>
      </c>
      <c r="B279" t="s">
        <v>43</v>
      </c>
      <c r="C279">
        <v>0</v>
      </c>
      <c r="D279" t="s">
        <v>36</v>
      </c>
      <c r="E279" t="s">
        <v>37</v>
      </c>
      <c r="F279">
        <v>7</v>
      </c>
      <c r="G279" t="s">
        <v>51</v>
      </c>
      <c r="H279" t="s">
        <v>349</v>
      </c>
      <c r="I279">
        <v>1</v>
      </c>
      <c r="J279" t="s">
        <v>39</v>
      </c>
      <c r="K279">
        <v>4</v>
      </c>
      <c r="L279">
        <v>2</v>
      </c>
      <c r="M279" t="s">
        <v>40</v>
      </c>
      <c r="N279">
        <v>1</v>
      </c>
      <c r="O279" t="s">
        <v>52</v>
      </c>
      <c r="P279" s="6">
        <v>5605</v>
      </c>
      <c r="Q279" t="s">
        <v>67</v>
      </c>
      <c r="R279" t="s">
        <v>35</v>
      </c>
      <c r="S279">
        <v>4</v>
      </c>
      <c r="T279">
        <v>8</v>
      </c>
      <c r="U279">
        <v>3</v>
      </c>
      <c r="V279">
        <v>8</v>
      </c>
      <c r="W279">
        <v>0</v>
      </c>
      <c r="X279">
        <v>7</v>
      </c>
      <c r="Y279">
        <v>7</v>
      </c>
      <c r="Z279" t="s">
        <v>1550</v>
      </c>
      <c r="AA279" t="s">
        <v>69</v>
      </c>
      <c r="AB279" t="str" cm="1">
        <f t="array" ref="AB279">_xlfn.IFS(cleaned_data[[#This Row],[YearsAtCompany]]&lt;=5, "0-5",cleaned_data[[#This Row],[YearsAtCompany]]&lt;=10,"6-10",TRUE,"10+")</f>
        <v>6-10</v>
      </c>
    </row>
    <row r="280" spans="1:28" x14ac:dyDescent="0.3">
      <c r="A280" s="2">
        <v>26</v>
      </c>
      <c r="B280" t="s">
        <v>43</v>
      </c>
      <c r="C280">
        <v>0</v>
      </c>
      <c r="D280" t="s">
        <v>44</v>
      </c>
      <c r="E280" t="s">
        <v>45</v>
      </c>
      <c r="F280">
        <v>1</v>
      </c>
      <c r="G280" t="s">
        <v>38</v>
      </c>
      <c r="H280" t="s">
        <v>350</v>
      </c>
      <c r="I280">
        <v>3</v>
      </c>
      <c r="J280" t="s">
        <v>39</v>
      </c>
      <c r="K280">
        <v>3</v>
      </c>
      <c r="L280">
        <v>2</v>
      </c>
      <c r="M280" t="s">
        <v>53</v>
      </c>
      <c r="N280">
        <v>2</v>
      </c>
      <c r="O280" t="s">
        <v>52</v>
      </c>
      <c r="P280" s="1">
        <v>6397</v>
      </c>
      <c r="Q280" t="s">
        <v>67</v>
      </c>
      <c r="R280" t="s">
        <v>43</v>
      </c>
      <c r="S280">
        <v>4</v>
      </c>
      <c r="T280">
        <v>6</v>
      </c>
      <c r="U280">
        <v>1</v>
      </c>
      <c r="V280">
        <v>6</v>
      </c>
      <c r="W280">
        <v>5</v>
      </c>
      <c r="X280">
        <v>1</v>
      </c>
      <c r="Y280">
        <v>4</v>
      </c>
      <c r="Z280" t="s">
        <v>1551</v>
      </c>
      <c r="AA280" t="s">
        <v>69</v>
      </c>
      <c r="AB280" t="str" cm="1">
        <f t="array" ref="AB280">_xlfn.IFS(cleaned_data[[#This Row],[YearsAtCompany]]&lt;=5, "0-5",cleaned_data[[#This Row],[YearsAtCompany]]&lt;=10,"6-10",TRUE,"10+")</f>
        <v>6-10</v>
      </c>
    </row>
    <row r="281" spans="1:28" x14ac:dyDescent="0.3">
      <c r="A281" s="2">
        <v>50</v>
      </c>
      <c r="B281" t="s">
        <v>43</v>
      </c>
      <c r="C281">
        <v>0</v>
      </c>
      <c r="D281" t="s">
        <v>36</v>
      </c>
      <c r="E281" t="s">
        <v>45</v>
      </c>
      <c r="F281">
        <v>4</v>
      </c>
      <c r="G281" t="s">
        <v>38</v>
      </c>
      <c r="H281" t="s">
        <v>351</v>
      </c>
      <c r="I281">
        <v>1</v>
      </c>
      <c r="J281" t="s">
        <v>46</v>
      </c>
      <c r="K281">
        <v>3</v>
      </c>
      <c r="L281">
        <v>5</v>
      </c>
      <c r="M281" t="s">
        <v>58</v>
      </c>
      <c r="N281">
        <v>2</v>
      </c>
      <c r="O281" t="s">
        <v>52</v>
      </c>
      <c r="P281" s="1">
        <v>19144</v>
      </c>
      <c r="Q281" t="s">
        <v>90</v>
      </c>
      <c r="R281" t="s">
        <v>43</v>
      </c>
      <c r="S281">
        <v>3</v>
      </c>
      <c r="T281">
        <v>28</v>
      </c>
      <c r="U281">
        <v>2</v>
      </c>
      <c r="V281">
        <v>10</v>
      </c>
      <c r="W281">
        <v>4</v>
      </c>
      <c r="X281">
        <v>1</v>
      </c>
      <c r="Y281">
        <v>6</v>
      </c>
      <c r="Z281" t="s">
        <v>106</v>
      </c>
      <c r="AA281" t="s">
        <v>82</v>
      </c>
      <c r="AB281" t="str" cm="1">
        <f t="array" ref="AB281">_xlfn.IFS(cleaned_data[[#This Row],[YearsAtCompany]]&lt;=5, "0-5",cleaned_data[[#This Row],[YearsAtCompany]]&lt;=10,"6-10",TRUE,"10+")</f>
        <v>6-10</v>
      </c>
    </row>
    <row r="282" spans="1:28" x14ac:dyDescent="0.3">
      <c r="A282" s="2">
        <v>53</v>
      </c>
      <c r="B282" t="s">
        <v>43</v>
      </c>
      <c r="C282">
        <v>0</v>
      </c>
      <c r="D282" t="s">
        <v>36</v>
      </c>
      <c r="E282" t="s">
        <v>45</v>
      </c>
      <c r="F282">
        <v>3</v>
      </c>
      <c r="G282" t="s">
        <v>51</v>
      </c>
      <c r="H282" t="s">
        <v>352</v>
      </c>
      <c r="I282">
        <v>3</v>
      </c>
      <c r="J282" t="s">
        <v>46</v>
      </c>
      <c r="K282">
        <v>3</v>
      </c>
      <c r="L282">
        <v>4</v>
      </c>
      <c r="M282" t="s">
        <v>58</v>
      </c>
      <c r="N282">
        <v>3</v>
      </c>
      <c r="O282" t="s">
        <v>48</v>
      </c>
      <c r="P282" s="1">
        <v>17584</v>
      </c>
      <c r="Q282" t="s">
        <v>90</v>
      </c>
      <c r="R282" t="s">
        <v>35</v>
      </c>
      <c r="S282">
        <v>3</v>
      </c>
      <c r="T282">
        <v>21</v>
      </c>
      <c r="U282">
        <v>2</v>
      </c>
      <c r="V282">
        <v>5</v>
      </c>
      <c r="W282">
        <v>3</v>
      </c>
      <c r="X282">
        <v>1</v>
      </c>
      <c r="Y282">
        <v>3</v>
      </c>
      <c r="Z282" t="s">
        <v>106</v>
      </c>
      <c r="AA282" t="s">
        <v>82</v>
      </c>
      <c r="AB282" t="str" cm="1">
        <f t="array" ref="AB282">_xlfn.IFS(cleaned_data[[#This Row],[YearsAtCompany]]&lt;=5, "0-5",cleaned_data[[#This Row],[YearsAtCompany]]&lt;=10,"6-10",TRUE,"10+")</f>
        <v>0-5</v>
      </c>
    </row>
    <row r="283" spans="1:28" x14ac:dyDescent="0.3">
      <c r="A283" s="2">
        <v>42</v>
      </c>
      <c r="B283" t="s">
        <v>43</v>
      </c>
      <c r="C283">
        <v>0</v>
      </c>
      <c r="D283" t="s">
        <v>36</v>
      </c>
      <c r="E283" t="s">
        <v>37</v>
      </c>
      <c r="F283">
        <v>1</v>
      </c>
      <c r="G283" t="s">
        <v>38</v>
      </c>
      <c r="H283" t="s">
        <v>353</v>
      </c>
      <c r="I283">
        <v>2</v>
      </c>
      <c r="J283" t="s">
        <v>46</v>
      </c>
      <c r="K283">
        <v>3</v>
      </c>
      <c r="L283">
        <v>2</v>
      </c>
      <c r="M283" t="s">
        <v>40</v>
      </c>
      <c r="N283">
        <v>3</v>
      </c>
      <c r="O283" t="s">
        <v>48</v>
      </c>
      <c r="P283" s="1">
        <v>4907</v>
      </c>
      <c r="Q283" t="s">
        <v>72</v>
      </c>
      <c r="R283" t="s">
        <v>43</v>
      </c>
      <c r="S283">
        <v>4</v>
      </c>
      <c r="T283">
        <v>20</v>
      </c>
      <c r="U283">
        <v>3</v>
      </c>
      <c r="V283">
        <v>20</v>
      </c>
      <c r="W283">
        <v>16</v>
      </c>
      <c r="X283">
        <v>11</v>
      </c>
      <c r="Y283">
        <v>6</v>
      </c>
      <c r="Z283" t="s">
        <v>1550</v>
      </c>
      <c r="AA283" t="s">
        <v>82</v>
      </c>
      <c r="AB283" t="str" cm="1">
        <f t="array" ref="AB283">_xlfn.IFS(cleaned_data[[#This Row],[YearsAtCompany]]&lt;=5, "0-5",cleaned_data[[#This Row],[YearsAtCompany]]&lt;=10,"6-10",TRUE,"10+")</f>
        <v>10+</v>
      </c>
    </row>
    <row r="284" spans="1:28" x14ac:dyDescent="0.3">
      <c r="A284" s="2">
        <v>29</v>
      </c>
      <c r="B284" t="s">
        <v>43</v>
      </c>
      <c r="C284">
        <v>0</v>
      </c>
      <c r="D284" t="s">
        <v>44</v>
      </c>
      <c r="E284" t="s">
        <v>37</v>
      </c>
      <c r="F284">
        <v>2</v>
      </c>
      <c r="G284" t="s">
        <v>38</v>
      </c>
      <c r="H284" t="s">
        <v>354</v>
      </c>
      <c r="I284">
        <v>2</v>
      </c>
      <c r="J284" t="s">
        <v>46</v>
      </c>
      <c r="K284">
        <v>3</v>
      </c>
      <c r="L284">
        <v>2</v>
      </c>
      <c r="M284" t="s">
        <v>40</v>
      </c>
      <c r="N284">
        <v>4</v>
      </c>
      <c r="O284" t="s">
        <v>41</v>
      </c>
      <c r="P284" s="1">
        <v>4554</v>
      </c>
      <c r="Q284" t="s">
        <v>72</v>
      </c>
      <c r="R284" t="s">
        <v>43</v>
      </c>
      <c r="S284">
        <v>3</v>
      </c>
      <c r="T284">
        <v>10</v>
      </c>
      <c r="U284">
        <v>2</v>
      </c>
      <c r="V284">
        <v>10</v>
      </c>
      <c r="W284">
        <v>7</v>
      </c>
      <c r="X284">
        <v>0</v>
      </c>
      <c r="Y284">
        <v>9</v>
      </c>
      <c r="Z284" t="s">
        <v>1551</v>
      </c>
      <c r="AA284" t="s">
        <v>69</v>
      </c>
      <c r="AB284" t="str" cm="1">
        <f t="array" ref="AB284">_xlfn.IFS(cleaned_data[[#This Row],[YearsAtCompany]]&lt;=5, "0-5",cleaned_data[[#This Row],[YearsAtCompany]]&lt;=10,"6-10",TRUE,"10+")</f>
        <v>6-10</v>
      </c>
    </row>
    <row r="285" spans="1:28" x14ac:dyDescent="0.3">
      <c r="A285" s="2">
        <v>55</v>
      </c>
      <c r="B285" t="s">
        <v>43</v>
      </c>
      <c r="C285">
        <v>0</v>
      </c>
      <c r="D285" t="s">
        <v>36</v>
      </c>
      <c r="E285" t="s">
        <v>45</v>
      </c>
      <c r="F285">
        <v>20</v>
      </c>
      <c r="G285" t="s">
        <v>60</v>
      </c>
      <c r="H285" t="s">
        <v>355</v>
      </c>
      <c r="I285">
        <v>2</v>
      </c>
      <c r="J285" t="s">
        <v>46</v>
      </c>
      <c r="K285">
        <v>3</v>
      </c>
      <c r="L285">
        <v>2</v>
      </c>
      <c r="M285" t="s">
        <v>50</v>
      </c>
      <c r="N285">
        <v>4</v>
      </c>
      <c r="O285" t="s">
        <v>48</v>
      </c>
      <c r="P285" s="1">
        <v>5415</v>
      </c>
      <c r="Q285" t="s">
        <v>67</v>
      </c>
      <c r="R285" t="s">
        <v>35</v>
      </c>
      <c r="S285">
        <v>3</v>
      </c>
      <c r="T285">
        <v>12</v>
      </c>
      <c r="U285">
        <v>3</v>
      </c>
      <c r="V285">
        <v>10</v>
      </c>
      <c r="W285">
        <v>7</v>
      </c>
      <c r="X285">
        <v>0</v>
      </c>
      <c r="Y285">
        <v>8</v>
      </c>
      <c r="Z285" t="s">
        <v>106</v>
      </c>
      <c r="AA285" t="s">
        <v>69</v>
      </c>
      <c r="AB285" t="str" cm="1">
        <f t="array" ref="AB285">_xlfn.IFS(cleaned_data[[#This Row],[YearsAtCompany]]&lt;=5, "0-5",cleaned_data[[#This Row],[YearsAtCompany]]&lt;=10,"6-10",TRUE,"10+")</f>
        <v>6-10</v>
      </c>
    </row>
    <row r="286" spans="1:28" x14ac:dyDescent="0.3">
      <c r="A286" s="2">
        <v>26</v>
      </c>
      <c r="B286" t="s">
        <v>43</v>
      </c>
      <c r="C286">
        <v>0</v>
      </c>
      <c r="D286" t="s">
        <v>44</v>
      </c>
      <c r="E286" t="s">
        <v>45</v>
      </c>
      <c r="F286">
        <v>11</v>
      </c>
      <c r="G286" t="s">
        <v>51</v>
      </c>
      <c r="H286" t="s">
        <v>356</v>
      </c>
      <c r="I286">
        <v>1</v>
      </c>
      <c r="J286" t="s">
        <v>46</v>
      </c>
      <c r="K286">
        <v>3</v>
      </c>
      <c r="L286">
        <v>2</v>
      </c>
      <c r="M286" t="s">
        <v>54</v>
      </c>
      <c r="N286">
        <v>1</v>
      </c>
      <c r="O286" t="s">
        <v>48</v>
      </c>
      <c r="P286" s="6">
        <v>4741</v>
      </c>
      <c r="Q286" t="s">
        <v>72</v>
      </c>
      <c r="R286" t="s">
        <v>35</v>
      </c>
      <c r="S286">
        <v>3</v>
      </c>
      <c r="T286">
        <v>5</v>
      </c>
      <c r="U286">
        <v>3</v>
      </c>
      <c r="V286">
        <v>5</v>
      </c>
      <c r="W286">
        <v>3</v>
      </c>
      <c r="X286">
        <v>3</v>
      </c>
      <c r="Y286">
        <v>3</v>
      </c>
      <c r="Z286" t="s">
        <v>1551</v>
      </c>
      <c r="AA286" t="s">
        <v>78</v>
      </c>
      <c r="AB286" t="str" cm="1">
        <f t="array" ref="AB286">_xlfn.IFS(cleaned_data[[#This Row],[YearsAtCompany]]&lt;=5, "0-5",cleaned_data[[#This Row],[YearsAtCompany]]&lt;=10,"6-10",TRUE,"10+")</f>
        <v>0-5</v>
      </c>
    </row>
    <row r="287" spans="1:28" x14ac:dyDescent="0.3">
      <c r="A287" s="2">
        <v>37</v>
      </c>
      <c r="B287" t="s">
        <v>43</v>
      </c>
      <c r="C287">
        <v>0</v>
      </c>
      <c r="D287" t="s">
        <v>36</v>
      </c>
      <c r="E287" t="s">
        <v>45</v>
      </c>
      <c r="F287">
        <v>1</v>
      </c>
      <c r="G287" t="s">
        <v>38</v>
      </c>
      <c r="H287" t="s">
        <v>357</v>
      </c>
      <c r="I287">
        <v>4</v>
      </c>
      <c r="J287" t="s">
        <v>39</v>
      </c>
      <c r="K287">
        <v>3</v>
      </c>
      <c r="L287">
        <v>1</v>
      </c>
      <c r="M287" t="s">
        <v>47</v>
      </c>
      <c r="N287">
        <v>4</v>
      </c>
      <c r="O287" t="s">
        <v>41</v>
      </c>
      <c r="P287" s="1">
        <v>2115</v>
      </c>
      <c r="Q287" t="s">
        <v>72</v>
      </c>
      <c r="R287" t="s">
        <v>43</v>
      </c>
      <c r="S287">
        <v>3</v>
      </c>
      <c r="T287">
        <v>17</v>
      </c>
      <c r="U287">
        <v>3</v>
      </c>
      <c r="V287">
        <v>17</v>
      </c>
      <c r="W287">
        <v>12</v>
      </c>
      <c r="X287">
        <v>5</v>
      </c>
      <c r="Y287">
        <v>7</v>
      </c>
      <c r="Z287" t="s">
        <v>1550</v>
      </c>
      <c r="AA287" t="s">
        <v>82</v>
      </c>
      <c r="AB287" t="str" cm="1">
        <f t="array" ref="AB287">_xlfn.IFS(cleaned_data[[#This Row],[YearsAtCompany]]&lt;=5, "0-5",cleaned_data[[#This Row],[YearsAtCompany]]&lt;=10,"6-10",TRUE,"10+")</f>
        <v>10+</v>
      </c>
    </row>
    <row r="288" spans="1:28" x14ac:dyDescent="0.3">
      <c r="A288" s="2">
        <v>44</v>
      </c>
      <c r="B288" t="s">
        <v>35</v>
      </c>
      <c r="C288">
        <v>1</v>
      </c>
      <c r="D288" t="s">
        <v>44</v>
      </c>
      <c r="E288" t="s">
        <v>45</v>
      </c>
      <c r="F288">
        <v>24</v>
      </c>
      <c r="G288" t="s">
        <v>38</v>
      </c>
      <c r="H288" t="s">
        <v>358</v>
      </c>
      <c r="I288">
        <v>4</v>
      </c>
      <c r="J288" t="s">
        <v>46</v>
      </c>
      <c r="K288">
        <v>3</v>
      </c>
      <c r="L288">
        <v>1</v>
      </c>
      <c r="M288" t="s">
        <v>50</v>
      </c>
      <c r="N288">
        <v>3</v>
      </c>
      <c r="O288" t="s">
        <v>52</v>
      </c>
      <c r="P288" s="1">
        <v>3161</v>
      </c>
      <c r="Q288" t="s">
        <v>72</v>
      </c>
      <c r="R288" t="s">
        <v>35</v>
      </c>
      <c r="S288">
        <v>4</v>
      </c>
      <c r="T288">
        <v>19</v>
      </c>
      <c r="U288">
        <v>1</v>
      </c>
      <c r="V288">
        <v>1</v>
      </c>
      <c r="W288">
        <v>0</v>
      </c>
      <c r="X288">
        <v>0</v>
      </c>
      <c r="Y288">
        <v>0</v>
      </c>
      <c r="Z288" t="s">
        <v>1550</v>
      </c>
      <c r="AA288" t="s">
        <v>82</v>
      </c>
      <c r="AB288" t="str" cm="1">
        <f t="array" ref="AB288">_xlfn.IFS(cleaned_data[[#This Row],[YearsAtCompany]]&lt;=5, "0-5",cleaned_data[[#This Row],[YearsAtCompany]]&lt;=10,"6-10",TRUE,"10+")</f>
        <v>0-5</v>
      </c>
    </row>
    <row r="289" spans="1:28" x14ac:dyDescent="0.3">
      <c r="A289" s="2">
        <v>38</v>
      </c>
      <c r="B289" t="s">
        <v>43</v>
      </c>
      <c r="C289">
        <v>0</v>
      </c>
      <c r="D289" t="s">
        <v>36</v>
      </c>
      <c r="E289" t="s">
        <v>45</v>
      </c>
      <c r="F289">
        <v>23</v>
      </c>
      <c r="G289" t="s">
        <v>38</v>
      </c>
      <c r="H289" t="s">
        <v>359</v>
      </c>
      <c r="I289">
        <v>4</v>
      </c>
      <c r="J289" t="s">
        <v>46</v>
      </c>
      <c r="K289">
        <v>3</v>
      </c>
      <c r="L289">
        <v>2</v>
      </c>
      <c r="M289" t="s">
        <v>54</v>
      </c>
      <c r="N289">
        <v>4</v>
      </c>
      <c r="O289" t="s">
        <v>52</v>
      </c>
      <c r="P289" s="1">
        <v>5745</v>
      </c>
      <c r="Q289" t="s">
        <v>67</v>
      </c>
      <c r="R289" t="s">
        <v>43</v>
      </c>
      <c r="S289">
        <v>3</v>
      </c>
      <c r="T289">
        <v>10</v>
      </c>
      <c r="U289">
        <v>3</v>
      </c>
      <c r="V289">
        <v>2</v>
      </c>
      <c r="W289">
        <v>2</v>
      </c>
      <c r="X289">
        <v>1</v>
      </c>
      <c r="Y289">
        <v>2</v>
      </c>
      <c r="Z289" t="s">
        <v>1550</v>
      </c>
      <c r="AA289" t="s">
        <v>69</v>
      </c>
      <c r="AB289" t="str" cm="1">
        <f t="array" ref="AB289">_xlfn.IFS(cleaned_data[[#This Row],[YearsAtCompany]]&lt;=5, "0-5",cleaned_data[[#This Row],[YearsAtCompany]]&lt;=10,"6-10",TRUE,"10+")</f>
        <v>0-5</v>
      </c>
    </row>
    <row r="290" spans="1:28" x14ac:dyDescent="0.3">
      <c r="A290" s="2">
        <v>26</v>
      </c>
      <c r="B290" t="s">
        <v>35</v>
      </c>
      <c r="C290">
        <v>1</v>
      </c>
      <c r="D290" t="s">
        <v>36</v>
      </c>
      <c r="E290" t="s">
        <v>45</v>
      </c>
      <c r="F290">
        <v>16</v>
      </c>
      <c r="G290" t="s">
        <v>51</v>
      </c>
      <c r="H290" t="s">
        <v>360</v>
      </c>
      <c r="I290">
        <v>1</v>
      </c>
      <c r="J290" t="s">
        <v>46</v>
      </c>
      <c r="K290">
        <v>3</v>
      </c>
      <c r="L290">
        <v>1</v>
      </c>
      <c r="M290" t="s">
        <v>50</v>
      </c>
      <c r="N290">
        <v>2</v>
      </c>
      <c r="O290" t="s">
        <v>52</v>
      </c>
      <c r="P290" s="1">
        <v>2373</v>
      </c>
      <c r="Q290" t="s">
        <v>72</v>
      </c>
      <c r="R290" t="s">
        <v>35</v>
      </c>
      <c r="S290">
        <v>3</v>
      </c>
      <c r="T290">
        <v>5</v>
      </c>
      <c r="U290">
        <v>3</v>
      </c>
      <c r="V290">
        <v>3</v>
      </c>
      <c r="W290">
        <v>2</v>
      </c>
      <c r="X290">
        <v>0</v>
      </c>
      <c r="Y290">
        <v>2</v>
      </c>
      <c r="Z290" t="s">
        <v>1551</v>
      </c>
      <c r="AA290" t="s">
        <v>78</v>
      </c>
      <c r="AB290" t="str" cm="1">
        <f t="array" ref="AB290">_xlfn.IFS(cleaned_data[[#This Row],[YearsAtCompany]]&lt;=5, "0-5",cleaned_data[[#This Row],[YearsAtCompany]]&lt;=10,"6-10",TRUE,"10+")</f>
        <v>0-5</v>
      </c>
    </row>
    <row r="291" spans="1:28" x14ac:dyDescent="0.3">
      <c r="A291" s="2">
        <v>28</v>
      </c>
      <c r="B291" t="s">
        <v>43</v>
      </c>
      <c r="C291">
        <v>0</v>
      </c>
      <c r="D291" t="s">
        <v>36</v>
      </c>
      <c r="E291" t="s">
        <v>45</v>
      </c>
      <c r="F291">
        <v>8</v>
      </c>
      <c r="G291" t="s">
        <v>38</v>
      </c>
      <c r="H291" t="s">
        <v>361</v>
      </c>
      <c r="I291">
        <v>4</v>
      </c>
      <c r="J291" t="s">
        <v>39</v>
      </c>
      <c r="K291">
        <v>3</v>
      </c>
      <c r="L291">
        <v>1</v>
      </c>
      <c r="M291" t="s">
        <v>47</v>
      </c>
      <c r="N291">
        <v>4</v>
      </c>
      <c r="O291" t="s">
        <v>41</v>
      </c>
      <c r="P291" s="1">
        <v>3310</v>
      </c>
      <c r="Q291" t="s">
        <v>72</v>
      </c>
      <c r="R291" t="s">
        <v>43</v>
      </c>
      <c r="S291">
        <v>4</v>
      </c>
      <c r="T291">
        <v>5</v>
      </c>
      <c r="U291">
        <v>3</v>
      </c>
      <c r="V291">
        <v>5</v>
      </c>
      <c r="W291">
        <v>3</v>
      </c>
      <c r="X291">
        <v>0</v>
      </c>
      <c r="Y291">
        <v>2</v>
      </c>
      <c r="Z291" t="s">
        <v>1551</v>
      </c>
      <c r="AA291" t="s">
        <v>78</v>
      </c>
      <c r="AB291" t="str" cm="1">
        <f t="array" ref="AB291">_xlfn.IFS(cleaned_data[[#This Row],[YearsAtCompany]]&lt;=5, "0-5",cleaned_data[[#This Row],[YearsAtCompany]]&lt;=10,"6-10",TRUE,"10+")</f>
        <v>0-5</v>
      </c>
    </row>
    <row r="292" spans="1:28" x14ac:dyDescent="0.3">
      <c r="A292" s="2">
        <v>49</v>
      </c>
      <c r="B292" t="s">
        <v>43</v>
      </c>
      <c r="C292">
        <v>0</v>
      </c>
      <c r="D292" t="s">
        <v>44</v>
      </c>
      <c r="E292" t="s">
        <v>45</v>
      </c>
      <c r="F292">
        <v>10</v>
      </c>
      <c r="G292" t="s">
        <v>38</v>
      </c>
      <c r="H292" t="s">
        <v>362</v>
      </c>
      <c r="I292">
        <v>3</v>
      </c>
      <c r="J292" t="s">
        <v>39</v>
      </c>
      <c r="K292">
        <v>3</v>
      </c>
      <c r="L292">
        <v>5</v>
      </c>
      <c r="M292" t="s">
        <v>58</v>
      </c>
      <c r="N292">
        <v>1</v>
      </c>
      <c r="O292" t="s">
        <v>41</v>
      </c>
      <c r="P292" s="6">
        <v>18665</v>
      </c>
      <c r="Q292" t="s">
        <v>90</v>
      </c>
      <c r="R292" t="s">
        <v>35</v>
      </c>
      <c r="S292">
        <v>3</v>
      </c>
      <c r="T292">
        <v>22</v>
      </c>
      <c r="U292">
        <v>3</v>
      </c>
      <c r="V292">
        <v>3</v>
      </c>
      <c r="W292">
        <v>2</v>
      </c>
      <c r="X292">
        <v>1</v>
      </c>
      <c r="Y292">
        <v>2</v>
      </c>
      <c r="Z292" t="s">
        <v>106</v>
      </c>
      <c r="AA292" t="s">
        <v>82</v>
      </c>
      <c r="AB292" t="str" cm="1">
        <f t="array" ref="AB292">_xlfn.IFS(cleaned_data[[#This Row],[YearsAtCompany]]&lt;=5, "0-5",cleaned_data[[#This Row],[YearsAtCompany]]&lt;=10,"6-10",TRUE,"10+")</f>
        <v>0-5</v>
      </c>
    </row>
    <row r="293" spans="1:28" x14ac:dyDescent="0.3">
      <c r="A293" s="2">
        <v>36</v>
      </c>
      <c r="B293" t="s">
        <v>43</v>
      </c>
      <c r="C293">
        <v>0</v>
      </c>
      <c r="D293" t="s">
        <v>36</v>
      </c>
      <c r="E293" t="s">
        <v>45</v>
      </c>
      <c r="F293">
        <v>3</v>
      </c>
      <c r="G293" t="s">
        <v>60</v>
      </c>
      <c r="H293" t="s">
        <v>363</v>
      </c>
      <c r="I293">
        <v>3</v>
      </c>
      <c r="J293" t="s">
        <v>46</v>
      </c>
      <c r="K293">
        <v>3</v>
      </c>
      <c r="L293">
        <v>2</v>
      </c>
      <c r="M293" t="s">
        <v>47</v>
      </c>
      <c r="N293">
        <v>2</v>
      </c>
      <c r="O293" t="s">
        <v>41</v>
      </c>
      <c r="P293" s="1">
        <v>4485</v>
      </c>
      <c r="Q293" t="s">
        <v>72</v>
      </c>
      <c r="R293" t="s">
        <v>43</v>
      </c>
      <c r="S293">
        <v>3</v>
      </c>
      <c r="T293">
        <v>10</v>
      </c>
      <c r="U293">
        <v>3</v>
      </c>
      <c r="V293">
        <v>8</v>
      </c>
      <c r="W293">
        <v>0</v>
      </c>
      <c r="X293">
        <v>7</v>
      </c>
      <c r="Y293">
        <v>7</v>
      </c>
      <c r="Z293" t="s">
        <v>1550</v>
      </c>
      <c r="AA293" t="s">
        <v>69</v>
      </c>
      <c r="AB293" t="str" cm="1">
        <f t="array" ref="AB293">_xlfn.IFS(cleaned_data[[#This Row],[YearsAtCompany]]&lt;=5, "0-5",cleaned_data[[#This Row],[YearsAtCompany]]&lt;=10,"6-10",TRUE,"10+")</f>
        <v>6-10</v>
      </c>
    </row>
    <row r="294" spans="1:28" x14ac:dyDescent="0.3">
      <c r="A294" s="2">
        <v>31</v>
      </c>
      <c r="B294" t="s">
        <v>43</v>
      </c>
      <c r="C294">
        <v>0</v>
      </c>
      <c r="D294" t="s">
        <v>44</v>
      </c>
      <c r="E294" t="s">
        <v>37</v>
      </c>
      <c r="F294">
        <v>5</v>
      </c>
      <c r="G294" t="s">
        <v>59</v>
      </c>
      <c r="H294" t="s">
        <v>364</v>
      </c>
      <c r="I294">
        <v>4</v>
      </c>
      <c r="J294" t="s">
        <v>39</v>
      </c>
      <c r="K294">
        <v>3</v>
      </c>
      <c r="L294">
        <v>1</v>
      </c>
      <c r="M294" t="s">
        <v>57</v>
      </c>
      <c r="N294">
        <v>2</v>
      </c>
      <c r="O294" t="s">
        <v>52</v>
      </c>
      <c r="P294" s="1">
        <v>2789</v>
      </c>
      <c r="Q294" t="s">
        <v>72</v>
      </c>
      <c r="R294" t="s">
        <v>43</v>
      </c>
      <c r="S294">
        <v>3</v>
      </c>
      <c r="T294">
        <v>2</v>
      </c>
      <c r="U294">
        <v>2</v>
      </c>
      <c r="V294">
        <v>2</v>
      </c>
      <c r="W294">
        <v>2</v>
      </c>
      <c r="X294">
        <v>2</v>
      </c>
      <c r="Y294">
        <v>2</v>
      </c>
      <c r="Z294" t="s">
        <v>1551</v>
      </c>
      <c r="AA294" t="s">
        <v>78</v>
      </c>
      <c r="AB294" t="str" cm="1">
        <f t="array" ref="AB294">_xlfn.IFS(cleaned_data[[#This Row],[YearsAtCompany]]&lt;=5, "0-5",cleaned_data[[#This Row],[YearsAtCompany]]&lt;=10,"6-10",TRUE,"10+")</f>
        <v>0-5</v>
      </c>
    </row>
    <row r="295" spans="1:28" x14ac:dyDescent="0.3">
      <c r="A295" s="2">
        <v>26</v>
      </c>
      <c r="B295" t="s">
        <v>35</v>
      </c>
      <c r="C295">
        <v>1</v>
      </c>
      <c r="D295" t="s">
        <v>36</v>
      </c>
      <c r="E295" t="s">
        <v>37</v>
      </c>
      <c r="F295">
        <v>4</v>
      </c>
      <c r="G295" t="s">
        <v>59</v>
      </c>
      <c r="H295" t="s">
        <v>365</v>
      </c>
      <c r="I295">
        <v>4</v>
      </c>
      <c r="J295" t="s">
        <v>46</v>
      </c>
      <c r="K295">
        <v>2</v>
      </c>
      <c r="L295">
        <v>2</v>
      </c>
      <c r="M295" t="s">
        <v>40</v>
      </c>
      <c r="N295">
        <v>4</v>
      </c>
      <c r="O295" t="s">
        <v>41</v>
      </c>
      <c r="P295" s="1">
        <v>5828</v>
      </c>
      <c r="Q295" t="s">
        <v>67</v>
      </c>
      <c r="R295" t="s">
        <v>35</v>
      </c>
      <c r="S295">
        <v>3</v>
      </c>
      <c r="T295">
        <v>8</v>
      </c>
      <c r="U295">
        <v>3</v>
      </c>
      <c r="V295">
        <v>8</v>
      </c>
      <c r="W295">
        <v>7</v>
      </c>
      <c r="X295">
        <v>7</v>
      </c>
      <c r="Y295">
        <v>4</v>
      </c>
      <c r="Z295" t="s">
        <v>1551</v>
      </c>
      <c r="AA295" t="s">
        <v>69</v>
      </c>
      <c r="AB295" t="str" cm="1">
        <f t="array" ref="AB295">_xlfn.IFS(cleaned_data[[#This Row],[YearsAtCompany]]&lt;=5, "0-5",cleaned_data[[#This Row],[YearsAtCompany]]&lt;=10,"6-10",TRUE,"10+")</f>
        <v>6-10</v>
      </c>
    </row>
    <row r="296" spans="1:28" x14ac:dyDescent="0.3">
      <c r="A296" s="2">
        <v>37</v>
      </c>
      <c r="B296" t="s">
        <v>43</v>
      </c>
      <c r="C296">
        <v>0</v>
      </c>
      <c r="D296" t="s">
        <v>44</v>
      </c>
      <c r="E296" t="s">
        <v>45</v>
      </c>
      <c r="F296">
        <v>9</v>
      </c>
      <c r="G296" t="s">
        <v>51</v>
      </c>
      <c r="H296" t="s">
        <v>366</v>
      </c>
      <c r="I296">
        <v>2</v>
      </c>
      <c r="J296" t="s">
        <v>46</v>
      </c>
      <c r="K296">
        <v>3</v>
      </c>
      <c r="L296">
        <v>1</v>
      </c>
      <c r="M296" t="s">
        <v>47</v>
      </c>
      <c r="N296">
        <v>4</v>
      </c>
      <c r="O296" t="s">
        <v>48</v>
      </c>
      <c r="P296" s="1">
        <v>2326</v>
      </c>
      <c r="Q296" t="s">
        <v>72</v>
      </c>
      <c r="R296" t="s">
        <v>35</v>
      </c>
      <c r="S296">
        <v>3</v>
      </c>
      <c r="T296">
        <v>4</v>
      </c>
      <c r="U296">
        <v>2</v>
      </c>
      <c r="V296">
        <v>4</v>
      </c>
      <c r="W296">
        <v>2</v>
      </c>
      <c r="X296">
        <v>1</v>
      </c>
      <c r="Y296">
        <v>2</v>
      </c>
      <c r="Z296" t="s">
        <v>1550</v>
      </c>
      <c r="AA296" t="s">
        <v>78</v>
      </c>
      <c r="AB296" t="str" cm="1">
        <f t="array" ref="AB296">_xlfn.IFS(cleaned_data[[#This Row],[YearsAtCompany]]&lt;=5, "0-5",cleaned_data[[#This Row],[YearsAtCompany]]&lt;=10,"6-10",TRUE,"10+")</f>
        <v>0-5</v>
      </c>
    </row>
    <row r="297" spans="1:28" x14ac:dyDescent="0.3">
      <c r="A297" s="2">
        <v>42</v>
      </c>
      <c r="B297" t="s">
        <v>43</v>
      </c>
      <c r="C297">
        <v>0</v>
      </c>
      <c r="D297" t="s">
        <v>44</v>
      </c>
      <c r="E297" t="s">
        <v>37</v>
      </c>
      <c r="F297">
        <v>26</v>
      </c>
      <c r="G297" t="s">
        <v>59</v>
      </c>
      <c r="H297" t="s">
        <v>367</v>
      </c>
      <c r="I297">
        <v>3</v>
      </c>
      <c r="J297" t="s">
        <v>39</v>
      </c>
      <c r="K297">
        <v>3</v>
      </c>
      <c r="L297">
        <v>4</v>
      </c>
      <c r="M297" t="s">
        <v>40</v>
      </c>
      <c r="N297">
        <v>2</v>
      </c>
      <c r="O297" t="s">
        <v>48</v>
      </c>
      <c r="P297" s="1">
        <v>13525</v>
      </c>
      <c r="Q297" t="s">
        <v>90</v>
      </c>
      <c r="R297" t="s">
        <v>43</v>
      </c>
      <c r="S297">
        <v>3</v>
      </c>
      <c r="T297">
        <v>23</v>
      </c>
      <c r="U297">
        <v>4</v>
      </c>
      <c r="V297">
        <v>20</v>
      </c>
      <c r="W297">
        <v>4</v>
      </c>
      <c r="X297">
        <v>4</v>
      </c>
      <c r="Y297">
        <v>8</v>
      </c>
      <c r="Z297" t="s">
        <v>1550</v>
      </c>
      <c r="AA297" t="s">
        <v>82</v>
      </c>
      <c r="AB297" t="str" cm="1">
        <f t="array" ref="AB297">_xlfn.IFS(cleaned_data[[#This Row],[YearsAtCompany]]&lt;=5, "0-5",cleaned_data[[#This Row],[YearsAtCompany]]&lt;=10,"6-10",TRUE,"10+")</f>
        <v>10+</v>
      </c>
    </row>
    <row r="298" spans="1:28" x14ac:dyDescent="0.3">
      <c r="A298" s="2">
        <v>18</v>
      </c>
      <c r="B298" t="s">
        <v>35</v>
      </c>
      <c r="C298">
        <v>1</v>
      </c>
      <c r="D298" t="s">
        <v>36</v>
      </c>
      <c r="E298" t="s">
        <v>45</v>
      </c>
      <c r="F298">
        <v>3</v>
      </c>
      <c r="G298" t="s">
        <v>38</v>
      </c>
      <c r="H298" t="s">
        <v>368</v>
      </c>
      <c r="I298">
        <v>3</v>
      </c>
      <c r="J298" t="s">
        <v>46</v>
      </c>
      <c r="K298">
        <v>3</v>
      </c>
      <c r="L298">
        <v>1</v>
      </c>
      <c r="M298" t="s">
        <v>50</v>
      </c>
      <c r="N298">
        <v>3</v>
      </c>
      <c r="O298" t="s">
        <v>41</v>
      </c>
      <c r="P298" s="1">
        <v>1420</v>
      </c>
      <c r="Q298" t="s">
        <v>72</v>
      </c>
      <c r="R298" t="s">
        <v>43</v>
      </c>
      <c r="S298">
        <v>3</v>
      </c>
      <c r="T298">
        <v>0</v>
      </c>
      <c r="U298">
        <v>3</v>
      </c>
      <c r="V298">
        <v>0</v>
      </c>
      <c r="W298">
        <v>0</v>
      </c>
      <c r="X298">
        <v>0</v>
      </c>
      <c r="Y298">
        <v>0</v>
      </c>
      <c r="Z298" t="s">
        <v>68</v>
      </c>
      <c r="AA298" t="s">
        <v>78</v>
      </c>
      <c r="AB298" t="str" cm="1">
        <f t="array" ref="AB298">_xlfn.IFS(cleaned_data[[#This Row],[YearsAtCompany]]&lt;=5, "0-5",cleaned_data[[#This Row],[YearsAtCompany]]&lt;=10,"6-10",TRUE,"10+")</f>
        <v>0-5</v>
      </c>
    </row>
    <row r="299" spans="1:28" x14ac:dyDescent="0.3">
      <c r="A299" s="2">
        <v>35</v>
      </c>
      <c r="B299" t="s">
        <v>43</v>
      </c>
      <c r="C299">
        <v>0</v>
      </c>
      <c r="D299" t="s">
        <v>36</v>
      </c>
      <c r="E299" t="s">
        <v>37</v>
      </c>
      <c r="F299">
        <v>16</v>
      </c>
      <c r="G299" t="s">
        <v>59</v>
      </c>
      <c r="H299" t="s">
        <v>369</v>
      </c>
      <c r="I299">
        <v>3</v>
      </c>
      <c r="J299" t="s">
        <v>46</v>
      </c>
      <c r="K299">
        <v>3</v>
      </c>
      <c r="L299">
        <v>3</v>
      </c>
      <c r="M299" t="s">
        <v>40</v>
      </c>
      <c r="N299">
        <v>2</v>
      </c>
      <c r="O299" t="s">
        <v>48</v>
      </c>
      <c r="P299" s="1">
        <v>8020</v>
      </c>
      <c r="Q299" t="s">
        <v>67</v>
      </c>
      <c r="R299" t="s">
        <v>43</v>
      </c>
      <c r="S299">
        <v>3</v>
      </c>
      <c r="T299">
        <v>12</v>
      </c>
      <c r="U299">
        <v>2</v>
      </c>
      <c r="V299">
        <v>11</v>
      </c>
      <c r="W299">
        <v>9</v>
      </c>
      <c r="X299">
        <v>6</v>
      </c>
      <c r="Y299">
        <v>9</v>
      </c>
      <c r="Z299" t="s">
        <v>1551</v>
      </c>
      <c r="AA299" t="s">
        <v>69</v>
      </c>
      <c r="AB299" t="str" cm="1">
        <f t="array" ref="AB299">_xlfn.IFS(cleaned_data[[#This Row],[YearsAtCompany]]&lt;=5, "0-5",cleaned_data[[#This Row],[YearsAtCompany]]&lt;=10,"6-10",TRUE,"10+")</f>
        <v>10+</v>
      </c>
    </row>
    <row r="300" spans="1:28" x14ac:dyDescent="0.3">
      <c r="A300" s="2">
        <v>36</v>
      </c>
      <c r="B300" t="s">
        <v>43</v>
      </c>
      <c r="C300">
        <v>0</v>
      </c>
      <c r="D300" t="s">
        <v>44</v>
      </c>
      <c r="E300" t="s">
        <v>45</v>
      </c>
      <c r="F300">
        <v>18</v>
      </c>
      <c r="G300" t="s">
        <v>38</v>
      </c>
      <c r="H300" t="s">
        <v>370</v>
      </c>
      <c r="I300">
        <v>3</v>
      </c>
      <c r="J300" t="s">
        <v>46</v>
      </c>
      <c r="K300">
        <v>4</v>
      </c>
      <c r="L300">
        <v>1</v>
      </c>
      <c r="M300" t="s">
        <v>50</v>
      </c>
      <c r="N300">
        <v>4</v>
      </c>
      <c r="O300" t="s">
        <v>48</v>
      </c>
      <c r="P300" s="1">
        <v>3688</v>
      </c>
      <c r="Q300" t="s">
        <v>72</v>
      </c>
      <c r="R300" t="s">
        <v>43</v>
      </c>
      <c r="S300">
        <v>3</v>
      </c>
      <c r="T300">
        <v>4</v>
      </c>
      <c r="U300">
        <v>3</v>
      </c>
      <c r="V300">
        <v>1</v>
      </c>
      <c r="W300">
        <v>0</v>
      </c>
      <c r="X300">
        <v>0</v>
      </c>
      <c r="Y300">
        <v>0</v>
      </c>
      <c r="Z300" t="s">
        <v>1550</v>
      </c>
      <c r="AA300" t="s">
        <v>78</v>
      </c>
      <c r="AB300" t="str" cm="1">
        <f t="array" ref="AB300">_xlfn.IFS(cleaned_data[[#This Row],[YearsAtCompany]]&lt;=5, "0-5",cleaned_data[[#This Row],[YearsAtCompany]]&lt;=10,"6-10",TRUE,"10+")</f>
        <v>0-5</v>
      </c>
    </row>
    <row r="301" spans="1:28" x14ac:dyDescent="0.3">
      <c r="A301" s="2">
        <v>51</v>
      </c>
      <c r="B301" t="s">
        <v>43</v>
      </c>
      <c r="C301">
        <v>0</v>
      </c>
      <c r="D301" t="s">
        <v>36</v>
      </c>
      <c r="E301" t="s">
        <v>45</v>
      </c>
      <c r="F301">
        <v>2</v>
      </c>
      <c r="G301" t="s">
        <v>51</v>
      </c>
      <c r="H301" t="s">
        <v>371</v>
      </c>
      <c r="I301">
        <v>4</v>
      </c>
      <c r="J301" t="s">
        <v>46</v>
      </c>
      <c r="K301">
        <v>1</v>
      </c>
      <c r="L301">
        <v>2</v>
      </c>
      <c r="M301" t="s">
        <v>53</v>
      </c>
      <c r="N301">
        <v>2</v>
      </c>
      <c r="O301" t="s">
        <v>52</v>
      </c>
      <c r="P301" s="1">
        <v>5482</v>
      </c>
      <c r="Q301" t="s">
        <v>67</v>
      </c>
      <c r="R301" t="s">
        <v>43</v>
      </c>
      <c r="S301">
        <v>3</v>
      </c>
      <c r="T301">
        <v>13</v>
      </c>
      <c r="U301">
        <v>3</v>
      </c>
      <c r="V301">
        <v>4</v>
      </c>
      <c r="W301">
        <v>1</v>
      </c>
      <c r="X301">
        <v>1</v>
      </c>
      <c r="Y301">
        <v>2</v>
      </c>
      <c r="Z301" t="s">
        <v>106</v>
      </c>
      <c r="AA301" t="s">
        <v>69</v>
      </c>
      <c r="AB301" t="str" cm="1">
        <f t="array" ref="AB301">_xlfn.IFS(cleaned_data[[#This Row],[YearsAtCompany]]&lt;=5, "0-5",cleaned_data[[#This Row],[YearsAtCompany]]&lt;=10,"6-10",TRUE,"10+")</f>
        <v>0-5</v>
      </c>
    </row>
    <row r="302" spans="1:28" x14ac:dyDescent="0.3">
      <c r="A302" s="2">
        <v>41</v>
      </c>
      <c r="B302" t="s">
        <v>43</v>
      </c>
      <c r="C302">
        <v>0</v>
      </c>
      <c r="D302" t="s">
        <v>36</v>
      </c>
      <c r="E302" t="s">
        <v>37</v>
      </c>
      <c r="F302">
        <v>2</v>
      </c>
      <c r="G302" t="s">
        <v>38</v>
      </c>
      <c r="H302" t="s">
        <v>372</v>
      </c>
      <c r="I302">
        <v>4</v>
      </c>
      <c r="J302" t="s">
        <v>46</v>
      </c>
      <c r="K302">
        <v>3</v>
      </c>
      <c r="L302">
        <v>4</v>
      </c>
      <c r="M302" t="s">
        <v>56</v>
      </c>
      <c r="N302">
        <v>2</v>
      </c>
      <c r="O302" t="s">
        <v>41</v>
      </c>
      <c r="P302" s="1">
        <v>16015</v>
      </c>
      <c r="Q302" t="s">
        <v>90</v>
      </c>
      <c r="R302" t="s">
        <v>43</v>
      </c>
      <c r="S302">
        <v>3</v>
      </c>
      <c r="T302">
        <v>22</v>
      </c>
      <c r="U302">
        <v>3</v>
      </c>
      <c r="V302">
        <v>22</v>
      </c>
      <c r="W302">
        <v>10</v>
      </c>
      <c r="X302">
        <v>0</v>
      </c>
      <c r="Y302">
        <v>4</v>
      </c>
      <c r="Z302" t="s">
        <v>1550</v>
      </c>
      <c r="AA302" t="s">
        <v>82</v>
      </c>
      <c r="AB302" t="str" cm="1">
        <f t="array" ref="AB302">_xlfn.IFS(cleaned_data[[#This Row],[YearsAtCompany]]&lt;=5, "0-5",cleaned_data[[#This Row],[YearsAtCompany]]&lt;=10,"6-10",TRUE,"10+")</f>
        <v>10+</v>
      </c>
    </row>
    <row r="303" spans="1:28" x14ac:dyDescent="0.3">
      <c r="A303" s="2">
        <v>18</v>
      </c>
      <c r="B303" t="s">
        <v>43</v>
      </c>
      <c r="C303">
        <v>0</v>
      </c>
      <c r="D303" t="s">
        <v>36</v>
      </c>
      <c r="E303" t="s">
        <v>37</v>
      </c>
      <c r="F303">
        <v>10</v>
      </c>
      <c r="G303" t="s">
        <v>51</v>
      </c>
      <c r="H303" t="s">
        <v>373</v>
      </c>
      <c r="I303">
        <v>4</v>
      </c>
      <c r="J303" t="s">
        <v>39</v>
      </c>
      <c r="K303">
        <v>2</v>
      </c>
      <c r="L303">
        <v>1</v>
      </c>
      <c r="M303" t="s">
        <v>57</v>
      </c>
      <c r="N303">
        <v>3</v>
      </c>
      <c r="O303" t="s">
        <v>41</v>
      </c>
      <c r="P303" s="1">
        <v>1200</v>
      </c>
      <c r="Q303" t="s">
        <v>72</v>
      </c>
      <c r="R303" t="s">
        <v>43</v>
      </c>
      <c r="S303">
        <v>3</v>
      </c>
      <c r="T303">
        <v>0</v>
      </c>
      <c r="U303">
        <v>3</v>
      </c>
      <c r="V303">
        <v>0</v>
      </c>
      <c r="W303">
        <v>0</v>
      </c>
      <c r="X303">
        <v>0</v>
      </c>
      <c r="Y303">
        <v>0</v>
      </c>
      <c r="Z303" t="s">
        <v>68</v>
      </c>
      <c r="AA303" t="s">
        <v>78</v>
      </c>
      <c r="AB303" t="str" cm="1">
        <f t="array" ref="AB303">_xlfn.IFS(cleaned_data[[#This Row],[YearsAtCompany]]&lt;=5, "0-5",cleaned_data[[#This Row],[YearsAtCompany]]&lt;=10,"6-10",TRUE,"10+")</f>
        <v>0-5</v>
      </c>
    </row>
    <row r="304" spans="1:28" x14ac:dyDescent="0.3">
      <c r="A304" s="2">
        <v>28</v>
      </c>
      <c r="B304" t="s">
        <v>43</v>
      </c>
      <c r="C304">
        <v>0</v>
      </c>
      <c r="D304" t="s">
        <v>36</v>
      </c>
      <c r="E304" t="s">
        <v>45</v>
      </c>
      <c r="F304">
        <v>16</v>
      </c>
      <c r="G304" t="s">
        <v>51</v>
      </c>
      <c r="H304" t="s">
        <v>374</v>
      </c>
      <c r="I304">
        <v>2</v>
      </c>
      <c r="J304" t="s">
        <v>46</v>
      </c>
      <c r="K304">
        <v>4</v>
      </c>
      <c r="L304">
        <v>2</v>
      </c>
      <c r="M304" t="s">
        <v>54</v>
      </c>
      <c r="N304">
        <v>1</v>
      </c>
      <c r="O304" t="s">
        <v>41</v>
      </c>
      <c r="P304" s="6">
        <v>5661</v>
      </c>
      <c r="Q304" t="s">
        <v>67</v>
      </c>
      <c r="R304" t="s">
        <v>43</v>
      </c>
      <c r="S304">
        <v>3</v>
      </c>
      <c r="T304">
        <v>9</v>
      </c>
      <c r="U304">
        <v>3</v>
      </c>
      <c r="V304">
        <v>8</v>
      </c>
      <c r="W304">
        <v>3</v>
      </c>
      <c r="X304">
        <v>0</v>
      </c>
      <c r="Y304">
        <v>7</v>
      </c>
      <c r="Z304" t="s">
        <v>1551</v>
      </c>
      <c r="AA304" t="s">
        <v>69</v>
      </c>
      <c r="AB304" t="str" cm="1">
        <f t="array" ref="AB304">_xlfn.IFS(cleaned_data[[#This Row],[YearsAtCompany]]&lt;=5, "0-5",cleaned_data[[#This Row],[YearsAtCompany]]&lt;=10,"6-10",TRUE,"10+")</f>
        <v>6-10</v>
      </c>
    </row>
    <row r="305" spans="1:28" x14ac:dyDescent="0.3">
      <c r="A305" s="2">
        <v>31</v>
      </c>
      <c r="B305" t="s">
        <v>43</v>
      </c>
      <c r="C305">
        <v>0</v>
      </c>
      <c r="D305" t="s">
        <v>36</v>
      </c>
      <c r="E305" t="s">
        <v>37</v>
      </c>
      <c r="F305">
        <v>7</v>
      </c>
      <c r="G305" t="s">
        <v>60</v>
      </c>
      <c r="H305" t="s">
        <v>375</v>
      </c>
      <c r="I305">
        <v>2</v>
      </c>
      <c r="J305" t="s">
        <v>46</v>
      </c>
      <c r="K305">
        <v>4</v>
      </c>
      <c r="L305">
        <v>2</v>
      </c>
      <c r="M305" t="s">
        <v>40</v>
      </c>
      <c r="N305">
        <v>4</v>
      </c>
      <c r="O305" t="s">
        <v>48</v>
      </c>
      <c r="P305" s="1">
        <v>6929</v>
      </c>
      <c r="Q305" t="s">
        <v>67</v>
      </c>
      <c r="R305" t="s">
        <v>43</v>
      </c>
      <c r="S305">
        <v>3</v>
      </c>
      <c r="T305">
        <v>10</v>
      </c>
      <c r="U305">
        <v>2</v>
      </c>
      <c r="V305">
        <v>8</v>
      </c>
      <c r="W305">
        <v>7</v>
      </c>
      <c r="X305">
        <v>7</v>
      </c>
      <c r="Y305">
        <v>7</v>
      </c>
      <c r="Z305" t="s">
        <v>1551</v>
      </c>
      <c r="AA305" t="s">
        <v>69</v>
      </c>
      <c r="AB305" t="str" cm="1">
        <f t="array" ref="AB305">_xlfn.IFS(cleaned_data[[#This Row],[YearsAtCompany]]&lt;=5, "0-5",cleaned_data[[#This Row],[YearsAtCompany]]&lt;=10,"6-10",TRUE,"10+")</f>
        <v>6-10</v>
      </c>
    </row>
    <row r="306" spans="1:28" x14ac:dyDescent="0.3">
      <c r="A306" s="2">
        <v>39</v>
      </c>
      <c r="B306" t="s">
        <v>43</v>
      </c>
      <c r="C306">
        <v>0</v>
      </c>
      <c r="D306" t="s">
        <v>36</v>
      </c>
      <c r="E306" t="s">
        <v>45</v>
      </c>
      <c r="F306">
        <v>1</v>
      </c>
      <c r="G306" t="s">
        <v>51</v>
      </c>
      <c r="H306" t="s">
        <v>376</v>
      </c>
      <c r="I306">
        <v>3</v>
      </c>
      <c r="J306" t="s">
        <v>46</v>
      </c>
      <c r="K306">
        <v>4</v>
      </c>
      <c r="L306">
        <v>3</v>
      </c>
      <c r="M306" t="s">
        <v>54</v>
      </c>
      <c r="N306">
        <v>4</v>
      </c>
      <c r="O306" t="s">
        <v>52</v>
      </c>
      <c r="P306" s="1">
        <v>9613</v>
      </c>
      <c r="Q306" t="s">
        <v>67</v>
      </c>
      <c r="R306" t="s">
        <v>43</v>
      </c>
      <c r="S306">
        <v>3</v>
      </c>
      <c r="T306">
        <v>19</v>
      </c>
      <c r="U306">
        <v>2</v>
      </c>
      <c r="V306">
        <v>18</v>
      </c>
      <c r="W306">
        <v>10</v>
      </c>
      <c r="X306">
        <v>3</v>
      </c>
      <c r="Y306">
        <v>7</v>
      </c>
      <c r="Z306" t="s">
        <v>1550</v>
      </c>
      <c r="AA306" t="s">
        <v>82</v>
      </c>
      <c r="AB306" t="str" cm="1">
        <f t="array" ref="AB306">_xlfn.IFS(cleaned_data[[#This Row],[YearsAtCompany]]&lt;=5, "0-5",cleaned_data[[#This Row],[YearsAtCompany]]&lt;=10,"6-10",TRUE,"10+")</f>
        <v>10+</v>
      </c>
    </row>
    <row r="307" spans="1:28" x14ac:dyDescent="0.3">
      <c r="A307" s="2">
        <v>36</v>
      </c>
      <c r="B307" t="s">
        <v>43</v>
      </c>
      <c r="C307">
        <v>0</v>
      </c>
      <c r="D307" t="s">
        <v>55</v>
      </c>
      <c r="E307" t="s">
        <v>45</v>
      </c>
      <c r="F307">
        <v>24</v>
      </c>
      <c r="G307" t="s">
        <v>38</v>
      </c>
      <c r="H307" t="s">
        <v>377</v>
      </c>
      <c r="I307">
        <v>2</v>
      </c>
      <c r="J307" t="s">
        <v>39</v>
      </c>
      <c r="K307">
        <v>3</v>
      </c>
      <c r="L307">
        <v>2</v>
      </c>
      <c r="M307" t="s">
        <v>50</v>
      </c>
      <c r="N307">
        <v>2</v>
      </c>
      <c r="O307" t="s">
        <v>48</v>
      </c>
      <c r="P307" s="1">
        <v>5674</v>
      </c>
      <c r="Q307" t="s">
        <v>67</v>
      </c>
      <c r="R307" t="s">
        <v>43</v>
      </c>
      <c r="S307">
        <v>3</v>
      </c>
      <c r="T307">
        <v>11</v>
      </c>
      <c r="U307">
        <v>3</v>
      </c>
      <c r="V307">
        <v>9</v>
      </c>
      <c r="W307">
        <v>8</v>
      </c>
      <c r="X307">
        <v>0</v>
      </c>
      <c r="Y307">
        <v>8</v>
      </c>
      <c r="Z307" t="s">
        <v>1550</v>
      </c>
      <c r="AA307" t="s">
        <v>69</v>
      </c>
      <c r="AB307" t="str" cm="1">
        <f t="array" ref="AB307">_xlfn.IFS(cleaned_data[[#This Row],[YearsAtCompany]]&lt;=5, "0-5",cleaned_data[[#This Row],[YearsAtCompany]]&lt;=10,"6-10",TRUE,"10+")</f>
        <v>6-10</v>
      </c>
    </row>
    <row r="308" spans="1:28" x14ac:dyDescent="0.3">
      <c r="A308" s="2">
        <v>32</v>
      </c>
      <c r="B308" t="s">
        <v>43</v>
      </c>
      <c r="C308">
        <v>0</v>
      </c>
      <c r="D308" t="s">
        <v>36</v>
      </c>
      <c r="E308" t="s">
        <v>37</v>
      </c>
      <c r="F308">
        <v>7</v>
      </c>
      <c r="G308" t="s">
        <v>38</v>
      </c>
      <c r="H308" t="s">
        <v>378</v>
      </c>
      <c r="I308">
        <v>4</v>
      </c>
      <c r="J308" t="s">
        <v>46</v>
      </c>
      <c r="K308">
        <v>2</v>
      </c>
      <c r="L308">
        <v>2</v>
      </c>
      <c r="M308" t="s">
        <v>40</v>
      </c>
      <c r="N308">
        <v>3</v>
      </c>
      <c r="O308" t="s">
        <v>48</v>
      </c>
      <c r="P308" s="1">
        <v>5484</v>
      </c>
      <c r="Q308" t="s">
        <v>67</v>
      </c>
      <c r="R308" t="s">
        <v>43</v>
      </c>
      <c r="S308">
        <v>3</v>
      </c>
      <c r="T308">
        <v>13</v>
      </c>
      <c r="U308">
        <v>2</v>
      </c>
      <c r="V308">
        <v>13</v>
      </c>
      <c r="W308">
        <v>8</v>
      </c>
      <c r="X308">
        <v>4</v>
      </c>
      <c r="Y308">
        <v>8</v>
      </c>
      <c r="Z308" t="s">
        <v>1551</v>
      </c>
      <c r="AA308" t="s">
        <v>69</v>
      </c>
      <c r="AB308" t="str" cm="1">
        <f t="array" ref="AB308">_xlfn.IFS(cleaned_data[[#This Row],[YearsAtCompany]]&lt;=5, "0-5",cleaned_data[[#This Row],[YearsAtCompany]]&lt;=10,"6-10",TRUE,"10+")</f>
        <v>10+</v>
      </c>
    </row>
    <row r="309" spans="1:28" x14ac:dyDescent="0.3">
      <c r="A309" s="2">
        <v>38</v>
      </c>
      <c r="B309" t="s">
        <v>43</v>
      </c>
      <c r="C309">
        <v>0</v>
      </c>
      <c r="D309" t="s">
        <v>36</v>
      </c>
      <c r="E309" t="s">
        <v>45</v>
      </c>
      <c r="F309">
        <v>25</v>
      </c>
      <c r="G309" t="s">
        <v>38</v>
      </c>
      <c r="H309" t="s">
        <v>379</v>
      </c>
      <c r="I309">
        <v>1</v>
      </c>
      <c r="J309" t="s">
        <v>39</v>
      </c>
      <c r="K309">
        <v>2</v>
      </c>
      <c r="L309">
        <v>3</v>
      </c>
      <c r="M309" t="s">
        <v>58</v>
      </c>
      <c r="N309">
        <v>2</v>
      </c>
      <c r="O309" t="s">
        <v>48</v>
      </c>
      <c r="P309" s="1">
        <v>12061</v>
      </c>
      <c r="Q309" t="s">
        <v>90</v>
      </c>
      <c r="R309" t="s">
        <v>43</v>
      </c>
      <c r="S309">
        <v>3</v>
      </c>
      <c r="T309">
        <v>19</v>
      </c>
      <c r="U309">
        <v>3</v>
      </c>
      <c r="V309">
        <v>10</v>
      </c>
      <c r="W309">
        <v>8</v>
      </c>
      <c r="X309">
        <v>0</v>
      </c>
      <c r="Y309">
        <v>1</v>
      </c>
      <c r="Z309" t="s">
        <v>1550</v>
      </c>
      <c r="AA309" t="s">
        <v>82</v>
      </c>
      <c r="AB309" t="str" cm="1">
        <f t="array" ref="AB309">_xlfn.IFS(cleaned_data[[#This Row],[YearsAtCompany]]&lt;=5, "0-5",cleaned_data[[#This Row],[YearsAtCompany]]&lt;=10,"6-10",TRUE,"10+")</f>
        <v>6-10</v>
      </c>
    </row>
    <row r="310" spans="1:28" x14ac:dyDescent="0.3">
      <c r="A310" s="2">
        <v>58</v>
      </c>
      <c r="B310" t="s">
        <v>43</v>
      </c>
      <c r="C310">
        <v>0</v>
      </c>
      <c r="D310" t="s">
        <v>55</v>
      </c>
      <c r="E310" t="s">
        <v>45</v>
      </c>
      <c r="F310">
        <v>1</v>
      </c>
      <c r="G310" t="s">
        <v>38</v>
      </c>
      <c r="H310" t="s">
        <v>380</v>
      </c>
      <c r="I310">
        <v>4</v>
      </c>
      <c r="J310" t="s">
        <v>46</v>
      </c>
      <c r="K310">
        <v>1</v>
      </c>
      <c r="L310">
        <v>2</v>
      </c>
      <c r="M310" t="s">
        <v>54</v>
      </c>
      <c r="N310">
        <v>3</v>
      </c>
      <c r="O310" t="s">
        <v>52</v>
      </c>
      <c r="P310" s="1">
        <v>5660</v>
      </c>
      <c r="Q310" t="s">
        <v>67</v>
      </c>
      <c r="R310" t="s">
        <v>35</v>
      </c>
      <c r="S310">
        <v>3</v>
      </c>
      <c r="T310">
        <v>12</v>
      </c>
      <c r="U310">
        <v>3</v>
      </c>
      <c r="V310">
        <v>5</v>
      </c>
      <c r="W310">
        <v>3</v>
      </c>
      <c r="X310">
        <v>1</v>
      </c>
      <c r="Y310">
        <v>2</v>
      </c>
      <c r="Z310" t="s">
        <v>106</v>
      </c>
      <c r="AA310" t="s">
        <v>69</v>
      </c>
      <c r="AB310" t="str" cm="1">
        <f t="array" ref="AB310">_xlfn.IFS(cleaned_data[[#This Row],[YearsAtCompany]]&lt;=5, "0-5",cleaned_data[[#This Row],[YearsAtCompany]]&lt;=10,"6-10",TRUE,"10+")</f>
        <v>0-5</v>
      </c>
    </row>
    <row r="311" spans="1:28" x14ac:dyDescent="0.3">
      <c r="A311" s="2">
        <v>31</v>
      </c>
      <c r="B311" t="s">
        <v>43</v>
      </c>
      <c r="C311">
        <v>0</v>
      </c>
      <c r="D311" t="s">
        <v>36</v>
      </c>
      <c r="E311" t="s">
        <v>45</v>
      </c>
      <c r="F311">
        <v>5</v>
      </c>
      <c r="G311" t="s">
        <v>60</v>
      </c>
      <c r="H311" t="s">
        <v>381</v>
      </c>
      <c r="I311">
        <v>3</v>
      </c>
      <c r="J311" t="s">
        <v>46</v>
      </c>
      <c r="K311">
        <v>3</v>
      </c>
      <c r="L311">
        <v>1</v>
      </c>
      <c r="M311" t="s">
        <v>47</v>
      </c>
      <c r="N311">
        <v>4</v>
      </c>
      <c r="O311" t="s">
        <v>48</v>
      </c>
      <c r="P311" s="1">
        <v>4821</v>
      </c>
      <c r="Q311" t="s">
        <v>72</v>
      </c>
      <c r="R311" t="s">
        <v>35</v>
      </c>
      <c r="S311">
        <v>3</v>
      </c>
      <c r="T311">
        <v>6</v>
      </c>
      <c r="U311">
        <v>3</v>
      </c>
      <c r="V311">
        <v>5</v>
      </c>
      <c r="W311">
        <v>2</v>
      </c>
      <c r="X311">
        <v>0</v>
      </c>
      <c r="Y311">
        <v>3</v>
      </c>
      <c r="Z311" t="s">
        <v>1551</v>
      </c>
      <c r="AA311" t="s">
        <v>69</v>
      </c>
      <c r="AB311" t="str" cm="1">
        <f t="array" ref="AB311">_xlfn.IFS(cleaned_data[[#This Row],[YearsAtCompany]]&lt;=5, "0-5",cleaned_data[[#This Row],[YearsAtCompany]]&lt;=10,"6-10",TRUE,"10+")</f>
        <v>0-5</v>
      </c>
    </row>
    <row r="312" spans="1:28" x14ac:dyDescent="0.3">
      <c r="A312" s="2">
        <v>31</v>
      </c>
      <c r="B312" t="s">
        <v>43</v>
      </c>
      <c r="C312">
        <v>0</v>
      </c>
      <c r="D312" t="s">
        <v>36</v>
      </c>
      <c r="E312" t="s">
        <v>61</v>
      </c>
      <c r="F312">
        <v>2</v>
      </c>
      <c r="G312" t="s">
        <v>61</v>
      </c>
      <c r="H312" t="s">
        <v>382</v>
      </c>
      <c r="I312">
        <v>1</v>
      </c>
      <c r="J312" t="s">
        <v>46</v>
      </c>
      <c r="K312">
        <v>2</v>
      </c>
      <c r="L312">
        <v>2</v>
      </c>
      <c r="M312" t="s">
        <v>61</v>
      </c>
      <c r="N312">
        <v>1</v>
      </c>
      <c r="O312" t="s">
        <v>48</v>
      </c>
      <c r="P312" s="6">
        <v>6410</v>
      </c>
      <c r="Q312" t="s">
        <v>67</v>
      </c>
      <c r="R312" t="s">
        <v>43</v>
      </c>
      <c r="S312">
        <v>3</v>
      </c>
      <c r="T312">
        <v>9</v>
      </c>
      <c r="U312">
        <v>3</v>
      </c>
      <c r="V312">
        <v>2</v>
      </c>
      <c r="W312">
        <v>2</v>
      </c>
      <c r="X312">
        <v>1</v>
      </c>
      <c r="Y312">
        <v>0</v>
      </c>
      <c r="Z312" t="s">
        <v>1551</v>
      </c>
      <c r="AA312" t="s">
        <v>69</v>
      </c>
      <c r="AB312" t="str" cm="1">
        <f t="array" ref="AB312">_xlfn.IFS(cleaned_data[[#This Row],[YearsAtCompany]]&lt;=5, "0-5",cleaned_data[[#This Row],[YearsAtCompany]]&lt;=10,"6-10",TRUE,"10+")</f>
        <v>0-5</v>
      </c>
    </row>
    <row r="313" spans="1:28" x14ac:dyDescent="0.3">
      <c r="A313" s="2">
        <v>45</v>
      </c>
      <c r="B313" t="s">
        <v>43</v>
      </c>
      <c r="C313">
        <v>0</v>
      </c>
      <c r="D313" t="s">
        <v>44</v>
      </c>
      <c r="E313" t="s">
        <v>45</v>
      </c>
      <c r="F313">
        <v>7</v>
      </c>
      <c r="G313" t="s">
        <v>38</v>
      </c>
      <c r="H313" t="s">
        <v>383</v>
      </c>
      <c r="I313">
        <v>1</v>
      </c>
      <c r="J313" t="s">
        <v>46</v>
      </c>
      <c r="K313">
        <v>3</v>
      </c>
      <c r="L313">
        <v>3</v>
      </c>
      <c r="M313" t="s">
        <v>50</v>
      </c>
      <c r="N313">
        <v>1</v>
      </c>
      <c r="O313" t="s">
        <v>52</v>
      </c>
      <c r="P313" s="6">
        <v>5210</v>
      </c>
      <c r="Q313" t="s">
        <v>67</v>
      </c>
      <c r="R313" t="s">
        <v>43</v>
      </c>
      <c r="S313">
        <v>3</v>
      </c>
      <c r="T313">
        <v>24</v>
      </c>
      <c r="U313">
        <v>3</v>
      </c>
      <c r="V313">
        <v>24</v>
      </c>
      <c r="W313">
        <v>9</v>
      </c>
      <c r="X313">
        <v>9</v>
      </c>
      <c r="Y313">
        <v>11</v>
      </c>
      <c r="Z313" t="s">
        <v>1550</v>
      </c>
      <c r="AA313" t="s">
        <v>82</v>
      </c>
      <c r="AB313" t="str" cm="1">
        <f t="array" ref="AB313">_xlfn.IFS(cleaned_data[[#This Row],[YearsAtCompany]]&lt;=5, "0-5",cleaned_data[[#This Row],[YearsAtCompany]]&lt;=10,"6-10",TRUE,"10+")</f>
        <v>10+</v>
      </c>
    </row>
    <row r="314" spans="1:28" x14ac:dyDescent="0.3">
      <c r="A314" s="2">
        <v>31</v>
      </c>
      <c r="B314" t="s">
        <v>43</v>
      </c>
      <c r="C314">
        <v>0</v>
      </c>
      <c r="D314" t="s">
        <v>36</v>
      </c>
      <c r="E314" t="s">
        <v>45</v>
      </c>
      <c r="F314">
        <v>2</v>
      </c>
      <c r="G314" t="s">
        <v>38</v>
      </c>
      <c r="H314" t="s">
        <v>384</v>
      </c>
      <c r="I314">
        <v>3</v>
      </c>
      <c r="J314" t="s">
        <v>46</v>
      </c>
      <c r="K314">
        <v>3</v>
      </c>
      <c r="L314">
        <v>1</v>
      </c>
      <c r="M314" t="s">
        <v>47</v>
      </c>
      <c r="N314">
        <v>4</v>
      </c>
      <c r="O314" t="s">
        <v>52</v>
      </c>
      <c r="P314" s="1">
        <v>2695</v>
      </c>
      <c r="Q314" t="s">
        <v>72</v>
      </c>
      <c r="R314" t="s">
        <v>35</v>
      </c>
      <c r="S314">
        <v>3</v>
      </c>
      <c r="T314">
        <v>3</v>
      </c>
      <c r="U314">
        <v>1</v>
      </c>
      <c r="V314">
        <v>2</v>
      </c>
      <c r="W314">
        <v>2</v>
      </c>
      <c r="X314">
        <v>2</v>
      </c>
      <c r="Y314">
        <v>2</v>
      </c>
      <c r="Z314" t="s">
        <v>1551</v>
      </c>
      <c r="AA314" t="s">
        <v>78</v>
      </c>
      <c r="AB314" t="str" cm="1">
        <f t="array" ref="AB314">_xlfn.IFS(cleaned_data[[#This Row],[YearsAtCompany]]&lt;=5, "0-5",cleaned_data[[#This Row],[YearsAtCompany]]&lt;=10,"6-10",TRUE,"10+")</f>
        <v>0-5</v>
      </c>
    </row>
    <row r="315" spans="1:28" x14ac:dyDescent="0.3">
      <c r="A315" s="2">
        <v>33</v>
      </c>
      <c r="B315" t="s">
        <v>43</v>
      </c>
      <c r="C315">
        <v>0</v>
      </c>
      <c r="D315" t="s">
        <v>44</v>
      </c>
      <c r="E315" t="s">
        <v>45</v>
      </c>
      <c r="F315">
        <v>5</v>
      </c>
      <c r="G315" t="s">
        <v>38</v>
      </c>
      <c r="H315" t="s">
        <v>385</v>
      </c>
      <c r="I315">
        <v>4</v>
      </c>
      <c r="J315" t="s">
        <v>39</v>
      </c>
      <c r="K315">
        <v>3</v>
      </c>
      <c r="L315">
        <v>3</v>
      </c>
      <c r="M315" t="s">
        <v>56</v>
      </c>
      <c r="N315">
        <v>2</v>
      </c>
      <c r="O315" t="s">
        <v>48</v>
      </c>
      <c r="P315" s="1">
        <v>11878</v>
      </c>
      <c r="Q315" t="s">
        <v>67</v>
      </c>
      <c r="R315" t="s">
        <v>43</v>
      </c>
      <c r="S315">
        <v>3</v>
      </c>
      <c r="T315">
        <v>12</v>
      </c>
      <c r="U315">
        <v>3</v>
      </c>
      <c r="V315">
        <v>10</v>
      </c>
      <c r="W315">
        <v>6</v>
      </c>
      <c r="X315">
        <v>8</v>
      </c>
      <c r="Y315">
        <v>8</v>
      </c>
      <c r="Z315" t="s">
        <v>1551</v>
      </c>
      <c r="AA315" t="s">
        <v>69</v>
      </c>
      <c r="AB315" t="str" cm="1">
        <f t="array" ref="AB315">_xlfn.IFS(cleaned_data[[#This Row],[YearsAtCompany]]&lt;=5, "0-5",cleaned_data[[#This Row],[YearsAtCompany]]&lt;=10,"6-10",TRUE,"10+")</f>
        <v>6-10</v>
      </c>
    </row>
    <row r="316" spans="1:28" x14ac:dyDescent="0.3">
      <c r="A316" s="2">
        <v>39</v>
      </c>
      <c r="B316" t="s">
        <v>43</v>
      </c>
      <c r="C316">
        <v>0</v>
      </c>
      <c r="D316" t="s">
        <v>36</v>
      </c>
      <c r="E316" t="s">
        <v>45</v>
      </c>
      <c r="F316">
        <v>10</v>
      </c>
      <c r="G316" t="s">
        <v>51</v>
      </c>
      <c r="H316" t="s">
        <v>386</v>
      </c>
      <c r="I316">
        <v>3</v>
      </c>
      <c r="J316" t="s">
        <v>46</v>
      </c>
      <c r="K316">
        <v>3</v>
      </c>
      <c r="L316">
        <v>4</v>
      </c>
      <c r="M316" t="s">
        <v>56</v>
      </c>
      <c r="N316">
        <v>1</v>
      </c>
      <c r="O316" t="s">
        <v>48</v>
      </c>
      <c r="P316" s="6">
        <v>17068</v>
      </c>
      <c r="Q316" t="s">
        <v>90</v>
      </c>
      <c r="R316" t="s">
        <v>35</v>
      </c>
      <c r="S316">
        <v>3</v>
      </c>
      <c r="T316">
        <v>21</v>
      </c>
      <c r="U316">
        <v>3</v>
      </c>
      <c r="V316">
        <v>21</v>
      </c>
      <c r="W316">
        <v>9</v>
      </c>
      <c r="X316">
        <v>11</v>
      </c>
      <c r="Y316">
        <v>10</v>
      </c>
      <c r="Z316" t="s">
        <v>1550</v>
      </c>
      <c r="AA316" t="s">
        <v>82</v>
      </c>
      <c r="AB316" t="str" cm="1">
        <f t="array" ref="AB316">_xlfn.IFS(cleaned_data[[#This Row],[YearsAtCompany]]&lt;=5, "0-5",cleaned_data[[#This Row],[YearsAtCompany]]&lt;=10,"6-10",TRUE,"10+")</f>
        <v>10+</v>
      </c>
    </row>
    <row r="317" spans="1:28" x14ac:dyDescent="0.3">
      <c r="A317" s="2">
        <v>43</v>
      </c>
      <c r="B317" t="s">
        <v>43</v>
      </c>
      <c r="C317">
        <v>0</v>
      </c>
      <c r="D317" t="s">
        <v>44</v>
      </c>
      <c r="E317" t="s">
        <v>45</v>
      </c>
      <c r="F317">
        <v>10</v>
      </c>
      <c r="G317" t="s">
        <v>38</v>
      </c>
      <c r="H317" t="s">
        <v>387</v>
      </c>
      <c r="I317">
        <v>3</v>
      </c>
      <c r="J317" t="s">
        <v>39</v>
      </c>
      <c r="K317">
        <v>3</v>
      </c>
      <c r="L317">
        <v>1</v>
      </c>
      <c r="M317" t="s">
        <v>50</v>
      </c>
      <c r="N317">
        <v>4</v>
      </c>
      <c r="O317" t="s">
        <v>41</v>
      </c>
      <c r="P317" s="1">
        <v>2455</v>
      </c>
      <c r="Q317" t="s">
        <v>72</v>
      </c>
      <c r="R317" t="s">
        <v>43</v>
      </c>
      <c r="S317">
        <v>3</v>
      </c>
      <c r="T317">
        <v>9</v>
      </c>
      <c r="U317">
        <v>3</v>
      </c>
      <c r="V317">
        <v>8</v>
      </c>
      <c r="W317">
        <v>7</v>
      </c>
      <c r="X317">
        <v>1</v>
      </c>
      <c r="Y317">
        <v>7</v>
      </c>
      <c r="Z317" t="s">
        <v>1550</v>
      </c>
      <c r="AA317" t="s">
        <v>69</v>
      </c>
      <c r="AB317" t="str" cm="1">
        <f t="array" ref="AB317">_xlfn.IFS(cleaned_data[[#This Row],[YearsAtCompany]]&lt;=5, "0-5",cleaned_data[[#This Row],[YearsAtCompany]]&lt;=10,"6-10",TRUE,"10+")</f>
        <v>6-10</v>
      </c>
    </row>
    <row r="318" spans="1:28" x14ac:dyDescent="0.3">
      <c r="A318" s="2">
        <v>49</v>
      </c>
      <c r="B318" t="s">
        <v>43</v>
      </c>
      <c r="C318">
        <v>0</v>
      </c>
      <c r="D318" t="s">
        <v>36</v>
      </c>
      <c r="E318" t="s">
        <v>45</v>
      </c>
      <c r="F318">
        <v>1</v>
      </c>
      <c r="G318" t="s">
        <v>60</v>
      </c>
      <c r="H318" t="s">
        <v>388</v>
      </c>
      <c r="I318">
        <v>3</v>
      </c>
      <c r="J318" t="s">
        <v>39</v>
      </c>
      <c r="K318">
        <v>2</v>
      </c>
      <c r="L318">
        <v>4</v>
      </c>
      <c r="M318" t="s">
        <v>54</v>
      </c>
      <c r="N318">
        <v>3</v>
      </c>
      <c r="O318" t="s">
        <v>41</v>
      </c>
      <c r="P318" s="1">
        <v>13964</v>
      </c>
      <c r="Q318" t="s">
        <v>90</v>
      </c>
      <c r="R318" t="s">
        <v>35</v>
      </c>
      <c r="S318">
        <v>3</v>
      </c>
      <c r="T318">
        <v>25</v>
      </c>
      <c r="U318">
        <v>3</v>
      </c>
      <c r="V318">
        <v>7</v>
      </c>
      <c r="W318">
        <v>1</v>
      </c>
      <c r="X318">
        <v>0</v>
      </c>
      <c r="Y318">
        <v>7</v>
      </c>
      <c r="Z318" t="s">
        <v>106</v>
      </c>
      <c r="AA318" t="s">
        <v>82</v>
      </c>
      <c r="AB318" t="str" cm="1">
        <f t="array" ref="AB318">_xlfn.IFS(cleaned_data[[#This Row],[YearsAtCompany]]&lt;=5, "0-5",cleaned_data[[#This Row],[YearsAtCompany]]&lt;=10,"6-10",TRUE,"10+")</f>
        <v>6-10</v>
      </c>
    </row>
    <row r="319" spans="1:28" x14ac:dyDescent="0.3">
      <c r="A319" s="2">
        <v>52</v>
      </c>
      <c r="B319" t="s">
        <v>35</v>
      </c>
      <c r="C319">
        <v>1</v>
      </c>
      <c r="D319" t="s">
        <v>36</v>
      </c>
      <c r="E319" t="s">
        <v>45</v>
      </c>
      <c r="F319">
        <v>8</v>
      </c>
      <c r="G319" t="s">
        <v>51</v>
      </c>
      <c r="H319" t="s">
        <v>389</v>
      </c>
      <c r="I319">
        <v>3</v>
      </c>
      <c r="J319" t="s">
        <v>46</v>
      </c>
      <c r="K319">
        <v>2</v>
      </c>
      <c r="L319">
        <v>2</v>
      </c>
      <c r="M319" t="s">
        <v>47</v>
      </c>
      <c r="N319">
        <v>2</v>
      </c>
      <c r="O319" t="s">
        <v>48</v>
      </c>
      <c r="P319" s="1">
        <v>4941</v>
      </c>
      <c r="Q319" t="s">
        <v>72</v>
      </c>
      <c r="R319" t="s">
        <v>43</v>
      </c>
      <c r="S319">
        <v>3</v>
      </c>
      <c r="T319">
        <v>11</v>
      </c>
      <c r="U319">
        <v>2</v>
      </c>
      <c r="V319">
        <v>8</v>
      </c>
      <c r="W319">
        <v>2</v>
      </c>
      <c r="X319">
        <v>7</v>
      </c>
      <c r="Y319">
        <v>7</v>
      </c>
      <c r="Z319" t="s">
        <v>106</v>
      </c>
      <c r="AA319" t="s">
        <v>69</v>
      </c>
      <c r="AB319" t="str" cm="1">
        <f t="array" ref="AB319">_xlfn.IFS(cleaned_data[[#This Row],[YearsAtCompany]]&lt;=5, "0-5",cleaned_data[[#This Row],[YearsAtCompany]]&lt;=10,"6-10",TRUE,"10+")</f>
        <v>6-10</v>
      </c>
    </row>
    <row r="320" spans="1:28" x14ac:dyDescent="0.3">
      <c r="A320" s="2">
        <v>27</v>
      </c>
      <c r="B320" t="s">
        <v>43</v>
      </c>
      <c r="C320">
        <v>0</v>
      </c>
      <c r="D320" t="s">
        <v>36</v>
      </c>
      <c r="E320" t="s">
        <v>45</v>
      </c>
      <c r="F320">
        <v>5</v>
      </c>
      <c r="G320" t="s">
        <v>38</v>
      </c>
      <c r="H320" t="s">
        <v>390</v>
      </c>
      <c r="I320">
        <v>3</v>
      </c>
      <c r="J320" t="s">
        <v>39</v>
      </c>
      <c r="K320">
        <v>3</v>
      </c>
      <c r="L320">
        <v>1</v>
      </c>
      <c r="M320" t="s">
        <v>47</v>
      </c>
      <c r="N320">
        <v>2</v>
      </c>
      <c r="O320" t="s">
        <v>41</v>
      </c>
      <c r="P320" s="1">
        <v>2478</v>
      </c>
      <c r="Q320" t="s">
        <v>72</v>
      </c>
      <c r="R320" t="s">
        <v>35</v>
      </c>
      <c r="S320">
        <v>3</v>
      </c>
      <c r="T320">
        <v>4</v>
      </c>
      <c r="U320">
        <v>2</v>
      </c>
      <c r="V320">
        <v>4</v>
      </c>
      <c r="W320">
        <v>3</v>
      </c>
      <c r="X320">
        <v>1</v>
      </c>
      <c r="Y320">
        <v>2</v>
      </c>
      <c r="Z320" t="s">
        <v>1551</v>
      </c>
      <c r="AA320" t="s">
        <v>78</v>
      </c>
      <c r="AB320" t="str" cm="1">
        <f t="array" ref="AB320">_xlfn.IFS(cleaned_data[[#This Row],[YearsAtCompany]]&lt;=5, "0-5",cleaned_data[[#This Row],[YearsAtCompany]]&lt;=10,"6-10",TRUE,"10+")</f>
        <v>0-5</v>
      </c>
    </row>
    <row r="321" spans="1:28" x14ac:dyDescent="0.3">
      <c r="A321" s="2">
        <v>32</v>
      </c>
      <c r="B321" t="s">
        <v>43</v>
      </c>
      <c r="C321">
        <v>0</v>
      </c>
      <c r="D321" t="s">
        <v>36</v>
      </c>
      <c r="E321" t="s">
        <v>37</v>
      </c>
      <c r="F321">
        <v>8</v>
      </c>
      <c r="G321" t="s">
        <v>60</v>
      </c>
      <c r="H321" t="s">
        <v>391</v>
      </c>
      <c r="I321">
        <v>3</v>
      </c>
      <c r="J321" t="s">
        <v>39</v>
      </c>
      <c r="K321">
        <v>2</v>
      </c>
      <c r="L321">
        <v>2</v>
      </c>
      <c r="M321" t="s">
        <v>40</v>
      </c>
      <c r="N321">
        <v>2</v>
      </c>
      <c r="O321" t="s">
        <v>48</v>
      </c>
      <c r="P321" s="1">
        <v>5228</v>
      </c>
      <c r="Q321" t="s">
        <v>67</v>
      </c>
      <c r="R321" t="s">
        <v>35</v>
      </c>
      <c r="S321">
        <v>3</v>
      </c>
      <c r="T321">
        <v>13</v>
      </c>
      <c r="U321">
        <v>3</v>
      </c>
      <c r="V321">
        <v>13</v>
      </c>
      <c r="W321">
        <v>12</v>
      </c>
      <c r="X321">
        <v>11</v>
      </c>
      <c r="Y321">
        <v>9</v>
      </c>
      <c r="Z321" t="s">
        <v>1551</v>
      </c>
      <c r="AA321" t="s">
        <v>69</v>
      </c>
      <c r="AB321" t="str" cm="1">
        <f t="array" ref="AB321">_xlfn.IFS(cleaned_data[[#This Row],[YearsAtCompany]]&lt;=5, "0-5",cleaned_data[[#This Row],[YearsAtCompany]]&lt;=10,"6-10",TRUE,"10+")</f>
        <v>10+</v>
      </c>
    </row>
    <row r="322" spans="1:28" x14ac:dyDescent="0.3">
      <c r="A322" s="2">
        <v>27</v>
      </c>
      <c r="B322" t="s">
        <v>43</v>
      </c>
      <c r="C322">
        <v>0</v>
      </c>
      <c r="D322" t="s">
        <v>36</v>
      </c>
      <c r="E322" t="s">
        <v>37</v>
      </c>
      <c r="F322">
        <v>2</v>
      </c>
      <c r="G322" t="s">
        <v>38</v>
      </c>
      <c r="H322" t="s">
        <v>392</v>
      </c>
      <c r="I322">
        <v>4</v>
      </c>
      <c r="J322" t="s">
        <v>46</v>
      </c>
      <c r="K322">
        <v>3</v>
      </c>
      <c r="L322">
        <v>2</v>
      </c>
      <c r="M322" t="s">
        <v>40</v>
      </c>
      <c r="N322">
        <v>3</v>
      </c>
      <c r="O322" t="s">
        <v>41</v>
      </c>
      <c r="P322" s="1">
        <v>4478</v>
      </c>
      <c r="Q322" t="s">
        <v>72</v>
      </c>
      <c r="R322" t="s">
        <v>35</v>
      </c>
      <c r="S322">
        <v>3</v>
      </c>
      <c r="T322">
        <v>5</v>
      </c>
      <c r="U322">
        <v>3</v>
      </c>
      <c r="V322">
        <v>5</v>
      </c>
      <c r="W322">
        <v>4</v>
      </c>
      <c r="X322">
        <v>0</v>
      </c>
      <c r="Y322">
        <v>4</v>
      </c>
      <c r="Z322" t="s">
        <v>1551</v>
      </c>
      <c r="AA322" t="s">
        <v>78</v>
      </c>
      <c r="AB322" t="str" cm="1">
        <f t="array" ref="AB322">_xlfn.IFS(cleaned_data[[#This Row],[YearsAtCompany]]&lt;=5, "0-5",cleaned_data[[#This Row],[YearsAtCompany]]&lt;=10,"6-10",TRUE,"10+")</f>
        <v>0-5</v>
      </c>
    </row>
    <row r="323" spans="1:28" x14ac:dyDescent="0.3">
      <c r="A323" s="2">
        <v>31</v>
      </c>
      <c r="B323" t="s">
        <v>43</v>
      </c>
      <c r="C323">
        <v>0</v>
      </c>
      <c r="D323" t="s">
        <v>36</v>
      </c>
      <c r="E323" t="s">
        <v>37</v>
      </c>
      <c r="F323">
        <v>7</v>
      </c>
      <c r="G323" t="s">
        <v>59</v>
      </c>
      <c r="H323" t="s">
        <v>393</v>
      </c>
      <c r="I323">
        <v>4</v>
      </c>
      <c r="J323" t="s">
        <v>46</v>
      </c>
      <c r="K323">
        <v>3</v>
      </c>
      <c r="L323">
        <v>2</v>
      </c>
      <c r="M323" t="s">
        <v>40</v>
      </c>
      <c r="N323">
        <v>4</v>
      </c>
      <c r="O323" t="s">
        <v>52</v>
      </c>
      <c r="P323" s="1">
        <v>7547</v>
      </c>
      <c r="Q323" t="s">
        <v>67</v>
      </c>
      <c r="R323" t="s">
        <v>43</v>
      </c>
      <c r="S323">
        <v>3</v>
      </c>
      <c r="T323">
        <v>13</v>
      </c>
      <c r="U323">
        <v>3</v>
      </c>
      <c r="V323">
        <v>7</v>
      </c>
      <c r="W323">
        <v>7</v>
      </c>
      <c r="X323">
        <v>1</v>
      </c>
      <c r="Y323">
        <v>7</v>
      </c>
      <c r="Z323" t="s">
        <v>1551</v>
      </c>
      <c r="AA323" t="s">
        <v>69</v>
      </c>
      <c r="AB323" t="str" cm="1">
        <f t="array" ref="AB323">_xlfn.IFS(cleaned_data[[#This Row],[YearsAtCompany]]&lt;=5, "0-5",cleaned_data[[#This Row],[YearsAtCompany]]&lt;=10,"6-10",TRUE,"10+")</f>
        <v>6-10</v>
      </c>
    </row>
    <row r="324" spans="1:28" x14ac:dyDescent="0.3">
      <c r="A324" s="2">
        <v>32</v>
      </c>
      <c r="B324" t="s">
        <v>43</v>
      </c>
      <c r="C324">
        <v>0</v>
      </c>
      <c r="D324" t="s">
        <v>36</v>
      </c>
      <c r="E324" t="s">
        <v>45</v>
      </c>
      <c r="F324">
        <v>2</v>
      </c>
      <c r="G324" t="s">
        <v>51</v>
      </c>
      <c r="H324" t="s">
        <v>394</v>
      </c>
      <c r="I324">
        <v>1</v>
      </c>
      <c r="J324" t="s">
        <v>39</v>
      </c>
      <c r="K324">
        <v>4</v>
      </c>
      <c r="L324">
        <v>2</v>
      </c>
      <c r="M324" t="s">
        <v>47</v>
      </c>
      <c r="N324">
        <v>4</v>
      </c>
      <c r="O324" t="s">
        <v>41</v>
      </c>
      <c r="P324" s="1">
        <v>5055</v>
      </c>
      <c r="Q324" t="s">
        <v>67</v>
      </c>
      <c r="R324" t="s">
        <v>43</v>
      </c>
      <c r="S324">
        <v>3</v>
      </c>
      <c r="T324">
        <v>10</v>
      </c>
      <c r="U324">
        <v>2</v>
      </c>
      <c r="V324">
        <v>7</v>
      </c>
      <c r="W324">
        <v>7</v>
      </c>
      <c r="X324">
        <v>0</v>
      </c>
      <c r="Y324">
        <v>7</v>
      </c>
      <c r="Z324" t="s">
        <v>1551</v>
      </c>
      <c r="AA324" t="s">
        <v>69</v>
      </c>
      <c r="AB324" t="str" cm="1">
        <f t="array" ref="AB324">_xlfn.IFS(cleaned_data[[#This Row],[YearsAtCompany]]&lt;=5, "0-5",cleaned_data[[#This Row],[YearsAtCompany]]&lt;=10,"6-10",TRUE,"10+")</f>
        <v>6-10</v>
      </c>
    </row>
    <row r="325" spans="1:28" x14ac:dyDescent="0.3">
      <c r="A325" s="2">
        <v>28</v>
      </c>
      <c r="B325" t="s">
        <v>35</v>
      </c>
      <c r="C325">
        <v>1</v>
      </c>
      <c r="D325" t="s">
        <v>36</v>
      </c>
      <c r="E325" t="s">
        <v>45</v>
      </c>
      <c r="F325">
        <v>2</v>
      </c>
      <c r="G325" t="s">
        <v>51</v>
      </c>
      <c r="H325" t="s">
        <v>395</v>
      </c>
      <c r="I325">
        <v>1</v>
      </c>
      <c r="J325" t="s">
        <v>46</v>
      </c>
      <c r="K325">
        <v>1</v>
      </c>
      <c r="L325">
        <v>1</v>
      </c>
      <c r="M325" t="s">
        <v>47</v>
      </c>
      <c r="N325">
        <v>4</v>
      </c>
      <c r="O325" t="s">
        <v>48</v>
      </c>
      <c r="P325" s="1">
        <v>3464</v>
      </c>
      <c r="Q325" t="s">
        <v>72</v>
      </c>
      <c r="R325" t="s">
        <v>35</v>
      </c>
      <c r="S325">
        <v>3</v>
      </c>
      <c r="T325">
        <v>5</v>
      </c>
      <c r="U325">
        <v>2</v>
      </c>
      <c r="V325">
        <v>3</v>
      </c>
      <c r="W325">
        <v>2</v>
      </c>
      <c r="X325">
        <v>2</v>
      </c>
      <c r="Y325">
        <v>2</v>
      </c>
      <c r="Z325" t="s">
        <v>1551</v>
      </c>
      <c r="AA325" t="s">
        <v>78</v>
      </c>
      <c r="AB325" t="str" cm="1">
        <f t="array" ref="AB325">_xlfn.IFS(cleaned_data[[#This Row],[YearsAtCompany]]&lt;=5, "0-5",cleaned_data[[#This Row],[YearsAtCompany]]&lt;=10,"6-10",TRUE,"10+")</f>
        <v>0-5</v>
      </c>
    </row>
    <row r="326" spans="1:28" x14ac:dyDescent="0.3">
      <c r="A326" s="2">
        <v>30</v>
      </c>
      <c r="B326" t="s">
        <v>43</v>
      </c>
      <c r="C326">
        <v>0</v>
      </c>
      <c r="D326" t="s">
        <v>36</v>
      </c>
      <c r="E326" t="s">
        <v>45</v>
      </c>
      <c r="F326">
        <v>28</v>
      </c>
      <c r="G326" t="s">
        <v>51</v>
      </c>
      <c r="H326" t="s">
        <v>396</v>
      </c>
      <c r="I326">
        <v>4</v>
      </c>
      <c r="J326" t="s">
        <v>39</v>
      </c>
      <c r="K326">
        <v>3</v>
      </c>
      <c r="L326">
        <v>2</v>
      </c>
      <c r="M326" t="s">
        <v>47</v>
      </c>
      <c r="N326">
        <v>4</v>
      </c>
      <c r="O326" t="s">
        <v>48</v>
      </c>
      <c r="P326" s="1">
        <v>5775</v>
      </c>
      <c r="Q326" t="s">
        <v>67</v>
      </c>
      <c r="R326" t="s">
        <v>43</v>
      </c>
      <c r="S326">
        <v>3</v>
      </c>
      <c r="T326">
        <v>11</v>
      </c>
      <c r="U326">
        <v>3</v>
      </c>
      <c r="V326">
        <v>10</v>
      </c>
      <c r="W326">
        <v>8</v>
      </c>
      <c r="X326">
        <v>1</v>
      </c>
      <c r="Y326">
        <v>9</v>
      </c>
      <c r="Z326" t="s">
        <v>1551</v>
      </c>
      <c r="AA326" t="s">
        <v>69</v>
      </c>
      <c r="AB326" t="str" cm="1">
        <f t="array" ref="AB326">_xlfn.IFS(cleaned_data[[#This Row],[YearsAtCompany]]&lt;=5, "0-5",cleaned_data[[#This Row],[YearsAtCompany]]&lt;=10,"6-10",TRUE,"10+")</f>
        <v>6-10</v>
      </c>
    </row>
    <row r="327" spans="1:28" x14ac:dyDescent="0.3">
      <c r="A327" s="2">
        <v>31</v>
      </c>
      <c r="B327" t="s">
        <v>43</v>
      </c>
      <c r="C327">
        <v>0</v>
      </c>
      <c r="D327" t="s">
        <v>44</v>
      </c>
      <c r="E327" t="s">
        <v>45</v>
      </c>
      <c r="F327">
        <v>7</v>
      </c>
      <c r="G327" t="s">
        <v>38</v>
      </c>
      <c r="H327" t="s">
        <v>397</v>
      </c>
      <c r="I327">
        <v>3</v>
      </c>
      <c r="J327" t="s">
        <v>39</v>
      </c>
      <c r="K327">
        <v>2</v>
      </c>
      <c r="L327">
        <v>3</v>
      </c>
      <c r="M327" t="s">
        <v>53</v>
      </c>
      <c r="N327">
        <v>3</v>
      </c>
      <c r="O327" t="s">
        <v>48</v>
      </c>
      <c r="P327" s="1">
        <v>8943</v>
      </c>
      <c r="Q327" t="s">
        <v>67</v>
      </c>
      <c r="R327" t="s">
        <v>43</v>
      </c>
      <c r="S327">
        <v>4</v>
      </c>
      <c r="T327">
        <v>10</v>
      </c>
      <c r="U327">
        <v>3</v>
      </c>
      <c r="V327">
        <v>10</v>
      </c>
      <c r="W327">
        <v>9</v>
      </c>
      <c r="X327">
        <v>8</v>
      </c>
      <c r="Y327">
        <v>9</v>
      </c>
      <c r="Z327" t="s">
        <v>1551</v>
      </c>
      <c r="AA327" t="s">
        <v>69</v>
      </c>
      <c r="AB327" t="str" cm="1">
        <f t="array" ref="AB327">_xlfn.IFS(cleaned_data[[#This Row],[YearsAtCompany]]&lt;=5, "0-5",cleaned_data[[#This Row],[YearsAtCompany]]&lt;=10,"6-10",TRUE,"10+")</f>
        <v>6-10</v>
      </c>
    </row>
    <row r="328" spans="1:28" x14ac:dyDescent="0.3">
      <c r="A328" s="2">
        <v>39</v>
      </c>
      <c r="B328" t="s">
        <v>43</v>
      </c>
      <c r="C328">
        <v>0</v>
      </c>
      <c r="D328" t="s">
        <v>44</v>
      </c>
      <c r="E328" t="s">
        <v>45</v>
      </c>
      <c r="F328">
        <v>7</v>
      </c>
      <c r="G328" t="s">
        <v>51</v>
      </c>
      <c r="H328" t="s">
        <v>398</v>
      </c>
      <c r="I328">
        <v>3</v>
      </c>
      <c r="J328" t="s">
        <v>46</v>
      </c>
      <c r="K328">
        <v>2</v>
      </c>
      <c r="L328">
        <v>5</v>
      </c>
      <c r="M328" t="s">
        <v>56</v>
      </c>
      <c r="N328">
        <v>4</v>
      </c>
      <c r="O328" t="s">
        <v>48</v>
      </c>
      <c r="P328" s="1">
        <v>19272</v>
      </c>
      <c r="Q328" t="s">
        <v>90</v>
      </c>
      <c r="R328" t="s">
        <v>43</v>
      </c>
      <c r="S328">
        <v>3</v>
      </c>
      <c r="T328">
        <v>21</v>
      </c>
      <c r="U328">
        <v>3</v>
      </c>
      <c r="V328">
        <v>21</v>
      </c>
      <c r="W328">
        <v>9</v>
      </c>
      <c r="X328">
        <v>13</v>
      </c>
      <c r="Y328">
        <v>3</v>
      </c>
      <c r="Z328" t="s">
        <v>1550</v>
      </c>
      <c r="AA328" t="s">
        <v>82</v>
      </c>
      <c r="AB328" t="str" cm="1">
        <f t="array" ref="AB328">_xlfn.IFS(cleaned_data[[#This Row],[YearsAtCompany]]&lt;=5, "0-5",cleaned_data[[#This Row],[YearsAtCompany]]&lt;=10,"6-10",TRUE,"10+")</f>
        <v>10+</v>
      </c>
    </row>
    <row r="329" spans="1:28" x14ac:dyDescent="0.3">
      <c r="A329" s="2">
        <v>39</v>
      </c>
      <c r="B329" t="s">
        <v>35</v>
      </c>
      <c r="C329">
        <v>1</v>
      </c>
      <c r="D329" t="s">
        <v>36</v>
      </c>
      <c r="E329" t="s">
        <v>37</v>
      </c>
      <c r="F329">
        <v>3</v>
      </c>
      <c r="G329" t="s">
        <v>51</v>
      </c>
      <c r="H329" t="s">
        <v>399</v>
      </c>
      <c r="I329">
        <v>4</v>
      </c>
      <c r="J329" t="s">
        <v>39</v>
      </c>
      <c r="K329">
        <v>3</v>
      </c>
      <c r="L329">
        <v>2</v>
      </c>
      <c r="M329" t="s">
        <v>40</v>
      </c>
      <c r="N329">
        <v>3</v>
      </c>
      <c r="O329" t="s">
        <v>48</v>
      </c>
      <c r="P329" s="1">
        <v>5238</v>
      </c>
      <c r="Q329" t="s">
        <v>67</v>
      </c>
      <c r="R329" t="s">
        <v>35</v>
      </c>
      <c r="S329">
        <v>3</v>
      </c>
      <c r="T329">
        <v>12</v>
      </c>
      <c r="U329">
        <v>2</v>
      </c>
      <c r="V329">
        <v>1</v>
      </c>
      <c r="W329">
        <v>0</v>
      </c>
      <c r="X329">
        <v>0</v>
      </c>
      <c r="Y329">
        <v>0</v>
      </c>
      <c r="Z329" t="s">
        <v>1550</v>
      </c>
      <c r="AA329" t="s">
        <v>69</v>
      </c>
      <c r="AB329" t="str" cm="1">
        <f t="array" ref="AB329">_xlfn.IFS(cleaned_data[[#This Row],[YearsAtCompany]]&lt;=5, "0-5",cleaned_data[[#This Row],[YearsAtCompany]]&lt;=10,"6-10",TRUE,"10+")</f>
        <v>0-5</v>
      </c>
    </row>
    <row r="330" spans="1:28" x14ac:dyDescent="0.3">
      <c r="A330" s="2">
        <v>33</v>
      </c>
      <c r="B330" t="s">
        <v>43</v>
      </c>
      <c r="C330">
        <v>0</v>
      </c>
      <c r="D330" t="s">
        <v>44</v>
      </c>
      <c r="E330" t="s">
        <v>37</v>
      </c>
      <c r="F330">
        <v>10</v>
      </c>
      <c r="G330" t="s">
        <v>59</v>
      </c>
      <c r="H330" t="s">
        <v>400</v>
      </c>
      <c r="I330">
        <v>2</v>
      </c>
      <c r="J330" t="s">
        <v>46</v>
      </c>
      <c r="K330">
        <v>2</v>
      </c>
      <c r="L330">
        <v>2</v>
      </c>
      <c r="M330" t="s">
        <v>40</v>
      </c>
      <c r="N330">
        <v>4</v>
      </c>
      <c r="O330" t="s">
        <v>41</v>
      </c>
      <c r="P330" s="1">
        <v>4682</v>
      </c>
      <c r="Q330" t="s">
        <v>72</v>
      </c>
      <c r="R330" t="s">
        <v>43</v>
      </c>
      <c r="S330">
        <v>3</v>
      </c>
      <c r="T330">
        <v>9</v>
      </c>
      <c r="U330">
        <v>2</v>
      </c>
      <c r="V330">
        <v>7</v>
      </c>
      <c r="W330">
        <v>7</v>
      </c>
      <c r="X330">
        <v>0</v>
      </c>
      <c r="Y330">
        <v>1</v>
      </c>
      <c r="Z330" t="s">
        <v>1551</v>
      </c>
      <c r="AA330" t="s">
        <v>69</v>
      </c>
      <c r="AB330" t="str" cm="1">
        <f t="array" ref="AB330">_xlfn.IFS(cleaned_data[[#This Row],[YearsAtCompany]]&lt;=5, "0-5",cleaned_data[[#This Row],[YearsAtCompany]]&lt;=10,"6-10",TRUE,"10+")</f>
        <v>6-10</v>
      </c>
    </row>
    <row r="331" spans="1:28" x14ac:dyDescent="0.3">
      <c r="A331" s="2">
        <v>47</v>
      </c>
      <c r="B331" t="s">
        <v>43</v>
      </c>
      <c r="C331">
        <v>0</v>
      </c>
      <c r="D331" t="s">
        <v>36</v>
      </c>
      <c r="E331" t="s">
        <v>45</v>
      </c>
      <c r="F331">
        <v>5</v>
      </c>
      <c r="G331" t="s">
        <v>38</v>
      </c>
      <c r="H331" t="s">
        <v>401</v>
      </c>
      <c r="I331">
        <v>4</v>
      </c>
      <c r="J331" t="s">
        <v>46</v>
      </c>
      <c r="K331">
        <v>3</v>
      </c>
      <c r="L331">
        <v>5</v>
      </c>
      <c r="M331" t="s">
        <v>58</v>
      </c>
      <c r="N331">
        <v>3</v>
      </c>
      <c r="O331" t="s">
        <v>48</v>
      </c>
      <c r="P331" s="1">
        <v>18300</v>
      </c>
      <c r="Q331" t="s">
        <v>90</v>
      </c>
      <c r="R331" t="s">
        <v>43</v>
      </c>
      <c r="S331">
        <v>3</v>
      </c>
      <c r="T331">
        <v>21</v>
      </c>
      <c r="U331">
        <v>3</v>
      </c>
      <c r="V331">
        <v>3</v>
      </c>
      <c r="W331">
        <v>2</v>
      </c>
      <c r="X331">
        <v>1</v>
      </c>
      <c r="Y331">
        <v>1</v>
      </c>
      <c r="Z331" t="s">
        <v>106</v>
      </c>
      <c r="AA331" t="s">
        <v>82</v>
      </c>
      <c r="AB331" t="str" cm="1">
        <f t="array" ref="AB331">_xlfn.IFS(cleaned_data[[#This Row],[YearsAtCompany]]&lt;=5, "0-5",cleaned_data[[#This Row],[YearsAtCompany]]&lt;=10,"6-10",TRUE,"10+")</f>
        <v>0-5</v>
      </c>
    </row>
    <row r="332" spans="1:28" x14ac:dyDescent="0.3">
      <c r="A332" s="2">
        <v>43</v>
      </c>
      <c r="B332" t="s">
        <v>43</v>
      </c>
      <c r="C332">
        <v>0</v>
      </c>
      <c r="D332" t="s">
        <v>44</v>
      </c>
      <c r="E332" t="s">
        <v>45</v>
      </c>
      <c r="F332">
        <v>10</v>
      </c>
      <c r="G332" t="s">
        <v>38</v>
      </c>
      <c r="H332" t="s">
        <v>402</v>
      </c>
      <c r="I332">
        <v>3</v>
      </c>
      <c r="J332" t="s">
        <v>39</v>
      </c>
      <c r="K332">
        <v>2</v>
      </c>
      <c r="L332">
        <v>2</v>
      </c>
      <c r="M332" t="s">
        <v>50</v>
      </c>
      <c r="N332">
        <v>3</v>
      </c>
      <c r="O332" t="s">
        <v>52</v>
      </c>
      <c r="P332" s="1">
        <v>5257</v>
      </c>
      <c r="Q332" t="s">
        <v>67</v>
      </c>
      <c r="R332" t="s">
        <v>43</v>
      </c>
      <c r="S332">
        <v>3</v>
      </c>
      <c r="T332">
        <v>9</v>
      </c>
      <c r="U332">
        <v>4</v>
      </c>
      <c r="V332">
        <v>9</v>
      </c>
      <c r="W332">
        <v>7</v>
      </c>
      <c r="X332">
        <v>0</v>
      </c>
      <c r="Y332">
        <v>0</v>
      </c>
      <c r="Z332" t="s">
        <v>1550</v>
      </c>
      <c r="AA332" t="s">
        <v>69</v>
      </c>
      <c r="AB332" t="str" cm="1">
        <f t="array" ref="AB332">_xlfn.IFS(cleaned_data[[#This Row],[YearsAtCompany]]&lt;=5, "0-5",cleaned_data[[#This Row],[YearsAtCompany]]&lt;=10,"6-10",TRUE,"10+")</f>
        <v>6-10</v>
      </c>
    </row>
    <row r="333" spans="1:28" x14ac:dyDescent="0.3">
      <c r="A333" s="2">
        <v>27</v>
      </c>
      <c r="B333" t="s">
        <v>43</v>
      </c>
      <c r="C333">
        <v>0</v>
      </c>
      <c r="D333" t="s">
        <v>55</v>
      </c>
      <c r="E333" t="s">
        <v>37</v>
      </c>
      <c r="F333">
        <v>1</v>
      </c>
      <c r="G333" t="s">
        <v>59</v>
      </c>
      <c r="H333" t="s">
        <v>403</v>
      </c>
      <c r="I333">
        <v>3</v>
      </c>
      <c r="J333" t="s">
        <v>46</v>
      </c>
      <c r="K333">
        <v>3</v>
      </c>
      <c r="L333">
        <v>2</v>
      </c>
      <c r="M333" t="s">
        <v>40</v>
      </c>
      <c r="N333">
        <v>2</v>
      </c>
      <c r="O333" t="s">
        <v>48</v>
      </c>
      <c r="P333" s="1">
        <v>6349</v>
      </c>
      <c r="Q333" t="s">
        <v>67</v>
      </c>
      <c r="R333" t="s">
        <v>35</v>
      </c>
      <c r="S333">
        <v>3</v>
      </c>
      <c r="T333">
        <v>6</v>
      </c>
      <c r="U333">
        <v>3</v>
      </c>
      <c r="V333">
        <v>5</v>
      </c>
      <c r="W333">
        <v>4</v>
      </c>
      <c r="X333">
        <v>1</v>
      </c>
      <c r="Y333">
        <v>4</v>
      </c>
      <c r="Z333" t="s">
        <v>1551</v>
      </c>
      <c r="AA333" t="s">
        <v>69</v>
      </c>
      <c r="AB333" t="str" cm="1">
        <f t="array" ref="AB333">_xlfn.IFS(cleaned_data[[#This Row],[YearsAtCompany]]&lt;=5, "0-5",cleaned_data[[#This Row],[YearsAtCompany]]&lt;=10,"6-10",TRUE,"10+")</f>
        <v>0-5</v>
      </c>
    </row>
    <row r="334" spans="1:28" x14ac:dyDescent="0.3">
      <c r="A334" s="2">
        <v>54</v>
      </c>
      <c r="B334" t="s">
        <v>43</v>
      </c>
      <c r="C334">
        <v>0</v>
      </c>
      <c r="D334" t="s">
        <v>44</v>
      </c>
      <c r="E334" t="s">
        <v>45</v>
      </c>
      <c r="F334">
        <v>20</v>
      </c>
      <c r="G334" t="s">
        <v>38</v>
      </c>
      <c r="H334" t="s">
        <v>404</v>
      </c>
      <c r="I334">
        <v>4</v>
      </c>
      <c r="J334" t="s">
        <v>39</v>
      </c>
      <c r="K334">
        <v>3</v>
      </c>
      <c r="L334">
        <v>2</v>
      </c>
      <c r="M334" t="s">
        <v>47</v>
      </c>
      <c r="N334">
        <v>3</v>
      </c>
      <c r="O334" t="s">
        <v>41</v>
      </c>
      <c r="P334" s="1">
        <v>4869</v>
      </c>
      <c r="Q334" t="s">
        <v>72</v>
      </c>
      <c r="R334" t="s">
        <v>43</v>
      </c>
      <c r="S334">
        <v>3</v>
      </c>
      <c r="T334">
        <v>20</v>
      </c>
      <c r="U334">
        <v>2</v>
      </c>
      <c r="V334">
        <v>4</v>
      </c>
      <c r="W334">
        <v>3</v>
      </c>
      <c r="X334">
        <v>0</v>
      </c>
      <c r="Y334">
        <v>3</v>
      </c>
      <c r="Z334" t="s">
        <v>106</v>
      </c>
      <c r="AA334" t="s">
        <v>82</v>
      </c>
      <c r="AB334" t="str" cm="1">
        <f t="array" ref="AB334">_xlfn.IFS(cleaned_data[[#This Row],[YearsAtCompany]]&lt;=5, "0-5",cleaned_data[[#This Row],[YearsAtCompany]]&lt;=10,"6-10",TRUE,"10+")</f>
        <v>0-5</v>
      </c>
    </row>
    <row r="335" spans="1:28" x14ac:dyDescent="0.3">
      <c r="A335" s="2">
        <v>43</v>
      </c>
      <c r="B335" t="s">
        <v>43</v>
      </c>
      <c r="C335">
        <v>0</v>
      </c>
      <c r="D335" t="s">
        <v>36</v>
      </c>
      <c r="E335" t="s">
        <v>45</v>
      </c>
      <c r="F335">
        <v>7</v>
      </c>
      <c r="G335" t="s">
        <v>38</v>
      </c>
      <c r="H335" t="s">
        <v>405</v>
      </c>
      <c r="I335">
        <v>3</v>
      </c>
      <c r="J335" t="s">
        <v>39</v>
      </c>
      <c r="K335">
        <v>3</v>
      </c>
      <c r="L335">
        <v>3</v>
      </c>
      <c r="M335" t="s">
        <v>54</v>
      </c>
      <c r="N335">
        <v>1</v>
      </c>
      <c r="O335" t="s">
        <v>48</v>
      </c>
      <c r="P335" s="6">
        <v>9985</v>
      </c>
      <c r="Q335" t="s">
        <v>67</v>
      </c>
      <c r="R335" t="s">
        <v>43</v>
      </c>
      <c r="S335">
        <v>3</v>
      </c>
      <c r="T335">
        <v>10</v>
      </c>
      <c r="U335">
        <v>2</v>
      </c>
      <c r="V335">
        <v>1</v>
      </c>
      <c r="W335">
        <v>0</v>
      </c>
      <c r="X335">
        <v>0</v>
      </c>
      <c r="Y335">
        <v>0</v>
      </c>
      <c r="Z335" t="s">
        <v>1550</v>
      </c>
      <c r="AA335" t="s">
        <v>69</v>
      </c>
      <c r="AB335" t="str" cm="1">
        <f t="array" ref="AB335">_xlfn.IFS(cleaned_data[[#This Row],[YearsAtCompany]]&lt;=5, "0-5",cleaned_data[[#This Row],[YearsAtCompany]]&lt;=10,"6-10",TRUE,"10+")</f>
        <v>0-5</v>
      </c>
    </row>
    <row r="336" spans="1:28" x14ac:dyDescent="0.3">
      <c r="A336" s="2">
        <v>45</v>
      </c>
      <c r="B336" t="s">
        <v>43</v>
      </c>
      <c r="C336">
        <v>0</v>
      </c>
      <c r="D336" t="s">
        <v>36</v>
      </c>
      <c r="E336" t="s">
        <v>45</v>
      </c>
      <c r="F336">
        <v>8</v>
      </c>
      <c r="G336" t="s">
        <v>49</v>
      </c>
      <c r="H336" t="s">
        <v>406</v>
      </c>
      <c r="I336">
        <v>4</v>
      </c>
      <c r="J336" t="s">
        <v>46</v>
      </c>
      <c r="K336">
        <v>3</v>
      </c>
      <c r="L336">
        <v>2</v>
      </c>
      <c r="M336" t="s">
        <v>47</v>
      </c>
      <c r="N336">
        <v>4</v>
      </c>
      <c r="O336" t="s">
        <v>48</v>
      </c>
      <c r="P336" s="1">
        <v>3697</v>
      </c>
      <c r="Q336" t="s">
        <v>72</v>
      </c>
      <c r="R336" t="s">
        <v>43</v>
      </c>
      <c r="S336">
        <v>3</v>
      </c>
      <c r="T336">
        <v>12</v>
      </c>
      <c r="U336">
        <v>3</v>
      </c>
      <c r="V336">
        <v>10</v>
      </c>
      <c r="W336">
        <v>9</v>
      </c>
      <c r="X336">
        <v>9</v>
      </c>
      <c r="Y336">
        <v>8</v>
      </c>
      <c r="Z336" t="s">
        <v>1550</v>
      </c>
      <c r="AA336" t="s">
        <v>69</v>
      </c>
      <c r="AB336" t="str" cm="1">
        <f t="array" ref="AB336">_xlfn.IFS(cleaned_data[[#This Row],[YearsAtCompany]]&lt;=5, "0-5",cleaned_data[[#This Row],[YearsAtCompany]]&lt;=10,"6-10",TRUE,"10+")</f>
        <v>6-10</v>
      </c>
    </row>
    <row r="337" spans="1:28" x14ac:dyDescent="0.3">
      <c r="A337" s="2">
        <v>40</v>
      </c>
      <c r="B337" t="s">
        <v>43</v>
      </c>
      <c r="C337">
        <v>0</v>
      </c>
      <c r="D337" t="s">
        <v>36</v>
      </c>
      <c r="E337" t="s">
        <v>37</v>
      </c>
      <c r="F337">
        <v>1</v>
      </c>
      <c r="G337" t="s">
        <v>51</v>
      </c>
      <c r="H337" t="s">
        <v>407</v>
      </c>
      <c r="I337">
        <v>2</v>
      </c>
      <c r="J337" t="s">
        <v>46</v>
      </c>
      <c r="K337">
        <v>1</v>
      </c>
      <c r="L337">
        <v>2</v>
      </c>
      <c r="M337" t="s">
        <v>40</v>
      </c>
      <c r="N337">
        <v>4</v>
      </c>
      <c r="O337" t="s">
        <v>48</v>
      </c>
      <c r="P337" s="1">
        <v>7457</v>
      </c>
      <c r="Q337" t="s">
        <v>67</v>
      </c>
      <c r="R337" t="s">
        <v>35</v>
      </c>
      <c r="S337">
        <v>4</v>
      </c>
      <c r="T337">
        <v>6</v>
      </c>
      <c r="U337">
        <v>2</v>
      </c>
      <c r="V337">
        <v>4</v>
      </c>
      <c r="W337">
        <v>3</v>
      </c>
      <c r="X337">
        <v>0</v>
      </c>
      <c r="Y337">
        <v>2</v>
      </c>
      <c r="Z337" t="s">
        <v>1550</v>
      </c>
      <c r="AA337" t="s">
        <v>69</v>
      </c>
      <c r="AB337" t="str" cm="1">
        <f t="array" ref="AB337">_xlfn.IFS(cleaned_data[[#This Row],[YearsAtCompany]]&lt;=5, "0-5",cleaned_data[[#This Row],[YearsAtCompany]]&lt;=10,"6-10",TRUE,"10+")</f>
        <v>0-5</v>
      </c>
    </row>
    <row r="338" spans="1:28" x14ac:dyDescent="0.3">
      <c r="A338" s="2">
        <v>29</v>
      </c>
      <c r="B338" t="s">
        <v>35</v>
      </c>
      <c r="C338">
        <v>1</v>
      </c>
      <c r="D338" t="s">
        <v>36</v>
      </c>
      <c r="E338" t="s">
        <v>45</v>
      </c>
      <c r="F338">
        <v>8</v>
      </c>
      <c r="G338" t="s">
        <v>49</v>
      </c>
      <c r="H338" t="s">
        <v>408</v>
      </c>
      <c r="I338">
        <v>2</v>
      </c>
      <c r="J338" t="s">
        <v>46</v>
      </c>
      <c r="K338">
        <v>1</v>
      </c>
      <c r="L338">
        <v>1</v>
      </c>
      <c r="M338" t="s">
        <v>50</v>
      </c>
      <c r="N338">
        <v>1</v>
      </c>
      <c r="O338" t="s">
        <v>48</v>
      </c>
      <c r="P338" s="6">
        <v>2119</v>
      </c>
      <c r="Q338" t="s">
        <v>72</v>
      </c>
      <c r="R338" t="s">
        <v>35</v>
      </c>
      <c r="S338">
        <v>3</v>
      </c>
      <c r="T338">
        <v>7</v>
      </c>
      <c r="U338">
        <v>2</v>
      </c>
      <c r="V338">
        <v>7</v>
      </c>
      <c r="W338">
        <v>7</v>
      </c>
      <c r="X338">
        <v>0</v>
      </c>
      <c r="Y338">
        <v>7</v>
      </c>
      <c r="Z338" t="s">
        <v>1551</v>
      </c>
      <c r="AA338" t="s">
        <v>69</v>
      </c>
      <c r="AB338" t="str" cm="1">
        <f t="array" ref="AB338">_xlfn.IFS(cleaned_data[[#This Row],[YearsAtCompany]]&lt;=5, "0-5",cleaned_data[[#This Row],[YearsAtCompany]]&lt;=10,"6-10",TRUE,"10+")</f>
        <v>6-10</v>
      </c>
    </row>
    <row r="339" spans="1:28" x14ac:dyDescent="0.3">
      <c r="A339" s="2">
        <v>29</v>
      </c>
      <c r="B339" t="s">
        <v>43</v>
      </c>
      <c r="C339">
        <v>0</v>
      </c>
      <c r="D339" t="s">
        <v>36</v>
      </c>
      <c r="E339" t="s">
        <v>45</v>
      </c>
      <c r="F339">
        <v>9</v>
      </c>
      <c r="G339" t="s">
        <v>49</v>
      </c>
      <c r="H339" t="s">
        <v>409</v>
      </c>
      <c r="I339">
        <v>2</v>
      </c>
      <c r="J339" t="s">
        <v>46</v>
      </c>
      <c r="K339">
        <v>2</v>
      </c>
      <c r="L339">
        <v>1</v>
      </c>
      <c r="M339" t="s">
        <v>50</v>
      </c>
      <c r="N339">
        <v>4</v>
      </c>
      <c r="O339" t="s">
        <v>41</v>
      </c>
      <c r="P339" s="1">
        <v>3983</v>
      </c>
      <c r="Q339" t="s">
        <v>72</v>
      </c>
      <c r="R339" t="s">
        <v>43</v>
      </c>
      <c r="S339">
        <v>3</v>
      </c>
      <c r="T339">
        <v>4</v>
      </c>
      <c r="U339">
        <v>3</v>
      </c>
      <c r="V339">
        <v>3</v>
      </c>
      <c r="W339">
        <v>2</v>
      </c>
      <c r="X339">
        <v>2</v>
      </c>
      <c r="Y339">
        <v>2</v>
      </c>
      <c r="Z339" t="s">
        <v>1551</v>
      </c>
      <c r="AA339" t="s">
        <v>78</v>
      </c>
      <c r="AB339" t="str" cm="1">
        <f t="array" ref="AB339">_xlfn.IFS(cleaned_data[[#This Row],[YearsAtCompany]]&lt;=5, "0-5",cleaned_data[[#This Row],[YearsAtCompany]]&lt;=10,"6-10",TRUE,"10+")</f>
        <v>0-5</v>
      </c>
    </row>
    <row r="340" spans="1:28" x14ac:dyDescent="0.3">
      <c r="A340" s="2">
        <v>30</v>
      </c>
      <c r="B340" t="s">
        <v>43</v>
      </c>
      <c r="C340">
        <v>0</v>
      </c>
      <c r="D340" t="s">
        <v>36</v>
      </c>
      <c r="E340" t="s">
        <v>37</v>
      </c>
      <c r="F340">
        <v>5</v>
      </c>
      <c r="G340" t="s">
        <v>59</v>
      </c>
      <c r="H340" t="s">
        <v>410</v>
      </c>
      <c r="I340">
        <v>4</v>
      </c>
      <c r="J340" t="s">
        <v>39</v>
      </c>
      <c r="K340">
        <v>2</v>
      </c>
      <c r="L340">
        <v>2</v>
      </c>
      <c r="M340" t="s">
        <v>40</v>
      </c>
      <c r="N340">
        <v>3</v>
      </c>
      <c r="O340" t="s">
        <v>52</v>
      </c>
      <c r="P340" s="1">
        <v>6118</v>
      </c>
      <c r="Q340" t="s">
        <v>67</v>
      </c>
      <c r="R340" t="s">
        <v>43</v>
      </c>
      <c r="S340">
        <v>3</v>
      </c>
      <c r="T340">
        <v>10</v>
      </c>
      <c r="U340">
        <v>3</v>
      </c>
      <c r="V340">
        <v>10</v>
      </c>
      <c r="W340">
        <v>9</v>
      </c>
      <c r="X340">
        <v>1</v>
      </c>
      <c r="Y340">
        <v>2</v>
      </c>
      <c r="Z340" t="s">
        <v>1551</v>
      </c>
      <c r="AA340" t="s">
        <v>69</v>
      </c>
      <c r="AB340" t="str" cm="1">
        <f t="array" ref="AB340">_xlfn.IFS(cleaned_data[[#This Row],[YearsAtCompany]]&lt;=5, "0-5",cleaned_data[[#This Row],[YearsAtCompany]]&lt;=10,"6-10",TRUE,"10+")</f>
        <v>6-10</v>
      </c>
    </row>
    <row r="341" spans="1:28" x14ac:dyDescent="0.3">
      <c r="A341" s="2">
        <v>27</v>
      </c>
      <c r="B341" t="s">
        <v>43</v>
      </c>
      <c r="C341">
        <v>0</v>
      </c>
      <c r="D341" t="s">
        <v>36</v>
      </c>
      <c r="E341" t="s">
        <v>37</v>
      </c>
      <c r="F341">
        <v>8</v>
      </c>
      <c r="G341" t="s">
        <v>59</v>
      </c>
      <c r="H341" t="s">
        <v>411</v>
      </c>
      <c r="I341">
        <v>2</v>
      </c>
      <c r="J341" t="s">
        <v>39</v>
      </c>
      <c r="K341">
        <v>3</v>
      </c>
      <c r="L341">
        <v>2</v>
      </c>
      <c r="M341" t="s">
        <v>40</v>
      </c>
      <c r="N341">
        <v>2</v>
      </c>
      <c r="O341" t="s">
        <v>48</v>
      </c>
      <c r="P341" s="1">
        <v>6214</v>
      </c>
      <c r="Q341" t="s">
        <v>67</v>
      </c>
      <c r="R341" t="s">
        <v>43</v>
      </c>
      <c r="S341">
        <v>3</v>
      </c>
      <c r="T341">
        <v>8</v>
      </c>
      <c r="U341">
        <v>3</v>
      </c>
      <c r="V341">
        <v>8</v>
      </c>
      <c r="W341">
        <v>7</v>
      </c>
      <c r="X341">
        <v>0</v>
      </c>
      <c r="Y341">
        <v>7</v>
      </c>
      <c r="Z341" t="s">
        <v>1551</v>
      </c>
      <c r="AA341" t="s">
        <v>69</v>
      </c>
      <c r="AB341" t="str" cm="1">
        <f t="array" ref="AB341">_xlfn.IFS(cleaned_data[[#This Row],[YearsAtCompany]]&lt;=5, "0-5",cleaned_data[[#This Row],[YearsAtCompany]]&lt;=10,"6-10",TRUE,"10+")</f>
        <v>6-10</v>
      </c>
    </row>
    <row r="342" spans="1:28" x14ac:dyDescent="0.3">
      <c r="A342" s="2">
        <v>37</v>
      </c>
      <c r="B342" t="s">
        <v>43</v>
      </c>
      <c r="C342">
        <v>0</v>
      </c>
      <c r="D342" t="s">
        <v>36</v>
      </c>
      <c r="E342" t="s">
        <v>45</v>
      </c>
      <c r="F342">
        <v>5</v>
      </c>
      <c r="G342" t="s">
        <v>51</v>
      </c>
      <c r="H342" t="s">
        <v>412</v>
      </c>
      <c r="I342">
        <v>4</v>
      </c>
      <c r="J342" t="s">
        <v>46</v>
      </c>
      <c r="K342">
        <v>3</v>
      </c>
      <c r="L342">
        <v>2</v>
      </c>
      <c r="M342" t="s">
        <v>53</v>
      </c>
      <c r="N342">
        <v>4</v>
      </c>
      <c r="O342" t="s">
        <v>52</v>
      </c>
      <c r="P342" s="1">
        <v>6347</v>
      </c>
      <c r="Q342" t="s">
        <v>67</v>
      </c>
      <c r="R342" t="s">
        <v>43</v>
      </c>
      <c r="S342">
        <v>3</v>
      </c>
      <c r="T342">
        <v>8</v>
      </c>
      <c r="U342">
        <v>2</v>
      </c>
      <c r="V342">
        <v>6</v>
      </c>
      <c r="W342">
        <v>2</v>
      </c>
      <c r="X342">
        <v>0</v>
      </c>
      <c r="Y342">
        <v>4</v>
      </c>
      <c r="Z342" t="s">
        <v>1550</v>
      </c>
      <c r="AA342" t="s">
        <v>69</v>
      </c>
      <c r="AB342" t="str" cm="1">
        <f t="array" ref="AB342">_xlfn.IFS(cleaned_data[[#This Row],[YearsAtCompany]]&lt;=5, "0-5",cleaned_data[[#This Row],[YearsAtCompany]]&lt;=10,"6-10",TRUE,"10+")</f>
        <v>6-10</v>
      </c>
    </row>
    <row r="343" spans="1:28" x14ac:dyDescent="0.3">
      <c r="A343" s="2">
        <v>38</v>
      </c>
      <c r="B343" t="s">
        <v>43</v>
      </c>
      <c r="C343">
        <v>0</v>
      </c>
      <c r="D343" t="s">
        <v>36</v>
      </c>
      <c r="E343" t="s">
        <v>45</v>
      </c>
      <c r="F343">
        <v>15</v>
      </c>
      <c r="G343" t="s">
        <v>38</v>
      </c>
      <c r="H343" t="s">
        <v>413</v>
      </c>
      <c r="I343">
        <v>3</v>
      </c>
      <c r="J343" t="s">
        <v>46</v>
      </c>
      <c r="K343">
        <v>2</v>
      </c>
      <c r="L343">
        <v>3</v>
      </c>
      <c r="M343" t="s">
        <v>58</v>
      </c>
      <c r="N343">
        <v>4</v>
      </c>
      <c r="O343" t="s">
        <v>52</v>
      </c>
      <c r="P343" s="1">
        <v>11510</v>
      </c>
      <c r="Q343" t="s">
        <v>67</v>
      </c>
      <c r="R343" t="s">
        <v>35</v>
      </c>
      <c r="S343">
        <v>3</v>
      </c>
      <c r="T343">
        <v>12</v>
      </c>
      <c r="U343">
        <v>3</v>
      </c>
      <c r="V343">
        <v>11</v>
      </c>
      <c r="W343">
        <v>10</v>
      </c>
      <c r="X343">
        <v>2</v>
      </c>
      <c r="Y343">
        <v>9</v>
      </c>
      <c r="Z343" t="s">
        <v>1550</v>
      </c>
      <c r="AA343" t="s">
        <v>69</v>
      </c>
      <c r="AB343" t="str" cm="1">
        <f t="array" ref="AB343">_xlfn.IFS(cleaned_data[[#This Row],[YearsAtCompany]]&lt;=5, "0-5",cleaned_data[[#This Row],[YearsAtCompany]]&lt;=10,"6-10",TRUE,"10+")</f>
        <v>10+</v>
      </c>
    </row>
    <row r="344" spans="1:28" x14ac:dyDescent="0.3">
      <c r="A344" s="2">
        <v>31</v>
      </c>
      <c r="B344" t="s">
        <v>43</v>
      </c>
      <c r="C344">
        <v>0</v>
      </c>
      <c r="D344" t="s">
        <v>36</v>
      </c>
      <c r="E344" t="s">
        <v>45</v>
      </c>
      <c r="F344">
        <v>7</v>
      </c>
      <c r="G344" t="s">
        <v>51</v>
      </c>
      <c r="H344" t="s">
        <v>414</v>
      </c>
      <c r="I344">
        <v>3</v>
      </c>
      <c r="J344" t="s">
        <v>39</v>
      </c>
      <c r="K344">
        <v>3</v>
      </c>
      <c r="L344">
        <v>3</v>
      </c>
      <c r="M344" t="s">
        <v>53</v>
      </c>
      <c r="N344">
        <v>4</v>
      </c>
      <c r="O344" t="s">
        <v>41</v>
      </c>
      <c r="P344" s="1">
        <v>7143</v>
      </c>
      <c r="Q344" t="s">
        <v>67</v>
      </c>
      <c r="R344" t="s">
        <v>35</v>
      </c>
      <c r="S344">
        <v>3</v>
      </c>
      <c r="T344">
        <v>11</v>
      </c>
      <c r="U344">
        <v>2</v>
      </c>
      <c r="V344">
        <v>11</v>
      </c>
      <c r="W344">
        <v>9</v>
      </c>
      <c r="X344">
        <v>4</v>
      </c>
      <c r="Y344">
        <v>10</v>
      </c>
      <c r="Z344" t="s">
        <v>1551</v>
      </c>
      <c r="AA344" t="s">
        <v>69</v>
      </c>
      <c r="AB344" t="str" cm="1">
        <f t="array" ref="AB344">_xlfn.IFS(cleaned_data[[#This Row],[YearsAtCompany]]&lt;=5, "0-5",cleaned_data[[#This Row],[YearsAtCompany]]&lt;=10,"6-10",TRUE,"10+")</f>
        <v>10+</v>
      </c>
    </row>
    <row r="345" spans="1:28" x14ac:dyDescent="0.3">
      <c r="A345" s="2">
        <v>29</v>
      </c>
      <c r="B345" t="s">
        <v>43</v>
      </c>
      <c r="C345">
        <v>0</v>
      </c>
      <c r="D345" t="s">
        <v>36</v>
      </c>
      <c r="E345" t="s">
        <v>37</v>
      </c>
      <c r="F345">
        <v>10</v>
      </c>
      <c r="G345" t="s">
        <v>59</v>
      </c>
      <c r="H345" t="s">
        <v>415</v>
      </c>
      <c r="I345">
        <v>4</v>
      </c>
      <c r="J345" t="s">
        <v>39</v>
      </c>
      <c r="K345">
        <v>2</v>
      </c>
      <c r="L345">
        <v>2</v>
      </c>
      <c r="M345" t="s">
        <v>40</v>
      </c>
      <c r="N345">
        <v>2</v>
      </c>
      <c r="O345" t="s">
        <v>52</v>
      </c>
      <c r="P345" s="1">
        <v>8268</v>
      </c>
      <c r="Q345" t="s">
        <v>67</v>
      </c>
      <c r="R345" t="s">
        <v>35</v>
      </c>
      <c r="S345">
        <v>3</v>
      </c>
      <c r="T345">
        <v>7</v>
      </c>
      <c r="U345">
        <v>3</v>
      </c>
      <c r="V345">
        <v>7</v>
      </c>
      <c r="W345">
        <v>7</v>
      </c>
      <c r="X345">
        <v>1</v>
      </c>
      <c r="Y345">
        <v>7</v>
      </c>
      <c r="Z345" t="s">
        <v>1551</v>
      </c>
      <c r="AA345" t="s">
        <v>69</v>
      </c>
      <c r="AB345" t="str" cm="1">
        <f t="array" ref="AB345">_xlfn.IFS(cleaned_data[[#This Row],[YearsAtCompany]]&lt;=5, "0-5",cleaned_data[[#This Row],[YearsAtCompany]]&lt;=10,"6-10",TRUE,"10+")</f>
        <v>6-10</v>
      </c>
    </row>
    <row r="346" spans="1:28" x14ac:dyDescent="0.3">
      <c r="A346" s="2">
        <v>35</v>
      </c>
      <c r="B346" t="s">
        <v>43</v>
      </c>
      <c r="C346">
        <v>0</v>
      </c>
      <c r="D346" t="s">
        <v>36</v>
      </c>
      <c r="E346" t="s">
        <v>45</v>
      </c>
      <c r="F346">
        <v>5</v>
      </c>
      <c r="G346" t="s">
        <v>60</v>
      </c>
      <c r="H346" t="s">
        <v>416</v>
      </c>
      <c r="I346">
        <v>3</v>
      </c>
      <c r="J346" t="s">
        <v>46</v>
      </c>
      <c r="K346">
        <v>3</v>
      </c>
      <c r="L346">
        <v>3</v>
      </c>
      <c r="M346" t="s">
        <v>53</v>
      </c>
      <c r="N346">
        <v>2</v>
      </c>
      <c r="O346" t="s">
        <v>41</v>
      </c>
      <c r="P346" s="1">
        <v>8095</v>
      </c>
      <c r="Q346" t="s">
        <v>67</v>
      </c>
      <c r="R346" t="s">
        <v>43</v>
      </c>
      <c r="S346">
        <v>3</v>
      </c>
      <c r="T346">
        <v>17</v>
      </c>
      <c r="U346">
        <v>3</v>
      </c>
      <c r="V346">
        <v>16</v>
      </c>
      <c r="W346">
        <v>6</v>
      </c>
      <c r="X346">
        <v>0</v>
      </c>
      <c r="Y346">
        <v>13</v>
      </c>
      <c r="Z346" t="s">
        <v>1551</v>
      </c>
      <c r="AA346" t="s">
        <v>82</v>
      </c>
      <c r="AB346" t="str" cm="1">
        <f t="array" ref="AB346">_xlfn.IFS(cleaned_data[[#This Row],[YearsAtCompany]]&lt;=5, "0-5",cleaned_data[[#This Row],[YearsAtCompany]]&lt;=10,"6-10",TRUE,"10+")</f>
        <v>10+</v>
      </c>
    </row>
    <row r="347" spans="1:28" x14ac:dyDescent="0.3">
      <c r="A347" s="2">
        <v>23</v>
      </c>
      <c r="B347" t="s">
        <v>43</v>
      </c>
      <c r="C347">
        <v>0</v>
      </c>
      <c r="D347" t="s">
        <v>36</v>
      </c>
      <c r="E347" t="s">
        <v>45</v>
      </c>
      <c r="F347">
        <v>26</v>
      </c>
      <c r="G347" t="s">
        <v>38</v>
      </c>
      <c r="H347" t="s">
        <v>417</v>
      </c>
      <c r="I347">
        <v>3</v>
      </c>
      <c r="J347" t="s">
        <v>46</v>
      </c>
      <c r="K347">
        <v>3</v>
      </c>
      <c r="L347">
        <v>1</v>
      </c>
      <c r="M347" t="s">
        <v>47</v>
      </c>
      <c r="N347">
        <v>4</v>
      </c>
      <c r="O347" t="s">
        <v>52</v>
      </c>
      <c r="P347" s="1">
        <v>2904</v>
      </c>
      <c r="Q347" t="s">
        <v>72</v>
      </c>
      <c r="R347" t="s">
        <v>43</v>
      </c>
      <c r="S347">
        <v>3</v>
      </c>
      <c r="T347">
        <v>4</v>
      </c>
      <c r="U347">
        <v>2</v>
      </c>
      <c r="V347">
        <v>4</v>
      </c>
      <c r="W347">
        <v>2</v>
      </c>
      <c r="X347">
        <v>0</v>
      </c>
      <c r="Y347">
        <v>2</v>
      </c>
      <c r="Z347" t="s">
        <v>68</v>
      </c>
      <c r="AA347" t="s">
        <v>78</v>
      </c>
      <c r="AB347" t="str" cm="1">
        <f t="array" ref="AB347">_xlfn.IFS(cleaned_data[[#This Row],[YearsAtCompany]]&lt;=5, "0-5",cleaned_data[[#This Row],[YearsAtCompany]]&lt;=10,"6-10",TRUE,"10+")</f>
        <v>0-5</v>
      </c>
    </row>
    <row r="348" spans="1:28" x14ac:dyDescent="0.3">
      <c r="A348" s="2">
        <v>41</v>
      </c>
      <c r="B348" t="s">
        <v>43</v>
      </c>
      <c r="C348">
        <v>0</v>
      </c>
      <c r="D348" t="s">
        <v>36</v>
      </c>
      <c r="E348" t="s">
        <v>45</v>
      </c>
      <c r="F348">
        <v>6</v>
      </c>
      <c r="G348" t="s">
        <v>51</v>
      </c>
      <c r="H348" t="s">
        <v>418</v>
      </c>
      <c r="I348">
        <v>4</v>
      </c>
      <c r="J348" t="s">
        <v>46</v>
      </c>
      <c r="K348">
        <v>2</v>
      </c>
      <c r="L348">
        <v>2</v>
      </c>
      <c r="M348" t="s">
        <v>53</v>
      </c>
      <c r="N348">
        <v>2</v>
      </c>
      <c r="O348" t="s">
        <v>41</v>
      </c>
      <c r="P348" s="1">
        <v>6032</v>
      </c>
      <c r="Q348" t="s">
        <v>67</v>
      </c>
      <c r="R348" t="s">
        <v>35</v>
      </c>
      <c r="S348">
        <v>3</v>
      </c>
      <c r="T348">
        <v>8</v>
      </c>
      <c r="U348">
        <v>3</v>
      </c>
      <c r="V348">
        <v>5</v>
      </c>
      <c r="W348">
        <v>4</v>
      </c>
      <c r="X348">
        <v>1</v>
      </c>
      <c r="Y348">
        <v>2</v>
      </c>
      <c r="Z348" t="s">
        <v>1550</v>
      </c>
      <c r="AA348" t="s">
        <v>69</v>
      </c>
      <c r="AB348" t="str" cm="1">
        <f t="array" ref="AB348">_xlfn.IFS(cleaned_data[[#This Row],[YearsAtCompany]]&lt;=5, "0-5",cleaned_data[[#This Row],[YearsAtCompany]]&lt;=10,"6-10",TRUE,"10+")</f>
        <v>0-5</v>
      </c>
    </row>
    <row r="349" spans="1:28" x14ac:dyDescent="0.3">
      <c r="A349" s="2">
        <v>47</v>
      </c>
      <c r="B349" t="s">
        <v>43</v>
      </c>
      <c r="C349">
        <v>0</v>
      </c>
      <c r="D349" t="s">
        <v>44</v>
      </c>
      <c r="E349" t="s">
        <v>37</v>
      </c>
      <c r="F349">
        <v>4</v>
      </c>
      <c r="G349" t="s">
        <v>51</v>
      </c>
      <c r="H349" t="s">
        <v>419</v>
      </c>
      <c r="I349">
        <v>2</v>
      </c>
      <c r="J349" t="s">
        <v>46</v>
      </c>
      <c r="K349">
        <v>3</v>
      </c>
      <c r="L349">
        <v>2</v>
      </c>
      <c r="M349" t="s">
        <v>57</v>
      </c>
      <c r="N349">
        <v>3</v>
      </c>
      <c r="O349" t="s">
        <v>41</v>
      </c>
      <c r="P349" s="1">
        <v>2976</v>
      </c>
      <c r="Q349" t="s">
        <v>72</v>
      </c>
      <c r="R349" t="s">
        <v>43</v>
      </c>
      <c r="S349">
        <v>3</v>
      </c>
      <c r="T349">
        <v>5</v>
      </c>
      <c r="U349">
        <v>3</v>
      </c>
      <c r="V349">
        <v>0</v>
      </c>
      <c r="W349">
        <v>0</v>
      </c>
      <c r="X349">
        <v>0</v>
      </c>
      <c r="Y349">
        <v>0</v>
      </c>
      <c r="Z349" t="s">
        <v>106</v>
      </c>
      <c r="AA349" t="s">
        <v>78</v>
      </c>
      <c r="AB349" t="str" cm="1">
        <f t="array" ref="AB349">_xlfn.IFS(cleaned_data[[#This Row],[YearsAtCompany]]&lt;=5, "0-5",cleaned_data[[#This Row],[YearsAtCompany]]&lt;=10,"6-10",TRUE,"10+")</f>
        <v>0-5</v>
      </c>
    </row>
    <row r="350" spans="1:28" x14ac:dyDescent="0.3">
      <c r="A350" s="2">
        <v>42</v>
      </c>
      <c r="B350" t="s">
        <v>43</v>
      </c>
      <c r="C350">
        <v>0</v>
      </c>
      <c r="D350" t="s">
        <v>36</v>
      </c>
      <c r="E350" t="s">
        <v>45</v>
      </c>
      <c r="F350">
        <v>23</v>
      </c>
      <c r="G350" t="s">
        <v>38</v>
      </c>
      <c r="H350" t="s">
        <v>420</v>
      </c>
      <c r="I350">
        <v>1</v>
      </c>
      <c r="J350" t="s">
        <v>39</v>
      </c>
      <c r="K350">
        <v>3</v>
      </c>
      <c r="L350">
        <v>4</v>
      </c>
      <c r="M350" t="s">
        <v>58</v>
      </c>
      <c r="N350">
        <v>4</v>
      </c>
      <c r="O350" t="s">
        <v>41</v>
      </c>
      <c r="P350" s="1">
        <v>15992</v>
      </c>
      <c r="Q350" t="s">
        <v>90</v>
      </c>
      <c r="R350" t="s">
        <v>43</v>
      </c>
      <c r="S350">
        <v>3</v>
      </c>
      <c r="T350">
        <v>16</v>
      </c>
      <c r="U350">
        <v>3</v>
      </c>
      <c r="V350">
        <v>1</v>
      </c>
      <c r="W350">
        <v>0</v>
      </c>
      <c r="X350">
        <v>0</v>
      </c>
      <c r="Y350">
        <v>0</v>
      </c>
      <c r="Z350" t="s">
        <v>1550</v>
      </c>
      <c r="AA350" t="s">
        <v>82</v>
      </c>
      <c r="AB350" t="str" cm="1">
        <f t="array" ref="AB350">_xlfn.IFS(cleaned_data[[#This Row],[YearsAtCompany]]&lt;=5, "0-5",cleaned_data[[#This Row],[YearsAtCompany]]&lt;=10,"6-10",TRUE,"10+")</f>
        <v>0-5</v>
      </c>
    </row>
    <row r="351" spans="1:28" x14ac:dyDescent="0.3">
      <c r="A351" s="2">
        <v>29</v>
      </c>
      <c r="B351" t="s">
        <v>43</v>
      </c>
      <c r="C351">
        <v>0</v>
      </c>
      <c r="D351" t="s">
        <v>55</v>
      </c>
      <c r="E351" t="s">
        <v>37</v>
      </c>
      <c r="F351">
        <v>2</v>
      </c>
      <c r="G351" t="s">
        <v>38</v>
      </c>
      <c r="H351" t="s">
        <v>421</v>
      </c>
      <c r="I351">
        <v>4</v>
      </c>
      <c r="J351" t="s">
        <v>46</v>
      </c>
      <c r="K351">
        <v>3</v>
      </c>
      <c r="L351">
        <v>2</v>
      </c>
      <c r="M351" t="s">
        <v>40</v>
      </c>
      <c r="N351">
        <v>3</v>
      </c>
      <c r="O351" t="s">
        <v>48</v>
      </c>
      <c r="P351" s="1">
        <v>4649</v>
      </c>
      <c r="Q351" t="s">
        <v>72</v>
      </c>
      <c r="R351" t="s">
        <v>43</v>
      </c>
      <c r="S351">
        <v>3</v>
      </c>
      <c r="T351">
        <v>4</v>
      </c>
      <c r="U351">
        <v>2</v>
      </c>
      <c r="V351">
        <v>4</v>
      </c>
      <c r="W351">
        <v>3</v>
      </c>
      <c r="X351">
        <v>0</v>
      </c>
      <c r="Y351">
        <v>2</v>
      </c>
      <c r="Z351" t="s">
        <v>1551</v>
      </c>
      <c r="AA351" t="s">
        <v>78</v>
      </c>
      <c r="AB351" t="str" cm="1">
        <f t="array" ref="AB351">_xlfn.IFS(cleaned_data[[#This Row],[YearsAtCompany]]&lt;=5, "0-5",cleaned_data[[#This Row],[YearsAtCompany]]&lt;=10,"6-10",TRUE,"10+")</f>
        <v>0-5</v>
      </c>
    </row>
    <row r="352" spans="1:28" x14ac:dyDescent="0.3">
      <c r="A352" s="2">
        <v>42</v>
      </c>
      <c r="B352" t="s">
        <v>43</v>
      </c>
      <c r="C352">
        <v>0</v>
      </c>
      <c r="D352" t="s">
        <v>36</v>
      </c>
      <c r="E352" t="s">
        <v>61</v>
      </c>
      <c r="F352">
        <v>2</v>
      </c>
      <c r="G352" t="s">
        <v>60</v>
      </c>
      <c r="H352" t="s">
        <v>422</v>
      </c>
      <c r="I352">
        <v>3</v>
      </c>
      <c r="J352" t="s">
        <v>46</v>
      </c>
      <c r="K352">
        <v>3</v>
      </c>
      <c r="L352">
        <v>1</v>
      </c>
      <c r="M352" t="s">
        <v>61</v>
      </c>
      <c r="N352">
        <v>3</v>
      </c>
      <c r="O352" t="s">
        <v>52</v>
      </c>
      <c r="P352" s="1">
        <v>2696</v>
      </c>
      <c r="Q352" t="s">
        <v>72</v>
      </c>
      <c r="R352" t="s">
        <v>35</v>
      </c>
      <c r="S352">
        <v>3</v>
      </c>
      <c r="T352">
        <v>4</v>
      </c>
      <c r="U352">
        <v>3</v>
      </c>
      <c r="V352">
        <v>3</v>
      </c>
      <c r="W352">
        <v>2</v>
      </c>
      <c r="X352">
        <v>1</v>
      </c>
      <c r="Y352">
        <v>0</v>
      </c>
      <c r="Z352" t="s">
        <v>1550</v>
      </c>
      <c r="AA352" t="s">
        <v>78</v>
      </c>
      <c r="AB352" t="str" cm="1">
        <f t="array" ref="AB352">_xlfn.IFS(cleaned_data[[#This Row],[YearsAtCompany]]&lt;=5, "0-5",cleaned_data[[#This Row],[YearsAtCompany]]&lt;=10,"6-10",TRUE,"10+")</f>
        <v>0-5</v>
      </c>
    </row>
    <row r="353" spans="1:28" x14ac:dyDescent="0.3">
      <c r="A353" s="2">
        <v>32</v>
      </c>
      <c r="B353" t="s">
        <v>43</v>
      </c>
      <c r="C353">
        <v>0</v>
      </c>
      <c r="D353" t="s">
        <v>36</v>
      </c>
      <c r="E353" t="s">
        <v>45</v>
      </c>
      <c r="F353">
        <v>2</v>
      </c>
      <c r="G353" t="s">
        <v>51</v>
      </c>
      <c r="H353" t="s">
        <v>423</v>
      </c>
      <c r="I353">
        <v>3</v>
      </c>
      <c r="J353" t="s">
        <v>39</v>
      </c>
      <c r="K353">
        <v>3</v>
      </c>
      <c r="L353">
        <v>1</v>
      </c>
      <c r="M353" t="s">
        <v>50</v>
      </c>
      <c r="N353">
        <v>2</v>
      </c>
      <c r="O353" t="s">
        <v>48</v>
      </c>
      <c r="P353" s="1">
        <v>2370</v>
      </c>
      <c r="Q353" t="s">
        <v>72</v>
      </c>
      <c r="R353" t="s">
        <v>43</v>
      </c>
      <c r="S353">
        <v>3</v>
      </c>
      <c r="T353">
        <v>8</v>
      </c>
      <c r="U353">
        <v>3</v>
      </c>
      <c r="V353">
        <v>8</v>
      </c>
      <c r="W353">
        <v>0</v>
      </c>
      <c r="X353">
        <v>0</v>
      </c>
      <c r="Y353">
        <v>7</v>
      </c>
      <c r="Z353" t="s">
        <v>1551</v>
      </c>
      <c r="AA353" t="s">
        <v>69</v>
      </c>
      <c r="AB353" t="str" cm="1">
        <f t="array" ref="AB353">_xlfn.IFS(cleaned_data[[#This Row],[YearsAtCompany]]&lt;=5, "0-5",cleaned_data[[#This Row],[YearsAtCompany]]&lt;=10,"6-10",TRUE,"10+")</f>
        <v>6-10</v>
      </c>
    </row>
    <row r="354" spans="1:28" x14ac:dyDescent="0.3">
      <c r="A354" s="2">
        <v>48</v>
      </c>
      <c r="B354" t="s">
        <v>43</v>
      </c>
      <c r="C354">
        <v>0</v>
      </c>
      <c r="D354" t="s">
        <v>36</v>
      </c>
      <c r="E354" t="s">
        <v>37</v>
      </c>
      <c r="F354">
        <v>29</v>
      </c>
      <c r="G354" t="s">
        <v>51</v>
      </c>
      <c r="H354" t="s">
        <v>424</v>
      </c>
      <c r="I354">
        <v>1</v>
      </c>
      <c r="J354" t="s">
        <v>39</v>
      </c>
      <c r="K354">
        <v>3</v>
      </c>
      <c r="L354">
        <v>3</v>
      </c>
      <c r="M354" t="s">
        <v>56</v>
      </c>
      <c r="N354">
        <v>3</v>
      </c>
      <c r="O354" t="s">
        <v>48</v>
      </c>
      <c r="P354" s="1">
        <v>12504</v>
      </c>
      <c r="Q354" t="s">
        <v>90</v>
      </c>
      <c r="R354" t="s">
        <v>43</v>
      </c>
      <c r="S354">
        <v>4</v>
      </c>
      <c r="T354">
        <v>15</v>
      </c>
      <c r="U354">
        <v>1</v>
      </c>
      <c r="V354">
        <v>0</v>
      </c>
      <c r="W354">
        <v>0</v>
      </c>
      <c r="X354">
        <v>0</v>
      </c>
      <c r="Y354">
        <v>0</v>
      </c>
      <c r="Z354" t="s">
        <v>106</v>
      </c>
      <c r="AA354" t="s">
        <v>69</v>
      </c>
      <c r="AB354" t="str" cm="1">
        <f t="array" ref="AB354">_xlfn.IFS(cleaned_data[[#This Row],[YearsAtCompany]]&lt;=5, "0-5",cleaned_data[[#This Row],[YearsAtCompany]]&lt;=10,"6-10",TRUE,"10+")</f>
        <v>0-5</v>
      </c>
    </row>
    <row r="355" spans="1:28" x14ac:dyDescent="0.3">
      <c r="A355" s="2">
        <v>37</v>
      </c>
      <c r="B355" t="s">
        <v>43</v>
      </c>
      <c r="C355">
        <v>0</v>
      </c>
      <c r="D355" t="s">
        <v>36</v>
      </c>
      <c r="E355" t="s">
        <v>45</v>
      </c>
      <c r="F355">
        <v>6</v>
      </c>
      <c r="G355" t="s">
        <v>51</v>
      </c>
      <c r="H355" t="s">
        <v>425</v>
      </c>
      <c r="I355">
        <v>3</v>
      </c>
      <c r="J355" t="s">
        <v>46</v>
      </c>
      <c r="K355">
        <v>4</v>
      </c>
      <c r="L355">
        <v>2</v>
      </c>
      <c r="M355" t="s">
        <v>47</v>
      </c>
      <c r="N355">
        <v>1</v>
      </c>
      <c r="O355" t="s">
        <v>52</v>
      </c>
      <c r="P355" s="6">
        <v>5974</v>
      </c>
      <c r="Q355" t="s">
        <v>67</v>
      </c>
      <c r="R355" t="s">
        <v>35</v>
      </c>
      <c r="S355">
        <v>3</v>
      </c>
      <c r="T355">
        <v>13</v>
      </c>
      <c r="U355">
        <v>3</v>
      </c>
      <c r="V355">
        <v>7</v>
      </c>
      <c r="W355">
        <v>7</v>
      </c>
      <c r="X355">
        <v>6</v>
      </c>
      <c r="Y355">
        <v>7</v>
      </c>
      <c r="Z355" t="s">
        <v>1550</v>
      </c>
      <c r="AA355" t="s">
        <v>69</v>
      </c>
      <c r="AB355" t="str" cm="1">
        <f t="array" ref="AB355">_xlfn.IFS(cleaned_data[[#This Row],[YearsAtCompany]]&lt;=5, "0-5",cleaned_data[[#This Row],[YearsAtCompany]]&lt;=10,"6-10",TRUE,"10+")</f>
        <v>6-10</v>
      </c>
    </row>
    <row r="356" spans="1:28" x14ac:dyDescent="0.3">
      <c r="A356" s="2">
        <v>30</v>
      </c>
      <c r="B356" t="s">
        <v>43</v>
      </c>
      <c r="C356">
        <v>0</v>
      </c>
      <c r="D356" t="s">
        <v>55</v>
      </c>
      <c r="E356" t="s">
        <v>37</v>
      </c>
      <c r="F356">
        <v>25</v>
      </c>
      <c r="G356" t="s">
        <v>60</v>
      </c>
      <c r="H356" t="s">
        <v>426</v>
      </c>
      <c r="I356">
        <v>4</v>
      </c>
      <c r="J356" t="s">
        <v>39</v>
      </c>
      <c r="K356">
        <v>3</v>
      </c>
      <c r="L356">
        <v>2</v>
      </c>
      <c r="M356" t="s">
        <v>40</v>
      </c>
      <c r="N356">
        <v>3</v>
      </c>
      <c r="O356" t="s">
        <v>48</v>
      </c>
      <c r="P356" s="1">
        <v>4736</v>
      </c>
      <c r="Q356" t="s">
        <v>72</v>
      </c>
      <c r="R356" t="s">
        <v>35</v>
      </c>
      <c r="S356">
        <v>3</v>
      </c>
      <c r="T356">
        <v>4</v>
      </c>
      <c r="U356">
        <v>4</v>
      </c>
      <c r="V356">
        <v>2</v>
      </c>
      <c r="W356">
        <v>2</v>
      </c>
      <c r="X356">
        <v>2</v>
      </c>
      <c r="Y356">
        <v>2</v>
      </c>
      <c r="Z356" t="s">
        <v>1551</v>
      </c>
      <c r="AA356" t="s">
        <v>78</v>
      </c>
      <c r="AB356" t="str" cm="1">
        <f t="array" ref="AB356">_xlfn.IFS(cleaned_data[[#This Row],[YearsAtCompany]]&lt;=5, "0-5",cleaned_data[[#This Row],[YearsAtCompany]]&lt;=10,"6-10",TRUE,"10+")</f>
        <v>0-5</v>
      </c>
    </row>
    <row r="357" spans="1:28" x14ac:dyDescent="0.3">
      <c r="A357" s="2">
        <v>26</v>
      </c>
      <c r="B357" t="s">
        <v>43</v>
      </c>
      <c r="C357">
        <v>0</v>
      </c>
      <c r="D357" t="s">
        <v>36</v>
      </c>
      <c r="E357" t="s">
        <v>37</v>
      </c>
      <c r="F357">
        <v>1</v>
      </c>
      <c r="G357" t="s">
        <v>38</v>
      </c>
      <c r="H357" t="s">
        <v>427</v>
      </c>
      <c r="I357">
        <v>3</v>
      </c>
      <c r="J357" t="s">
        <v>46</v>
      </c>
      <c r="K357">
        <v>3</v>
      </c>
      <c r="L357">
        <v>2</v>
      </c>
      <c r="M357" t="s">
        <v>40</v>
      </c>
      <c r="N357">
        <v>3</v>
      </c>
      <c r="O357" t="s">
        <v>48</v>
      </c>
      <c r="P357" s="1">
        <v>5296</v>
      </c>
      <c r="Q357" t="s">
        <v>67</v>
      </c>
      <c r="R357" t="s">
        <v>43</v>
      </c>
      <c r="S357">
        <v>3</v>
      </c>
      <c r="T357">
        <v>8</v>
      </c>
      <c r="U357">
        <v>3</v>
      </c>
      <c r="V357">
        <v>8</v>
      </c>
      <c r="W357">
        <v>7</v>
      </c>
      <c r="X357">
        <v>7</v>
      </c>
      <c r="Y357">
        <v>7</v>
      </c>
      <c r="Z357" t="s">
        <v>1551</v>
      </c>
      <c r="AA357" t="s">
        <v>69</v>
      </c>
      <c r="AB357" t="str" cm="1">
        <f t="array" ref="AB357">_xlfn.IFS(cleaned_data[[#This Row],[YearsAtCompany]]&lt;=5, "0-5",cleaned_data[[#This Row],[YearsAtCompany]]&lt;=10,"6-10",TRUE,"10+")</f>
        <v>6-10</v>
      </c>
    </row>
    <row r="358" spans="1:28" x14ac:dyDescent="0.3">
      <c r="A358" s="2">
        <v>42</v>
      </c>
      <c r="B358" t="s">
        <v>43</v>
      </c>
      <c r="C358">
        <v>0</v>
      </c>
      <c r="D358" t="s">
        <v>36</v>
      </c>
      <c r="E358" t="s">
        <v>45</v>
      </c>
      <c r="F358">
        <v>2</v>
      </c>
      <c r="G358" t="s">
        <v>49</v>
      </c>
      <c r="H358" t="s">
        <v>428</v>
      </c>
      <c r="I358">
        <v>1</v>
      </c>
      <c r="J358" t="s">
        <v>46</v>
      </c>
      <c r="K358">
        <v>2</v>
      </c>
      <c r="L358">
        <v>2</v>
      </c>
      <c r="M358" t="s">
        <v>54</v>
      </c>
      <c r="N358">
        <v>4</v>
      </c>
      <c r="O358" t="s">
        <v>41</v>
      </c>
      <c r="P358" s="1">
        <v>6781</v>
      </c>
      <c r="Q358" t="s">
        <v>67</v>
      </c>
      <c r="R358" t="s">
        <v>43</v>
      </c>
      <c r="S358">
        <v>4</v>
      </c>
      <c r="T358">
        <v>14</v>
      </c>
      <c r="U358">
        <v>3</v>
      </c>
      <c r="V358">
        <v>1</v>
      </c>
      <c r="W358">
        <v>0</v>
      </c>
      <c r="X358">
        <v>0</v>
      </c>
      <c r="Y358">
        <v>0</v>
      </c>
      <c r="Z358" t="s">
        <v>1550</v>
      </c>
      <c r="AA358" t="s">
        <v>69</v>
      </c>
      <c r="AB358" t="str" cm="1">
        <f t="array" ref="AB358">_xlfn.IFS(cleaned_data[[#This Row],[YearsAtCompany]]&lt;=5, "0-5",cleaned_data[[#This Row],[YearsAtCompany]]&lt;=10,"6-10",TRUE,"10+")</f>
        <v>0-5</v>
      </c>
    </row>
    <row r="359" spans="1:28" x14ac:dyDescent="0.3">
      <c r="A359" s="2">
        <v>21</v>
      </c>
      <c r="B359" t="s">
        <v>35</v>
      </c>
      <c r="C359">
        <v>1</v>
      </c>
      <c r="D359" t="s">
        <v>44</v>
      </c>
      <c r="E359" t="s">
        <v>37</v>
      </c>
      <c r="F359">
        <v>1</v>
      </c>
      <c r="G359" t="s">
        <v>60</v>
      </c>
      <c r="H359" t="s">
        <v>429</v>
      </c>
      <c r="I359">
        <v>1</v>
      </c>
      <c r="J359" t="s">
        <v>39</v>
      </c>
      <c r="K359">
        <v>2</v>
      </c>
      <c r="L359">
        <v>1</v>
      </c>
      <c r="M359" t="s">
        <v>57</v>
      </c>
      <c r="N359">
        <v>2</v>
      </c>
      <c r="O359" t="s">
        <v>41</v>
      </c>
      <c r="P359" s="1">
        <v>2174</v>
      </c>
      <c r="Q359" t="s">
        <v>72</v>
      </c>
      <c r="R359" t="s">
        <v>35</v>
      </c>
      <c r="S359">
        <v>3</v>
      </c>
      <c r="T359">
        <v>3</v>
      </c>
      <c r="U359">
        <v>3</v>
      </c>
      <c r="V359">
        <v>3</v>
      </c>
      <c r="W359">
        <v>2</v>
      </c>
      <c r="X359">
        <v>1</v>
      </c>
      <c r="Y359">
        <v>2</v>
      </c>
      <c r="Z359" t="s">
        <v>68</v>
      </c>
      <c r="AA359" t="s">
        <v>78</v>
      </c>
      <c r="AB359" t="str" cm="1">
        <f t="array" ref="AB359">_xlfn.IFS(cleaned_data[[#This Row],[YearsAtCompany]]&lt;=5, "0-5",cleaned_data[[#This Row],[YearsAtCompany]]&lt;=10,"6-10",TRUE,"10+")</f>
        <v>0-5</v>
      </c>
    </row>
    <row r="360" spans="1:28" x14ac:dyDescent="0.3">
      <c r="A360" s="2">
        <v>36</v>
      </c>
      <c r="B360" t="s">
        <v>43</v>
      </c>
      <c r="C360">
        <v>0</v>
      </c>
      <c r="D360" t="s">
        <v>55</v>
      </c>
      <c r="E360" t="s">
        <v>37</v>
      </c>
      <c r="F360">
        <v>1</v>
      </c>
      <c r="G360" t="s">
        <v>51</v>
      </c>
      <c r="H360" t="s">
        <v>430</v>
      </c>
      <c r="I360">
        <v>4</v>
      </c>
      <c r="J360" t="s">
        <v>39</v>
      </c>
      <c r="K360">
        <v>3</v>
      </c>
      <c r="L360">
        <v>2</v>
      </c>
      <c r="M360" t="s">
        <v>40</v>
      </c>
      <c r="N360">
        <v>4</v>
      </c>
      <c r="O360" t="s">
        <v>41</v>
      </c>
      <c r="P360" s="1">
        <v>6653</v>
      </c>
      <c r="Q360" t="s">
        <v>67</v>
      </c>
      <c r="R360" t="s">
        <v>43</v>
      </c>
      <c r="S360">
        <v>3</v>
      </c>
      <c r="T360">
        <v>7</v>
      </c>
      <c r="U360">
        <v>3</v>
      </c>
      <c r="V360">
        <v>1</v>
      </c>
      <c r="W360">
        <v>0</v>
      </c>
      <c r="X360">
        <v>0</v>
      </c>
      <c r="Y360">
        <v>0</v>
      </c>
      <c r="Z360" t="s">
        <v>1550</v>
      </c>
      <c r="AA360" t="s">
        <v>69</v>
      </c>
      <c r="AB360" t="str" cm="1">
        <f t="array" ref="AB360">_xlfn.IFS(cleaned_data[[#This Row],[YearsAtCompany]]&lt;=5, "0-5",cleaned_data[[#This Row],[YearsAtCompany]]&lt;=10,"6-10",TRUE,"10+")</f>
        <v>0-5</v>
      </c>
    </row>
    <row r="361" spans="1:28" x14ac:dyDescent="0.3">
      <c r="A361" s="2">
        <v>36</v>
      </c>
      <c r="B361" t="s">
        <v>43</v>
      </c>
      <c r="C361">
        <v>0</v>
      </c>
      <c r="D361" t="s">
        <v>44</v>
      </c>
      <c r="E361" t="s">
        <v>37</v>
      </c>
      <c r="F361">
        <v>3</v>
      </c>
      <c r="G361" t="s">
        <v>51</v>
      </c>
      <c r="H361" t="s">
        <v>431</v>
      </c>
      <c r="I361">
        <v>1</v>
      </c>
      <c r="J361" t="s">
        <v>46</v>
      </c>
      <c r="K361">
        <v>2</v>
      </c>
      <c r="L361">
        <v>3</v>
      </c>
      <c r="M361" t="s">
        <v>40</v>
      </c>
      <c r="N361">
        <v>4</v>
      </c>
      <c r="O361" t="s">
        <v>48</v>
      </c>
      <c r="P361" s="1">
        <v>9699</v>
      </c>
      <c r="Q361" t="s">
        <v>67</v>
      </c>
      <c r="R361" t="s">
        <v>43</v>
      </c>
      <c r="S361">
        <v>3</v>
      </c>
      <c r="T361">
        <v>16</v>
      </c>
      <c r="U361">
        <v>3</v>
      </c>
      <c r="V361">
        <v>13</v>
      </c>
      <c r="W361">
        <v>9</v>
      </c>
      <c r="X361">
        <v>1</v>
      </c>
      <c r="Y361">
        <v>12</v>
      </c>
      <c r="Z361" t="s">
        <v>1550</v>
      </c>
      <c r="AA361" t="s">
        <v>82</v>
      </c>
      <c r="AB361" t="str" cm="1">
        <f t="array" ref="AB361">_xlfn.IFS(cleaned_data[[#This Row],[YearsAtCompany]]&lt;=5, "0-5",cleaned_data[[#This Row],[YearsAtCompany]]&lt;=10,"6-10",TRUE,"10+")</f>
        <v>10+</v>
      </c>
    </row>
    <row r="362" spans="1:28" x14ac:dyDescent="0.3">
      <c r="A362" s="2">
        <v>57</v>
      </c>
      <c r="B362" t="s">
        <v>43</v>
      </c>
      <c r="C362">
        <v>0</v>
      </c>
      <c r="D362" t="s">
        <v>36</v>
      </c>
      <c r="E362" t="s">
        <v>45</v>
      </c>
      <c r="F362">
        <v>1</v>
      </c>
      <c r="G362" t="s">
        <v>51</v>
      </c>
      <c r="H362" t="s">
        <v>432</v>
      </c>
      <c r="I362">
        <v>4</v>
      </c>
      <c r="J362" t="s">
        <v>46</v>
      </c>
      <c r="K362">
        <v>3</v>
      </c>
      <c r="L362">
        <v>2</v>
      </c>
      <c r="M362" t="s">
        <v>54</v>
      </c>
      <c r="N362">
        <v>3</v>
      </c>
      <c r="O362" t="s">
        <v>48</v>
      </c>
      <c r="P362" s="1">
        <v>6755</v>
      </c>
      <c r="Q362" t="s">
        <v>67</v>
      </c>
      <c r="R362" t="s">
        <v>43</v>
      </c>
      <c r="S362">
        <v>3</v>
      </c>
      <c r="T362">
        <v>15</v>
      </c>
      <c r="U362">
        <v>3</v>
      </c>
      <c r="V362">
        <v>3</v>
      </c>
      <c r="W362">
        <v>2</v>
      </c>
      <c r="X362">
        <v>1</v>
      </c>
      <c r="Y362">
        <v>2</v>
      </c>
      <c r="Z362" t="s">
        <v>106</v>
      </c>
      <c r="AA362" t="s">
        <v>69</v>
      </c>
      <c r="AB362" t="str" cm="1">
        <f t="array" ref="AB362">_xlfn.IFS(cleaned_data[[#This Row],[YearsAtCompany]]&lt;=5, "0-5",cleaned_data[[#This Row],[YearsAtCompany]]&lt;=10,"6-10",TRUE,"10+")</f>
        <v>0-5</v>
      </c>
    </row>
    <row r="363" spans="1:28" x14ac:dyDescent="0.3">
      <c r="A363" s="2">
        <v>40</v>
      </c>
      <c r="B363" t="s">
        <v>43</v>
      </c>
      <c r="C363">
        <v>0</v>
      </c>
      <c r="D363" t="s">
        <v>36</v>
      </c>
      <c r="E363" t="s">
        <v>45</v>
      </c>
      <c r="F363">
        <v>10</v>
      </c>
      <c r="G363" t="s">
        <v>38</v>
      </c>
      <c r="H363" t="s">
        <v>433</v>
      </c>
      <c r="I363">
        <v>4</v>
      </c>
      <c r="J363" t="s">
        <v>39</v>
      </c>
      <c r="K363">
        <v>4</v>
      </c>
      <c r="L363">
        <v>1</v>
      </c>
      <c r="M363" t="s">
        <v>50</v>
      </c>
      <c r="N363">
        <v>3</v>
      </c>
      <c r="O363" t="s">
        <v>48</v>
      </c>
      <c r="P363" s="1">
        <v>2213</v>
      </c>
      <c r="Q363" t="s">
        <v>72</v>
      </c>
      <c r="R363" t="s">
        <v>35</v>
      </c>
      <c r="S363">
        <v>3</v>
      </c>
      <c r="T363">
        <v>10</v>
      </c>
      <c r="U363">
        <v>3</v>
      </c>
      <c r="V363">
        <v>7</v>
      </c>
      <c r="W363">
        <v>7</v>
      </c>
      <c r="X363">
        <v>1</v>
      </c>
      <c r="Y363">
        <v>7</v>
      </c>
      <c r="Z363" t="s">
        <v>1550</v>
      </c>
      <c r="AA363" t="s">
        <v>69</v>
      </c>
      <c r="AB363" t="str" cm="1">
        <f t="array" ref="AB363">_xlfn.IFS(cleaned_data[[#This Row],[YearsAtCompany]]&lt;=5, "0-5",cleaned_data[[#This Row],[YearsAtCompany]]&lt;=10,"6-10",TRUE,"10+")</f>
        <v>6-10</v>
      </c>
    </row>
    <row r="364" spans="1:28" x14ac:dyDescent="0.3">
      <c r="A364" s="2">
        <v>21</v>
      </c>
      <c r="B364" t="s">
        <v>43</v>
      </c>
      <c r="C364">
        <v>0</v>
      </c>
      <c r="D364" t="s">
        <v>55</v>
      </c>
      <c r="E364" t="s">
        <v>37</v>
      </c>
      <c r="F364">
        <v>9</v>
      </c>
      <c r="G364" t="s">
        <v>51</v>
      </c>
      <c r="H364" t="s">
        <v>434</v>
      </c>
      <c r="I364">
        <v>1</v>
      </c>
      <c r="J364" t="s">
        <v>46</v>
      </c>
      <c r="K364">
        <v>3</v>
      </c>
      <c r="L364">
        <v>1</v>
      </c>
      <c r="M364" t="s">
        <v>57</v>
      </c>
      <c r="N364">
        <v>4</v>
      </c>
      <c r="O364" t="s">
        <v>41</v>
      </c>
      <c r="P364" s="1">
        <v>2610</v>
      </c>
      <c r="Q364" t="s">
        <v>72</v>
      </c>
      <c r="R364" t="s">
        <v>43</v>
      </c>
      <c r="S364">
        <v>4</v>
      </c>
      <c r="T364">
        <v>3</v>
      </c>
      <c r="U364">
        <v>2</v>
      </c>
      <c r="V364">
        <v>3</v>
      </c>
      <c r="W364">
        <v>2</v>
      </c>
      <c r="X364">
        <v>2</v>
      </c>
      <c r="Y364">
        <v>2</v>
      </c>
      <c r="Z364" t="s">
        <v>68</v>
      </c>
      <c r="AA364" t="s">
        <v>78</v>
      </c>
      <c r="AB364" t="str" cm="1">
        <f t="array" ref="AB364">_xlfn.IFS(cleaned_data[[#This Row],[YearsAtCompany]]&lt;=5, "0-5",cleaned_data[[#This Row],[YearsAtCompany]]&lt;=10,"6-10",TRUE,"10+")</f>
        <v>0-5</v>
      </c>
    </row>
    <row r="365" spans="1:28" x14ac:dyDescent="0.3">
      <c r="A365" s="2">
        <v>33</v>
      </c>
      <c r="B365" t="s">
        <v>35</v>
      </c>
      <c r="C365">
        <v>1</v>
      </c>
      <c r="D365" t="s">
        <v>36</v>
      </c>
      <c r="E365" t="s">
        <v>37</v>
      </c>
      <c r="F365">
        <v>5</v>
      </c>
      <c r="G365" t="s">
        <v>59</v>
      </c>
      <c r="H365" t="s">
        <v>435</v>
      </c>
      <c r="I365">
        <v>4</v>
      </c>
      <c r="J365" t="s">
        <v>39</v>
      </c>
      <c r="K365">
        <v>3</v>
      </c>
      <c r="L365">
        <v>1</v>
      </c>
      <c r="M365" t="s">
        <v>57</v>
      </c>
      <c r="N365">
        <v>3</v>
      </c>
      <c r="O365" t="s">
        <v>41</v>
      </c>
      <c r="P365" s="1">
        <v>2851</v>
      </c>
      <c r="Q365" t="s">
        <v>72</v>
      </c>
      <c r="R365" t="s">
        <v>35</v>
      </c>
      <c r="S365">
        <v>3</v>
      </c>
      <c r="T365">
        <v>1</v>
      </c>
      <c r="U365">
        <v>3</v>
      </c>
      <c r="V365">
        <v>1</v>
      </c>
      <c r="W365">
        <v>0</v>
      </c>
      <c r="X365">
        <v>0</v>
      </c>
      <c r="Y365">
        <v>0</v>
      </c>
      <c r="Z365" t="s">
        <v>1551</v>
      </c>
      <c r="AA365" t="s">
        <v>78</v>
      </c>
      <c r="AB365" t="str" cm="1">
        <f t="array" ref="AB365">_xlfn.IFS(cleaned_data[[#This Row],[YearsAtCompany]]&lt;=5, "0-5",cleaned_data[[#This Row],[YearsAtCompany]]&lt;=10,"6-10",TRUE,"10+")</f>
        <v>0-5</v>
      </c>
    </row>
    <row r="366" spans="1:28" x14ac:dyDescent="0.3">
      <c r="A366" s="2">
        <v>37</v>
      </c>
      <c r="B366" t="s">
        <v>43</v>
      </c>
      <c r="C366">
        <v>0</v>
      </c>
      <c r="D366" t="s">
        <v>36</v>
      </c>
      <c r="E366" t="s">
        <v>45</v>
      </c>
      <c r="F366">
        <v>10</v>
      </c>
      <c r="G366" t="s">
        <v>51</v>
      </c>
      <c r="H366" t="s">
        <v>436</v>
      </c>
      <c r="I366">
        <v>3</v>
      </c>
      <c r="J366" t="s">
        <v>39</v>
      </c>
      <c r="K366">
        <v>3</v>
      </c>
      <c r="L366">
        <v>1</v>
      </c>
      <c r="M366" t="s">
        <v>50</v>
      </c>
      <c r="N366">
        <v>1</v>
      </c>
      <c r="O366" t="s">
        <v>48</v>
      </c>
      <c r="P366" s="6">
        <v>3452</v>
      </c>
      <c r="Q366" t="s">
        <v>72</v>
      </c>
      <c r="R366" t="s">
        <v>43</v>
      </c>
      <c r="S366">
        <v>4</v>
      </c>
      <c r="T366">
        <v>17</v>
      </c>
      <c r="U366">
        <v>3</v>
      </c>
      <c r="V366">
        <v>5</v>
      </c>
      <c r="W366">
        <v>4</v>
      </c>
      <c r="X366">
        <v>0</v>
      </c>
      <c r="Y366">
        <v>3</v>
      </c>
      <c r="Z366" t="s">
        <v>1550</v>
      </c>
      <c r="AA366" t="s">
        <v>82</v>
      </c>
      <c r="AB366" t="str" cm="1">
        <f t="array" ref="AB366">_xlfn.IFS(cleaned_data[[#This Row],[YearsAtCompany]]&lt;=5, "0-5",cleaned_data[[#This Row],[YearsAtCompany]]&lt;=10,"6-10",TRUE,"10+")</f>
        <v>0-5</v>
      </c>
    </row>
    <row r="367" spans="1:28" x14ac:dyDescent="0.3">
      <c r="A367" s="2">
        <v>46</v>
      </c>
      <c r="B367" t="s">
        <v>43</v>
      </c>
      <c r="C367">
        <v>0</v>
      </c>
      <c r="D367" t="s">
        <v>55</v>
      </c>
      <c r="E367" t="s">
        <v>45</v>
      </c>
      <c r="F367">
        <v>7</v>
      </c>
      <c r="G367" t="s">
        <v>51</v>
      </c>
      <c r="H367" t="s">
        <v>437</v>
      </c>
      <c r="I367">
        <v>3</v>
      </c>
      <c r="J367" t="s">
        <v>39</v>
      </c>
      <c r="K367">
        <v>3</v>
      </c>
      <c r="L367">
        <v>2</v>
      </c>
      <c r="M367" t="s">
        <v>53</v>
      </c>
      <c r="N367">
        <v>3</v>
      </c>
      <c r="O367" t="s">
        <v>48</v>
      </c>
      <c r="P367" s="1">
        <v>5258</v>
      </c>
      <c r="Q367" t="s">
        <v>67</v>
      </c>
      <c r="R367" t="s">
        <v>43</v>
      </c>
      <c r="S367">
        <v>3</v>
      </c>
      <c r="T367">
        <v>7</v>
      </c>
      <c r="U367">
        <v>4</v>
      </c>
      <c r="V367">
        <v>1</v>
      </c>
      <c r="W367">
        <v>0</v>
      </c>
      <c r="X367">
        <v>0</v>
      </c>
      <c r="Y367">
        <v>0</v>
      </c>
      <c r="Z367" t="s">
        <v>106</v>
      </c>
      <c r="AA367" t="s">
        <v>69</v>
      </c>
      <c r="AB367" t="str" cm="1">
        <f t="array" ref="AB367">_xlfn.IFS(cleaned_data[[#This Row],[YearsAtCompany]]&lt;=5, "0-5",cleaned_data[[#This Row],[YearsAtCompany]]&lt;=10,"6-10",TRUE,"10+")</f>
        <v>0-5</v>
      </c>
    </row>
    <row r="368" spans="1:28" x14ac:dyDescent="0.3">
      <c r="A368" s="2">
        <v>41</v>
      </c>
      <c r="B368" t="s">
        <v>35</v>
      </c>
      <c r="C368">
        <v>1</v>
      </c>
      <c r="D368" t="s">
        <v>44</v>
      </c>
      <c r="E368" t="s">
        <v>37</v>
      </c>
      <c r="F368">
        <v>4</v>
      </c>
      <c r="G368" t="s">
        <v>59</v>
      </c>
      <c r="H368" t="s">
        <v>438</v>
      </c>
      <c r="I368">
        <v>1</v>
      </c>
      <c r="J368" t="s">
        <v>46</v>
      </c>
      <c r="K368">
        <v>3</v>
      </c>
      <c r="L368">
        <v>2</v>
      </c>
      <c r="M368" t="s">
        <v>40</v>
      </c>
      <c r="N368">
        <v>2</v>
      </c>
      <c r="O368" t="s">
        <v>41</v>
      </c>
      <c r="P368" s="1">
        <v>9355</v>
      </c>
      <c r="Q368" t="s">
        <v>67</v>
      </c>
      <c r="R368" t="s">
        <v>43</v>
      </c>
      <c r="S368">
        <v>3</v>
      </c>
      <c r="T368">
        <v>8</v>
      </c>
      <c r="U368">
        <v>3</v>
      </c>
      <c r="V368">
        <v>8</v>
      </c>
      <c r="W368">
        <v>7</v>
      </c>
      <c r="X368">
        <v>7</v>
      </c>
      <c r="Y368">
        <v>7</v>
      </c>
      <c r="Z368" t="s">
        <v>1550</v>
      </c>
      <c r="AA368" t="s">
        <v>69</v>
      </c>
      <c r="AB368" t="str" cm="1">
        <f t="array" ref="AB368">_xlfn.IFS(cleaned_data[[#This Row],[YearsAtCompany]]&lt;=5, "0-5",cleaned_data[[#This Row],[YearsAtCompany]]&lt;=10,"6-10",TRUE,"10+")</f>
        <v>6-10</v>
      </c>
    </row>
    <row r="369" spans="1:28" x14ac:dyDescent="0.3">
      <c r="A369" s="2">
        <v>50</v>
      </c>
      <c r="B369" t="s">
        <v>43</v>
      </c>
      <c r="C369">
        <v>0</v>
      </c>
      <c r="D369" t="s">
        <v>36</v>
      </c>
      <c r="E369" t="s">
        <v>45</v>
      </c>
      <c r="F369">
        <v>10</v>
      </c>
      <c r="G369" t="s">
        <v>60</v>
      </c>
      <c r="H369" t="s">
        <v>439</v>
      </c>
      <c r="I369">
        <v>4</v>
      </c>
      <c r="J369" t="s">
        <v>46</v>
      </c>
      <c r="K369">
        <v>2</v>
      </c>
      <c r="L369">
        <v>3</v>
      </c>
      <c r="M369" t="s">
        <v>54</v>
      </c>
      <c r="N369">
        <v>4</v>
      </c>
      <c r="O369" t="s">
        <v>41</v>
      </c>
      <c r="P369" s="1">
        <v>10496</v>
      </c>
      <c r="Q369" t="s">
        <v>67</v>
      </c>
      <c r="R369" t="s">
        <v>43</v>
      </c>
      <c r="S369">
        <v>3</v>
      </c>
      <c r="T369">
        <v>20</v>
      </c>
      <c r="U369">
        <v>3</v>
      </c>
      <c r="V369">
        <v>4</v>
      </c>
      <c r="W369">
        <v>3</v>
      </c>
      <c r="X369">
        <v>1</v>
      </c>
      <c r="Y369">
        <v>3</v>
      </c>
      <c r="Z369" t="s">
        <v>106</v>
      </c>
      <c r="AA369" t="s">
        <v>82</v>
      </c>
      <c r="AB369" t="str" cm="1">
        <f t="array" ref="AB369">_xlfn.IFS(cleaned_data[[#This Row],[YearsAtCompany]]&lt;=5, "0-5",cleaned_data[[#This Row],[YearsAtCompany]]&lt;=10,"6-10",TRUE,"10+")</f>
        <v>0-5</v>
      </c>
    </row>
    <row r="370" spans="1:28" x14ac:dyDescent="0.3">
      <c r="A370" s="2">
        <v>40</v>
      </c>
      <c r="B370" t="s">
        <v>35</v>
      </c>
      <c r="C370">
        <v>1</v>
      </c>
      <c r="D370" t="s">
        <v>36</v>
      </c>
      <c r="E370" t="s">
        <v>37</v>
      </c>
      <c r="F370">
        <v>22</v>
      </c>
      <c r="G370" t="s">
        <v>59</v>
      </c>
      <c r="H370" t="s">
        <v>440</v>
      </c>
      <c r="I370">
        <v>3</v>
      </c>
      <c r="J370" t="s">
        <v>46</v>
      </c>
      <c r="K370">
        <v>2</v>
      </c>
      <c r="L370">
        <v>2</v>
      </c>
      <c r="M370" t="s">
        <v>40</v>
      </c>
      <c r="N370">
        <v>3</v>
      </c>
      <c r="O370" t="s">
        <v>48</v>
      </c>
      <c r="P370" s="1">
        <v>6380</v>
      </c>
      <c r="Q370" t="s">
        <v>67</v>
      </c>
      <c r="R370" t="s">
        <v>35</v>
      </c>
      <c r="S370">
        <v>3</v>
      </c>
      <c r="T370">
        <v>8</v>
      </c>
      <c r="U370">
        <v>3</v>
      </c>
      <c r="V370">
        <v>6</v>
      </c>
      <c r="W370">
        <v>4</v>
      </c>
      <c r="X370">
        <v>1</v>
      </c>
      <c r="Y370">
        <v>0</v>
      </c>
      <c r="Z370" t="s">
        <v>1550</v>
      </c>
      <c r="AA370" t="s">
        <v>69</v>
      </c>
      <c r="AB370" t="str" cm="1">
        <f t="array" ref="AB370">_xlfn.IFS(cleaned_data[[#This Row],[YearsAtCompany]]&lt;=5, "0-5",cleaned_data[[#This Row],[YearsAtCompany]]&lt;=10,"6-10",TRUE,"10+")</f>
        <v>6-10</v>
      </c>
    </row>
    <row r="371" spans="1:28" x14ac:dyDescent="0.3">
      <c r="A371" s="2">
        <v>31</v>
      </c>
      <c r="B371" t="s">
        <v>43</v>
      </c>
      <c r="C371">
        <v>0</v>
      </c>
      <c r="D371" t="s">
        <v>36</v>
      </c>
      <c r="E371" t="s">
        <v>45</v>
      </c>
      <c r="F371">
        <v>9</v>
      </c>
      <c r="G371" t="s">
        <v>38</v>
      </c>
      <c r="H371" t="s">
        <v>441</v>
      </c>
      <c r="I371">
        <v>3</v>
      </c>
      <c r="J371" t="s">
        <v>46</v>
      </c>
      <c r="K371">
        <v>2</v>
      </c>
      <c r="L371">
        <v>1</v>
      </c>
      <c r="M371" t="s">
        <v>47</v>
      </c>
      <c r="N371">
        <v>2</v>
      </c>
      <c r="O371" t="s">
        <v>41</v>
      </c>
      <c r="P371" s="1">
        <v>2657</v>
      </c>
      <c r="Q371" t="s">
        <v>72</v>
      </c>
      <c r="R371" t="s">
        <v>35</v>
      </c>
      <c r="S371">
        <v>3</v>
      </c>
      <c r="T371">
        <v>3</v>
      </c>
      <c r="U371">
        <v>3</v>
      </c>
      <c r="V371">
        <v>2</v>
      </c>
      <c r="W371">
        <v>2</v>
      </c>
      <c r="X371">
        <v>2</v>
      </c>
      <c r="Y371">
        <v>2</v>
      </c>
      <c r="Z371" t="s">
        <v>1551</v>
      </c>
      <c r="AA371" t="s">
        <v>78</v>
      </c>
      <c r="AB371" t="str" cm="1">
        <f t="array" ref="AB371">_xlfn.IFS(cleaned_data[[#This Row],[YearsAtCompany]]&lt;=5, "0-5",cleaned_data[[#This Row],[YearsAtCompany]]&lt;=10,"6-10",TRUE,"10+")</f>
        <v>0-5</v>
      </c>
    </row>
    <row r="372" spans="1:28" x14ac:dyDescent="0.3">
      <c r="A372" s="2">
        <v>21</v>
      </c>
      <c r="B372" t="s">
        <v>35</v>
      </c>
      <c r="C372">
        <v>1</v>
      </c>
      <c r="D372" t="s">
        <v>36</v>
      </c>
      <c r="E372" t="s">
        <v>37</v>
      </c>
      <c r="F372">
        <v>12</v>
      </c>
      <c r="G372" t="s">
        <v>38</v>
      </c>
      <c r="H372" t="s">
        <v>442</v>
      </c>
      <c r="I372">
        <v>3</v>
      </c>
      <c r="J372" t="s">
        <v>39</v>
      </c>
      <c r="K372">
        <v>4</v>
      </c>
      <c r="L372">
        <v>1</v>
      </c>
      <c r="M372" t="s">
        <v>57</v>
      </c>
      <c r="N372">
        <v>2</v>
      </c>
      <c r="O372" t="s">
        <v>41</v>
      </c>
      <c r="P372" s="1">
        <v>2716</v>
      </c>
      <c r="Q372" t="s">
        <v>72</v>
      </c>
      <c r="R372" t="s">
        <v>43</v>
      </c>
      <c r="S372">
        <v>3</v>
      </c>
      <c r="T372">
        <v>1</v>
      </c>
      <c r="U372">
        <v>3</v>
      </c>
      <c r="V372">
        <v>1</v>
      </c>
      <c r="W372">
        <v>0</v>
      </c>
      <c r="X372">
        <v>0</v>
      </c>
      <c r="Y372">
        <v>0</v>
      </c>
      <c r="Z372" t="s">
        <v>68</v>
      </c>
      <c r="AA372" t="s">
        <v>78</v>
      </c>
      <c r="AB372" t="str" cm="1">
        <f t="array" ref="AB372">_xlfn.IFS(cleaned_data[[#This Row],[YearsAtCompany]]&lt;=5, "0-5",cleaned_data[[#This Row],[YearsAtCompany]]&lt;=10,"6-10",TRUE,"10+")</f>
        <v>0-5</v>
      </c>
    </row>
    <row r="373" spans="1:28" x14ac:dyDescent="0.3">
      <c r="A373" s="2">
        <v>29</v>
      </c>
      <c r="B373" t="s">
        <v>43</v>
      </c>
      <c r="C373">
        <v>0</v>
      </c>
      <c r="D373" t="s">
        <v>36</v>
      </c>
      <c r="E373" t="s">
        <v>45</v>
      </c>
      <c r="F373">
        <v>23</v>
      </c>
      <c r="G373" t="s">
        <v>38</v>
      </c>
      <c r="H373" t="s">
        <v>443</v>
      </c>
      <c r="I373">
        <v>4</v>
      </c>
      <c r="J373" t="s">
        <v>46</v>
      </c>
      <c r="K373">
        <v>3</v>
      </c>
      <c r="L373">
        <v>1</v>
      </c>
      <c r="M373" t="s">
        <v>47</v>
      </c>
      <c r="N373">
        <v>4</v>
      </c>
      <c r="O373" t="s">
        <v>41</v>
      </c>
      <c r="P373" s="1">
        <v>2201</v>
      </c>
      <c r="Q373" t="s">
        <v>72</v>
      </c>
      <c r="R373" t="s">
        <v>43</v>
      </c>
      <c r="S373">
        <v>3</v>
      </c>
      <c r="T373">
        <v>6</v>
      </c>
      <c r="U373">
        <v>3</v>
      </c>
      <c r="V373">
        <v>3</v>
      </c>
      <c r="W373">
        <v>2</v>
      </c>
      <c r="X373">
        <v>1</v>
      </c>
      <c r="Y373">
        <v>2</v>
      </c>
      <c r="Z373" t="s">
        <v>1551</v>
      </c>
      <c r="AA373" t="s">
        <v>69</v>
      </c>
      <c r="AB373" t="str" cm="1">
        <f t="array" ref="AB373">_xlfn.IFS(cleaned_data[[#This Row],[YearsAtCompany]]&lt;=5, "0-5",cleaned_data[[#This Row],[YearsAtCompany]]&lt;=10,"6-10",TRUE,"10+")</f>
        <v>0-5</v>
      </c>
    </row>
    <row r="374" spans="1:28" x14ac:dyDescent="0.3">
      <c r="A374" s="2">
        <v>35</v>
      </c>
      <c r="B374" t="s">
        <v>43</v>
      </c>
      <c r="C374">
        <v>0</v>
      </c>
      <c r="D374" t="s">
        <v>36</v>
      </c>
      <c r="E374" t="s">
        <v>45</v>
      </c>
      <c r="F374">
        <v>9</v>
      </c>
      <c r="G374" t="s">
        <v>38</v>
      </c>
      <c r="H374" t="s">
        <v>444</v>
      </c>
      <c r="I374">
        <v>3</v>
      </c>
      <c r="J374" t="s">
        <v>46</v>
      </c>
      <c r="K374">
        <v>2</v>
      </c>
      <c r="L374">
        <v>2</v>
      </c>
      <c r="M374" t="s">
        <v>54</v>
      </c>
      <c r="N374">
        <v>2</v>
      </c>
      <c r="O374" t="s">
        <v>41</v>
      </c>
      <c r="P374" s="1">
        <v>6540</v>
      </c>
      <c r="Q374" t="s">
        <v>67</v>
      </c>
      <c r="R374" t="s">
        <v>43</v>
      </c>
      <c r="S374">
        <v>3</v>
      </c>
      <c r="T374">
        <v>10</v>
      </c>
      <c r="U374">
        <v>3</v>
      </c>
      <c r="V374">
        <v>1</v>
      </c>
      <c r="W374">
        <v>1</v>
      </c>
      <c r="X374">
        <v>0</v>
      </c>
      <c r="Y374">
        <v>0</v>
      </c>
      <c r="Z374" t="s">
        <v>1551</v>
      </c>
      <c r="AA374" t="s">
        <v>69</v>
      </c>
      <c r="AB374" t="str" cm="1">
        <f t="array" ref="AB374">_xlfn.IFS(cleaned_data[[#This Row],[YearsAtCompany]]&lt;=5, "0-5",cleaned_data[[#This Row],[YearsAtCompany]]&lt;=10,"6-10",TRUE,"10+")</f>
        <v>0-5</v>
      </c>
    </row>
    <row r="375" spans="1:28" x14ac:dyDescent="0.3">
      <c r="A375" s="2">
        <v>27</v>
      </c>
      <c r="B375" t="s">
        <v>43</v>
      </c>
      <c r="C375">
        <v>0</v>
      </c>
      <c r="D375" t="s">
        <v>36</v>
      </c>
      <c r="E375" t="s">
        <v>45</v>
      </c>
      <c r="F375">
        <v>1</v>
      </c>
      <c r="G375" t="s">
        <v>51</v>
      </c>
      <c r="H375" t="s">
        <v>445</v>
      </c>
      <c r="I375">
        <v>4</v>
      </c>
      <c r="J375" t="s">
        <v>46</v>
      </c>
      <c r="K375">
        <v>3</v>
      </c>
      <c r="L375">
        <v>1</v>
      </c>
      <c r="M375" t="s">
        <v>50</v>
      </c>
      <c r="N375">
        <v>2</v>
      </c>
      <c r="O375" t="s">
        <v>52</v>
      </c>
      <c r="P375" s="1">
        <v>3816</v>
      </c>
      <c r="Q375" t="s">
        <v>72</v>
      </c>
      <c r="R375" t="s">
        <v>43</v>
      </c>
      <c r="S375">
        <v>3</v>
      </c>
      <c r="T375">
        <v>5</v>
      </c>
      <c r="U375">
        <v>3</v>
      </c>
      <c r="V375">
        <v>5</v>
      </c>
      <c r="W375">
        <v>2</v>
      </c>
      <c r="X375">
        <v>0</v>
      </c>
      <c r="Y375">
        <v>4</v>
      </c>
      <c r="Z375" t="s">
        <v>1551</v>
      </c>
      <c r="AA375" t="s">
        <v>78</v>
      </c>
      <c r="AB375" t="str" cm="1">
        <f t="array" ref="AB375">_xlfn.IFS(cleaned_data[[#This Row],[YearsAtCompany]]&lt;=5, "0-5",cleaned_data[[#This Row],[YearsAtCompany]]&lt;=10,"6-10",TRUE,"10+")</f>
        <v>0-5</v>
      </c>
    </row>
    <row r="376" spans="1:28" x14ac:dyDescent="0.3">
      <c r="A376" s="2">
        <v>28</v>
      </c>
      <c r="B376" t="s">
        <v>43</v>
      </c>
      <c r="C376">
        <v>0</v>
      </c>
      <c r="D376" t="s">
        <v>36</v>
      </c>
      <c r="E376" t="s">
        <v>37</v>
      </c>
      <c r="F376">
        <v>9</v>
      </c>
      <c r="G376" t="s">
        <v>38</v>
      </c>
      <c r="H376" t="s">
        <v>446</v>
      </c>
      <c r="I376">
        <v>2</v>
      </c>
      <c r="J376" t="s">
        <v>46</v>
      </c>
      <c r="K376">
        <v>3</v>
      </c>
      <c r="L376">
        <v>2</v>
      </c>
      <c r="M376" t="s">
        <v>40</v>
      </c>
      <c r="N376">
        <v>4</v>
      </c>
      <c r="O376" t="s">
        <v>41</v>
      </c>
      <c r="P376" s="1">
        <v>5253</v>
      </c>
      <c r="Q376" t="s">
        <v>67</v>
      </c>
      <c r="R376" t="s">
        <v>43</v>
      </c>
      <c r="S376">
        <v>3</v>
      </c>
      <c r="T376">
        <v>7</v>
      </c>
      <c r="U376">
        <v>3</v>
      </c>
      <c r="V376">
        <v>7</v>
      </c>
      <c r="W376">
        <v>5</v>
      </c>
      <c r="X376">
        <v>0</v>
      </c>
      <c r="Y376">
        <v>7</v>
      </c>
      <c r="Z376" t="s">
        <v>1551</v>
      </c>
      <c r="AA376" t="s">
        <v>69</v>
      </c>
      <c r="AB376" t="str" cm="1">
        <f t="array" ref="AB376">_xlfn.IFS(cleaned_data[[#This Row],[YearsAtCompany]]&lt;=5, "0-5",cleaned_data[[#This Row],[YearsAtCompany]]&lt;=10,"6-10",TRUE,"10+")</f>
        <v>6-10</v>
      </c>
    </row>
    <row r="377" spans="1:28" x14ac:dyDescent="0.3">
      <c r="A377" s="2">
        <v>49</v>
      </c>
      <c r="B377" t="s">
        <v>43</v>
      </c>
      <c r="C377">
        <v>0</v>
      </c>
      <c r="D377" t="s">
        <v>36</v>
      </c>
      <c r="E377" t="s">
        <v>45</v>
      </c>
      <c r="F377">
        <v>7</v>
      </c>
      <c r="G377" t="s">
        <v>49</v>
      </c>
      <c r="H377" t="s">
        <v>447</v>
      </c>
      <c r="I377">
        <v>2</v>
      </c>
      <c r="J377" t="s">
        <v>46</v>
      </c>
      <c r="K377">
        <v>2</v>
      </c>
      <c r="L377">
        <v>3</v>
      </c>
      <c r="M377" t="s">
        <v>54</v>
      </c>
      <c r="N377">
        <v>3</v>
      </c>
      <c r="O377" t="s">
        <v>41</v>
      </c>
      <c r="P377" s="1">
        <v>10965</v>
      </c>
      <c r="Q377" t="s">
        <v>67</v>
      </c>
      <c r="R377" t="s">
        <v>43</v>
      </c>
      <c r="S377">
        <v>4</v>
      </c>
      <c r="T377">
        <v>26</v>
      </c>
      <c r="U377">
        <v>3</v>
      </c>
      <c r="V377">
        <v>5</v>
      </c>
      <c r="W377">
        <v>2</v>
      </c>
      <c r="X377">
        <v>0</v>
      </c>
      <c r="Y377">
        <v>0</v>
      </c>
      <c r="Z377" t="s">
        <v>106</v>
      </c>
      <c r="AA377" t="s">
        <v>82</v>
      </c>
      <c r="AB377" t="str" cm="1">
        <f t="array" ref="AB377">_xlfn.IFS(cleaned_data[[#This Row],[YearsAtCompany]]&lt;=5, "0-5",cleaned_data[[#This Row],[YearsAtCompany]]&lt;=10,"6-10",TRUE,"10+")</f>
        <v>0-5</v>
      </c>
    </row>
    <row r="378" spans="1:28" x14ac:dyDescent="0.3">
      <c r="A378" s="2">
        <v>51</v>
      </c>
      <c r="B378" t="s">
        <v>43</v>
      </c>
      <c r="C378">
        <v>0</v>
      </c>
      <c r="D378" t="s">
        <v>36</v>
      </c>
      <c r="E378" t="s">
        <v>37</v>
      </c>
      <c r="F378">
        <v>14</v>
      </c>
      <c r="G378" t="s">
        <v>38</v>
      </c>
      <c r="H378" t="s">
        <v>448</v>
      </c>
      <c r="I378">
        <v>3</v>
      </c>
      <c r="J378" t="s">
        <v>39</v>
      </c>
      <c r="K378">
        <v>3</v>
      </c>
      <c r="L378">
        <v>2</v>
      </c>
      <c r="M378" t="s">
        <v>40</v>
      </c>
      <c r="N378">
        <v>4</v>
      </c>
      <c r="O378" t="s">
        <v>48</v>
      </c>
      <c r="P378" s="1">
        <v>4936</v>
      </c>
      <c r="Q378" t="s">
        <v>72</v>
      </c>
      <c r="R378" t="s">
        <v>43</v>
      </c>
      <c r="S378">
        <v>3</v>
      </c>
      <c r="T378">
        <v>18</v>
      </c>
      <c r="U378">
        <v>2</v>
      </c>
      <c r="V378">
        <v>7</v>
      </c>
      <c r="W378">
        <v>7</v>
      </c>
      <c r="X378">
        <v>0</v>
      </c>
      <c r="Y378">
        <v>7</v>
      </c>
      <c r="Z378" t="s">
        <v>106</v>
      </c>
      <c r="AA378" t="s">
        <v>82</v>
      </c>
      <c r="AB378" t="str" cm="1">
        <f t="array" ref="AB378">_xlfn.IFS(cleaned_data[[#This Row],[YearsAtCompany]]&lt;=5, "0-5",cleaned_data[[#This Row],[YearsAtCompany]]&lt;=10,"6-10",TRUE,"10+")</f>
        <v>6-10</v>
      </c>
    </row>
    <row r="379" spans="1:28" x14ac:dyDescent="0.3">
      <c r="A379" s="2">
        <v>36</v>
      </c>
      <c r="B379" t="s">
        <v>43</v>
      </c>
      <c r="C379">
        <v>0</v>
      </c>
      <c r="D379" t="s">
        <v>36</v>
      </c>
      <c r="E379" t="s">
        <v>45</v>
      </c>
      <c r="F379">
        <v>2</v>
      </c>
      <c r="G379" t="s">
        <v>38</v>
      </c>
      <c r="H379" t="s">
        <v>449</v>
      </c>
      <c r="I379">
        <v>4</v>
      </c>
      <c r="J379" t="s">
        <v>39</v>
      </c>
      <c r="K379">
        <v>3</v>
      </c>
      <c r="L379">
        <v>1</v>
      </c>
      <c r="M379" t="s">
        <v>47</v>
      </c>
      <c r="N379">
        <v>3</v>
      </c>
      <c r="O379" t="s">
        <v>48</v>
      </c>
      <c r="P379" s="1">
        <v>2543</v>
      </c>
      <c r="Q379" t="s">
        <v>72</v>
      </c>
      <c r="R379" t="s">
        <v>43</v>
      </c>
      <c r="S379">
        <v>3</v>
      </c>
      <c r="T379">
        <v>6</v>
      </c>
      <c r="U379">
        <v>3</v>
      </c>
      <c r="V379">
        <v>2</v>
      </c>
      <c r="W379">
        <v>2</v>
      </c>
      <c r="X379">
        <v>2</v>
      </c>
      <c r="Y379">
        <v>2</v>
      </c>
      <c r="Z379" t="s">
        <v>1550</v>
      </c>
      <c r="AA379" t="s">
        <v>69</v>
      </c>
      <c r="AB379" t="str" cm="1">
        <f t="array" ref="AB379">_xlfn.IFS(cleaned_data[[#This Row],[YearsAtCompany]]&lt;=5, "0-5",cleaned_data[[#This Row],[YearsAtCompany]]&lt;=10,"6-10",TRUE,"10+")</f>
        <v>0-5</v>
      </c>
    </row>
    <row r="380" spans="1:28" x14ac:dyDescent="0.3">
      <c r="A380" s="2">
        <v>34</v>
      </c>
      <c r="B380" t="s">
        <v>35</v>
      </c>
      <c r="C380">
        <v>1</v>
      </c>
      <c r="D380" t="s">
        <v>55</v>
      </c>
      <c r="E380" t="s">
        <v>37</v>
      </c>
      <c r="F380">
        <v>19</v>
      </c>
      <c r="G380" t="s">
        <v>59</v>
      </c>
      <c r="H380" t="s">
        <v>450</v>
      </c>
      <c r="I380">
        <v>1</v>
      </c>
      <c r="J380" t="s">
        <v>46</v>
      </c>
      <c r="K380">
        <v>4</v>
      </c>
      <c r="L380">
        <v>2</v>
      </c>
      <c r="M380" t="s">
        <v>40</v>
      </c>
      <c r="N380">
        <v>4</v>
      </c>
      <c r="O380" t="s">
        <v>41</v>
      </c>
      <c r="P380" s="1">
        <v>5304</v>
      </c>
      <c r="Q380" t="s">
        <v>67</v>
      </c>
      <c r="R380" t="s">
        <v>35</v>
      </c>
      <c r="S380">
        <v>3</v>
      </c>
      <c r="T380">
        <v>9</v>
      </c>
      <c r="U380">
        <v>2</v>
      </c>
      <c r="V380">
        <v>5</v>
      </c>
      <c r="W380">
        <v>2</v>
      </c>
      <c r="X380">
        <v>0</v>
      </c>
      <c r="Y380">
        <v>4</v>
      </c>
      <c r="Z380" t="s">
        <v>1551</v>
      </c>
      <c r="AA380" t="s">
        <v>69</v>
      </c>
      <c r="AB380" t="str" cm="1">
        <f t="array" ref="AB380">_xlfn.IFS(cleaned_data[[#This Row],[YearsAtCompany]]&lt;=5, "0-5",cleaned_data[[#This Row],[YearsAtCompany]]&lt;=10,"6-10",TRUE,"10+")</f>
        <v>0-5</v>
      </c>
    </row>
    <row r="381" spans="1:28" x14ac:dyDescent="0.3">
      <c r="A381" s="2">
        <v>55</v>
      </c>
      <c r="B381" t="s">
        <v>43</v>
      </c>
      <c r="C381">
        <v>0</v>
      </c>
      <c r="D381" t="s">
        <v>36</v>
      </c>
      <c r="E381" t="s">
        <v>45</v>
      </c>
      <c r="F381">
        <v>2</v>
      </c>
      <c r="G381" t="s">
        <v>38</v>
      </c>
      <c r="H381" t="s">
        <v>451</v>
      </c>
      <c r="I381">
        <v>3</v>
      </c>
      <c r="J381" t="s">
        <v>39</v>
      </c>
      <c r="K381">
        <v>3</v>
      </c>
      <c r="L381">
        <v>4</v>
      </c>
      <c r="M381" t="s">
        <v>56</v>
      </c>
      <c r="N381">
        <v>4</v>
      </c>
      <c r="O381" t="s">
        <v>41</v>
      </c>
      <c r="P381" s="1">
        <v>16659</v>
      </c>
      <c r="Q381" t="s">
        <v>90</v>
      </c>
      <c r="R381" t="s">
        <v>35</v>
      </c>
      <c r="S381">
        <v>3</v>
      </c>
      <c r="T381">
        <v>30</v>
      </c>
      <c r="U381">
        <v>3</v>
      </c>
      <c r="V381">
        <v>5</v>
      </c>
      <c r="W381">
        <v>4</v>
      </c>
      <c r="X381">
        <v>1</v>
      </c>
      <c r="Y381">
        <v>2</v>
      </c>
      <c r="Z381" t="s">
        <v>106</v>
      </c>
      <c r="AA381" t="s">
        <v>82</v>
      </c>
      <c r="AB381" t="str" cm="1">
        <f t="array" ref="AB381">_xlfn.IFS(cleaned_data[[#This Row],[YearsAtCompany]]&lt;=5, "0-5",cleaned_data[[#This Row],[YearsAtCompany]]&lt;=10,"6-10",TRUE,"10+")</f>
        <v>0-5</v>
      </c>
    </row>
    <row r="382" spans="1:28" x14ac:dyDescent="0.3">
      <c r="A382" s="2">
        <v>24</v>
      </c>
      <c r="B382" t="s">
        <v>43</v>
      </c>
      <c r="C382">
        <v>0</v>
      </c>
      <c r="D382" t="s">
        <v>36</v>
      </c>
      <c r="E382" t="s">
        <v>37</v>
      </c>
      <c r="F382">
        <v>10</v>
      </c>
      <c r="G382" t="s">
        <v>59</v>
      </c>
      <c r="H382" t="s">
        <v>452</v>
      </c>
      <c r="I382">
        <v>4</v>
      </c>
      <c r="J382" t="s">
        <v>39</v>
      </c>
      <c r="K382">
        <v>3</v>
      </c>
      <c r="L382">
        <v>2</v>
      </c>
      <c r="M382" t="s">
        <v>40</v>
      </c>
      <c r="N382">
        <v>3</v>
      </c>
      <c r="O382" t="s">
        <v>52</v>
      </c>
      <c r="P382" s="1">
        <v>4260</v>
      </c>
      <c r="Q382" t="s">
        <v>72</v>
      </c>
      <c r="R382" t="s">
        <v>35</v>
      </c>
      <c r="S382">
        <v>3</v>
      </c>
      <c r="T382">
        <v>5</v>
      </c>
      <c r="U382">
        <v>4</v>
      </c>
      <c r="V382">
        <v>5</v>
      </c>
      <c r="W382">
        <v>2</v>
      </c>
      <c r="X382">
        <v>0</v>
      </c>
      <c r="Y382">
        <v>3</v>
      </c>
      <c r="Z382" t="s">
        <v>68</v>
      </c>
      <c r="AA382" t="s">
        <v>78</v>
      </c>
      <c r="AB382" t="str" cm="1">
        <f t="array" ref="AB382">_xlfn.IFS(cleaned_data[[#This Row],[YearsAtCompany]]&lt;=5, "0-5",cleaned_data[[#This Row],[YearsAtCompany]]&lt;=10,"6-10",TRUE,"10+")</f>
        <v>0-5</v>
      </c>
    </row>
    <row r="383" spans="1:28" x14ac:dyDescent="0.3">
      <c r="A383" s="2">
        <v>30</v>
      </c>
      <c r="B383" t="s">
        <v>43</v>
      </c>
      <c r="C383">
        <v>0</v>
      </c>
      <c r="D383" t="s">
        <v>36</v>
      </c>
      <c r="E383" t="s">
        <v>37</v>
      </c>
      <c r="F383">
        <v>2</v>
      </c>
      <c r="G383" t="s">
        <v>60</v>
      </c>
      <c r="H383" t="s">
        <v>453</v>
      </c>
      <c r="I383">
        <v>3</v>
      </c>
      <c r="J383" t="s">
        <v>46</v>
      </c>
      <c r="K383">
        <v>3</v>
      </c>
      <c r="L383">
        <v>1</v>
      </c>
      <c r="M383" t="s">
        <v>57</v>
      </c>
      <c r="N383">
        <v>2</v>
      </c>
      <c r="O383" t="s">
        <v>48</v>
      </c>
      <c r="P383" s="1">
        <v>2476</v>
      </c>
      <c r="Q383" t="s">
        <v>72</v>
      </c>
      <c r="R383" t="s">
        <v>43</v>
      </c>
      <c r="S383">
        <v>3</v>
      </c>
      <c r="T383">
        <v>1</v>
      </c>
      <c r="U383">
        <v>3</v>
      </c>
      <c r="V383">
        <v>1</v>
      </c>
      <c r="W383">
        <v>0</v>
      </c>
      <c r="X383">
        <v>0</v>
      </c>
      <c r="Y383">
        <v>0</v>
      </c>
      <c r="Z383" t="s">
        <v>1551</v>
      </c>
      <c r="AA383" t="s">
        <v>78</v>
      </c>
      <c r="AB383" t="str" cm="1">
        <f t="array" ref="AB383">_xlfn.IFS(cleaned_data[[#This Row],[YearsAtCompany]]&lt;=5, "0-5",cleaned_data[[#This Row],[YearsAtCompany]]&lt;=10,"6-10",TRUE,"10+")</f>
        <v>0-5</v>
      </c>
    </row>
    <row r="384" spans="1:28" x14ac:dyDescent="0.3">
      <c r="A384" s="2">
        <v>26</v>
      </c>
      <c r="B384" t="s">
        <v>35</v>
      </c>
      <c r="C384">
        <v>1</v>
      </c>
      <c r="D384" t="s">
        <v>44</v>
      </c>
      <c r="E384" t="s">
        <v>45</v>
      </c>
      <c r="F384">
        <v>3</v>
      </c>
      <c r="G384" t="s">
        <v>60</v>
      </c>
      <c r="H384" t="s">
        <v>454</v>
      </c>
      <c r="I384">
        <v>3</v>
      </c>
      <c r="J384" t="s">
        <v>46</v>
      </c>
      <c r="K384">
        <v>3</v>
      </c>
      <c r="L384">
        <v>1</v>
      </c>
      <c r="M384" t="s">
        <v>47</v>
      </c>
      <c r="N384">
        <v>1</v>
      </c>
      <c r="O384" t="s">
        <v>41</v>
      </c>
      <c r="P384" s="6">
        <v>3102</v>
      </c>
      <c r="Q384" t="s">
        <v>72</v>
      </c>
      <c r="R384" t="s">
        <v>43</v>
      </c>
      <c r="S384">
        <v>4</v>
      </c>
      <c r="T384">
        <v>7</v>
      </c>
      <c r="U384">
        <v>3</v>
      </c>
      <c r="V384">
        <v>6</v>
      </c>
      <c r="W384">
        <v>4</v>
      </c>
      <c r="X384">
        <v>0</v>
      </c>
      <c r="Y384">
        <v>4</v>
      </c>
      <c r="Z384" t="s">
        <v>1551</v>
      </c>
      <c r="AA384" t="s">
        <v>69</v>
      </c>
      <c r="AB384" t="str" cm="1">
        <f t="array" ref="AB384">_xlfn.IFS(cleaned_data[[#This Row],[YearsAtCompany]]&lt;=5, "0-5",cleaned_data[[#This Row],[YearsAtCompany]]&lt;=10,"6-10",TRUE,"10+")</f>
        <v>6-10</v>
      </c>
    </row>
    <row r="385" spans="1:28" x14ac:dyDescent="0.3">
      <c r="A385" s="2">
        <v>22</v>
      </c>
      <c r="B385" t="s">
        <v>43</v>
      </c>
      <c r="C385">
        <v>0</v>
      </c>
      <c r="D385" t="s">
        <v>36</v>
      </c>
      <c r="E385" t="s">
        <v>45</v>
      </c>
      <c r="F385">
        <v>11</v>
      </c>
      <c r="G385" t="s">
        <v>51</v>
      </c>
      <c r="H385" t="s">
        <v>455</v>
      </c>
      <c r="I385">
        <v>1</v>
      </c>
      <c r="J385" t="s">
        <v>39</v>
      </c>
      <c r="K385">
        <v>3</v>
      </c>
      <c r="L385">
        <v>1</v>
      </c>
      <c r="M385" t="s">
        <v>47</v>
      </c>
      <c r="N385">
        <v>2</v>
      </c>
      <c r="O385" t="s">
        <v>48</v>
      </c>
      <c r="P385" s="1">
        <v>2244</v>
      </c>
      <c r="Q385" t="s">
        <v>72</v>
      </c>
      <c r="R385" t="s">
        <v>43</v>
      </c>
      <c r="S385">
        <v>3</v>
      </c>
      <c r="T385">
        <v>2</v>
      </c>
      <c r="U385">
        <v>3</v>
      </c>
      <c r="V385">
        <v>2</v>
      </c>
      <c r="W385">
        <v>1</v>
      </c>
      <c r="X385">
        <v>1</v>
      </c>
      <c r="Y385">
        <v>2</v>
      </c>
      <c r="Z385" t="s">
        <v>68</v>
      </c>
      <c r="AA385" t="s">
        <v>78</v>
      </c>
      <c r="AB385" t="str" cm="1">
        <f t="array" ref="AB385">_xlfn.IFS(cleaned_data[[#This Row],[YearsAtCompany]]&lt;=5, "0-5",cleaned_data[[#This Row],[YearsAtCompany]]&lt;=10,"6-10",TRUE,"10+")</f>
        <v>0-5</v>
      </c>
    </row>
    <row r="386" spans="1:28" x14ac:dyDescent="0.3">
      <c r="A386" s="2">
        <v>36</v>
      </c>
      <c r="B386" t="s">
        <v>43</v>
      </c>
      <c r="C386">
        <v>0</v>
      </c>
      <c r="D386" t="s">
        <v>36</v>
      </c>
      <c r="E386" t="s">
        <v>37</v>
      </c>
      <c r="F386">
        <v>2</v>
      </c>
      <c r="G386" t="s">
        <v>51</v>
      </c>
      <c r="H386" t="s">
        <v>456</v>
      </c>
      <c r="I386">
        <v>2</v>
      </c>
      <c r="J386" t="s">
        <v>46</v>
      </c>
      <c r="K386">
        <v>2</v>
      </c>
      <c r="L386">
        <v>3</v>
      </c>
      <c r="M386" t="s">
        <v>40</v>
      </c>
      <c r="N386">
        <v>3</v>
      </c>
      <c r="O386" t="s">
        <v>48</v>
      </c>
      <c r="P386" s="1">
        <v>7596</v>
      </c>
      <c r="Q386" t="s">
        <v>67</v>
      </c>
      <c r="R386" t="s">
        <v>43</v>
      </c>
      <c r="S386">
        <v>3</v>
      </c>
      <c r="T386">
        <v>10</v>
      </c>
      <c r="U386">
        <v>3</v>
      </c>
      <c r="V386">
        <v>10</v>
      </c>
      <c r="W386">
        <v>9</v>
      </c>
      <c r="X386">
        <v>9</v>
      </c>
      <c r="Y386">
        <v>0</v>
      </c>
      <c r="Z386" t="s">
        <v>1550</v>
      </c>
      <c r="AA386" t="s">
        <v>69</v>
      </c>
      <c r="AB386" t="str" cm="1">
        <f t="array" ref="AB386">_xlfn.IFS(cleaned_data[[#This Row],[YearsAtCompany]]&lt;=5, "0-5",cleaned_data[[#This Row],[YearsAtCompany]]&lt;=10,"6-10",TRUE,"10+")</f>
        <v>6-10</v>
      </c>
    </row>
    <row r="387" spans="1:28" x14ac:dyDescent="0.3">
      <c r="A387" s="2">
        <v>30</v>
      </c>
      <c r="B387" t="s">
        <v>35</v>
      </c>
      <c r="C387">
        <v>1</v>
      </c>
      <c r="D387" t="s">
        <v>44</v>
      </c>
      <c r="E387" t="s">
        <v>45</v>
      </c>
      <c r="F387">
        <v>4</v>
      </c>
      <c r="G387" t="s">
        <v>60</v>
      </c>
      <c r="H387" t="s">
        <v>457</v>
      </c>
      <c r="I387">
        <v>3</v>
      </c>
      <c r="J387" t="s">
        <v>46</v>
      </c>
      <c r="K387">
        <v>3</v>
      </c>
      <c r="L387">
        <v>1</v>
      </c>
      <c r="M387" t="s">
        <v>47</v>
      </c>
      <c r="N387">
        <v>4</v>
      </c>
      <c r="O387" t="s">
        <v>41</v>
      </c>
      <c r="P387" s="1">
        <v>2285</v>
      </c>
      <c r="Q387" t="s">
        <v>72</v>
      </c>
      <c r="R387" t="s">
        <v>35</v>
      </c>
      <c r="S387">
        <v>4</v>
      </c>
      <c r="T387">
        <v>3</v>
      </c>
      <c r="U387">
        <v>3</v>
      </c>
      <c r="V387">
        <v>1</v>
      </c>
      <c r="W387">
        <v>0</v>
      </c>
      <c r="X387">
        <v>0</v>
      </c>
      <c r="Y387">
        <v>0</v>
      </c>
      <c r="Z387" t="s">
        <v>1551</v>
      </c>
      <c r="AA387" t="s">
        <v>78</v>
      </c>
      <c r="AB387" t="str" cm="1">
        <f t="array" ref="AB387">_xlfn.IFS(cleaned_data[[#This Row],[YearsAtCompany]]&lt;=5, "0-5",cleaned_data[[#This Row],[YearsAtCompany]]&lt;=10,"6-10",TRUE,"10+")</f>
        <v>0-5</v>
      </c>
    </row>
    <row r="388" spans="1:28" x14ac:dyDescent="0.3">
      <c r="A388" s="2">
        <v>37</v>
      </c>
      <c r="B388" t="s">
        <v>43</v>
      </c>
      <c r="C388">
        <v>0</v>
      </c>
      <c r="D388" t="s">
        <v>36</v>
      </c>
      <c r="E388" t="s">
        <v>45</v>
      </c>
      <c r="F388">
        <v>14</v>
      </c>
      <c r="G388" t="s">
        <v>38</v>
      </c>
      <c r="H388" t="s">
        <v>458</v>
      </c>
      <c r="I388">
        <v>4</v>
      </c>
      <c r="J388" t="s">
        <v>39</v>
      </c>
      <c r="K388">
        <v>3</v>
      </c>
      <c r="L388">
        <v>1</v>
      </c>
      <c r="M388" t="s">
        <v>50</v>
      </c>
      <c r="N388">
        <v>1</v>
      </c>
      <c r="O388" t="s">
        <v>52</v>
      </c>
      <c r="P388" s="6">
        <v>3034</v>
      </c>
      <c r="Q388" t="s">
        <v>72</v>
      </c>
      <c r="R388" t="s">
        <v>43</v>
      </c>
      <c r="S388">
        <v>3</v>
      </c>
      <c r="T388">
        <v>18</v>
      </c>
      <c r="U388">
        <v>2</v>
      </c>
      <c r="V388">
        <v>18</v>
      </c>
      <c r="W388">
        <v>7</v>
      </c>
      <c r="X388">
        <v>12</v>
      </c>
      <c r="Y388">
        <v>17</v>
      </c>
      <c r="Z388" t="s">
        <v>1550</v>
      </c>
      <c r="AA388" t="s">
        <v>82</v>
      </c>
      <c r="AB388" t="str" cm="1">
        <f t="array" ref="AB388">_xlfn.IFS(cleaned_data[[#This Row],[YearsAtCompany]]&lt;=5, "0-5",cleaned_data[[#This Row],[YearsAtCompany]]&lt;=10,"6-10",TRUE,"10+")</f>
        <v>10+</v>
      </c>
    </row>
    <row r="389" spans="1:28" x14ac:dyDescent="0.3">
      <c r="A389" s="2">
        <v>40</v>
      </c>
      <c r="B389" t="s">
        <v>43</v>
      </c>
      <c r="C389">
        <v>0</v>
      </c>
      <c r="D389" t="s">
        <v>36</v>
      </c>
      <c r="E389" t="s">
        <v>37</v>
      </c>
      <c r="F389">
        <v>2</v>
      </c>
      <c r="G389" t="s">
        <v>59</v>
      </c>
      <c r="H389" t="s">
        <v>459</v>
      </c>
      <c r="I389">
        <v>4</v>
      </c>
      <c r="J389" t="s">
        <v>39</v>
      </c>
      <c r="K389">
        <v>3</v>
      </c>
      <c r="L389">
        <v>2</v>
      </c>
      <c r="M389" t="s">
        <v>40</v>
      </c>
      <c r="N389">
        <v>2</v>
      </c>
      <c r="O389" t="s">
        <v>52</v>
      </c>
      <c r="P389" s="1">
        <v>5715</v>
      </c>
      <c r="Q389" t="s">
        <v>67</v>
      </c>
      <c r="R389" t="s">
        <v>43</v>
      </c>
      <c r="S389">
        <v>3</v>
      </c>
      <c r="T389">
        <v>8</v>
      </c>
      <c r="U389">
        <v>3</v>
      </c>
      <c r="V389">
        <v>5</v>
      </c>
      <c r="W389">
        <v>4</v>
      </c>
      <c r="X389">
        <v>1</v>
      </c>
      <c r="Y389">
        <v>3</v>
      </c>
      <c r="Z389" t="s">
        <v>1550</v>
      </c>
      <c r="AA389" t="s">
        <v>69</v>
      </c>
      <c r="AB389" t="str" cm="1">
        <f t="array" ref="AB389">_xlfn.IFS(cleaned_data[[#This Row],[YearsAtCompany]]&lt;=5, "0-5",cleaned_data[[#This Row],[YearsAtCompany]]&lt;=10,"6-10",TRUE,"10+")</f>
        <v>0-5</v>
      </c>
    </row>
    <row r="390" spans="1:28" x14ac:dyDescent="0.3">
      <c r="A390" s="2">
        <v>42</v>
      </c>
      <c r="B390" t="s">
        <v>43</v>
      </c>
      <c r="C390">
        <v>0</v>
      </c>
      <c r="D390" t="s">
        <v>36</v>
      </c>
      <c r="E390" t="s">
        <v>45</v>
      </c>
      <c r="F390">
        <v>1</v>
      </c>
      <c r="G390" t="s">
        <v>38</v>
      </c>
      <c r="H390" t="s">
        <v>460</v>
      </c>
      <c r="I390">
        <v>2</v>
      </c>
      <c r="J390" t="s">
        <v>39</v>
      </c>
      <c r="K390">
        <v>3</v>
      </c>
      <c r="L390">
        <v>1</v>
      </c>
      <c r="M390" t="s">
        <v>50</v>
      </c>
      <c r="N390">
        <v>1</v>
      </c>
      <c r="O390" t="s">
        <v>52</v>
      </c>
      <c r="P390" s="6">
        <v>2576</v>
      </c>
      <c r="Q390" t="s">
        <v>72</v>
      </c>
      <c r="R390" t="s">
        <v>43</v>
      </c>
      <c r="S390">
        <v>3</v>
      </c>
      <c r="T390">
        <v>8</v>
      </c>
      <c r="U390">
        <v>3</v>
      </c>
      <c r="V390">
        <v>5</v>
      </c>
      <c r="W390">
        <v>2</v>
      </c>
      <c r="X390">
        <v>1</v>
      </c>
      <c r="Y390">
        <v>2</v>
      </c>
      <c r="Z390" t="s">
        <v>1550</v>
      </c>
      <c r="AA390" t="s">
        <v>69</v>
      </c>
      <c r="AB390" t="str" cm="1">
        <f t="array" ref="AB390">_xlfn.IFS(cleaned_data[[#This Row],[YearsAtCompany]]&lt;=5, "0-5",cleaned_data[[#This Row],[YearsAtCompany]]&lt;=10,"6-10",TRUE,"10+")</f>
        <v>0-5</v>
      </c>
    </row>
    <row r="391" spans="1:28" x14ac:dyDescent="0.3">
      <c r="A391" s="2">
        <v>37</v>
      </c>
      <c r="B391" t="s">
        <v>43</v>
      </c>
      <c r="C391">
        <v>0</v>
      </c>
      <c r="D391" t="s">
        <v>36</v>
      </c>
      <c r="E391" t="s">
        <v>45</v>
      </c>
      <c r="F391">
        <v>10</v>
      </c>
      <c r="G391" t="s">
        <v>38</v>
      </c>
      <c r="H391" t="s">
        <v>461</v>
      </c>
      <c r="I391">
        <v>3</v>
      </c>
      <c r="J391" t="s">
        <v>46</v>
      </c>
      <c r="K391">
        <v>3</v>
      </c>
      <c r="L391">
        <v>2</v>
      </c>
      <c r="M391" t="s">
        <v>53</v>
      </c>
      <c r="N391">
        <v>2</v>
      </c>
      <c r="O391" t="s">
        <v>41</v>
      </c>
      <c r="P391" s="1">
        <v>4197</v>
      </c>
      <c r="Q391" t="s">
        <v>72</v>
      </c>
      <c r="R391" t="s">
        <v>35</v>
      </c>
      <c r="S391">
        <v>3</v>
      </c>
      <c r="T391">
        <v>18</v>
      </c>
      <c r="U391">
        <v>2</v>
      </c>
      <c r="V391">
        <v>1</v>
      </c>
      <c r="W391">
        <v>0</v>
      </c>
      <c r="X391">
        <v>0</v>
      </c>
      <c r="Y391">
        <v>1</v>
      </c>
      <c r="Z391" t="s">
        <v>1550</v>
      </c>
      <c r="AA391" t="s">
        <v>82</v>
      </c>
      <c r="AB391" t="str" cm="1">
        <f t="array" ref="AB391">_xlfn.IFS(cleaned_data[[#This Row],[YearsAtCompany]]&lt;=5, "0-5",cleaned_data[[#This Row],[YearsAtCompany]]&lt;=10,"6-10",TRUE,"10+")</f>
        <v>0-5</v>
      </c>
    </row>
    <row r="392" spans="1:28" x14ac:dyDescent="0.3">
      <c r="A392" s="2">
        <v>43</v>
      </c>
      <c r="B392" t="s">
        <v>43</v>
      </c>
      <c r="C392">
        <v>0</v>
      </c>
      <c r="D392" t="s">
        <v>36</v>
      </c>
      <c r="E392" t="s">
        <v>45</v>
      </c>
      <c r="F392">
        <v>12</v>
      </c>
      <c r="G392" t="s">
        <v>38</v>
      </c>
      <c r="H392" t="s">
        <v>462</v>
      </c>
      <c r="I392">
        <v>1</v>
      </c>
      <c r="J392" t="s">
        <v>46</v>
      </c>
      <c r="K392">
        <v>2</v>
      </c>
      <c r="L392">
        <v>4</v>
      </c>
      <c r="M392" t="s">
        <v>58</v>
      </c>
      <c r="N392">
        <v>2</v>
      </c>
      <c r="O392" t="s">
        <v>52</v>
      </c>
      <c r="P392" s="1">
        <v>14336</v>
      </c>
      <c r="Q392" t="s">
        <v>90</v>
      </c>
      <c r="R392" t="s">
        <v>43</v>
      </c>
      <c r="S392">
        <v>3</v>
      </c>
      <c r="T392">
        <v>25</v>
      </c>
      <c r="U392">
        <v>3</v>
      </c>
      <c r="V392">
        <v>25</v>
      </c>
      <c r="W392">
        <v>10</v>
      </c>
      <c r="X392">
        <v>3</v>
      </c>
      <c r="Y392">
        <v>9</v>
      </c>
      <c r="Z392" t="s">
        <v>1550</v>
      </c>
      <c r="AA392" t="s">
        <v>82</v>
      </c>
      <c r="AB392" t="str" cm="1">
        <f t="array" ref="AB392">_xlfn.IFS(cleaned_data[[#This Row],[YearsAtCompany]]&lt;=5, "0-5",cleaned_data[[#This Row],[YearsAtCompany]]&lt;=10,"6-10",TRUE,"10+")</f>
        <v>10+</v>
      </c>
    </row>
    <row r="393" spans="1:28" x14ac:dyDescent="0.3">
      <c r="A393" s="2">
        <v>40</v>
      </c>
      <c r="B393" t="s">
        <v>43</v>
      </c>
      <c r="C393">
        <v>0</v>
      </c>
      <c r="D393" t="s">
        <v>36</v>
      </c>
      <c r="E393" t="s">
        <v>45</v>
      </c>
      <c r="F393">
        <v>2</v>
      </c>
      <c r="G393" t="s">
        <v>51</v>
      </c>
      <c r="H393" t="s">
        <v>463</v>
      </c>
      <c r="I393">
        <v>2</v>
      </c>
      <c r="J393" t="s">
        <v>39</v>
      </c>
      <c r="K393">
        <v>2</v>
      </c>
      <c r="L393">
        <v>2</v>
      </c>
      <c r="M393" t="s">
        <v>50</v>
      </c>
      <c r="N393">
        <v>3</v>
      </c>
      <c r="O393" t="s">
        <v>48</v>
      </c>
      <c r="P393" s="1">
        <v>3448</v>
      </c>
      <c r="Q393" t="s">
        <v>72</v>
      </c>
      <c r="R393" t="s">
        <v>43</v>
      </c>
      <c r="S393">
        <v>4</v>
      </c>
      <c r="T393">
        <v>20</v>
      </c>
      <c r="U393">
        <v>3</v>
      </c>
      <c r="V393">
        <v>1</v>
      </c>
      <c r="W393">
        <v>0</v>
      </c>
      <c r="X393">
        <v>0</v>
      </c>
      <c r="Y393">
        <v>0</v>
      </c>
      <c r="Z393" t="s">
        <v>1550</v>
      </c>
      <c r="AA393" t="s">
        <v>82</v>
      </c>
      <c r="AB393" t="str" cm="1">
        <f t="array" ref="AB393">_xlfn.IFS(cleaned_data[[#This Row],[YearsAtCompany]]&lt;=5, "0-5",cleaned_data[[#This Row],[YearsAtCompany]]&lt;=10,"6-10",TRUE,"10+")</f>
        <v>0-5</v>
      </c>
    </row>
    <row r="394" spans="1:28" x14ac:dyDescent="0.3">
      <c r="A394" s="2">
        <v>54</v>
      </c>
      <c r="B394" t="s">
        <v>43</v>
      </c>
      <c r="C394">
        <v>0</v>
      </c>
      <c r="D394" t="s">
        <v>36</v>
      </c>
      <c r="E394" t="s">
        <v>45</v>
      </c>
      <c r="F394">
        <v>5</v>
      </c>
      <c r="G394" t="s">
        <v>51</v>
      </c>
      <c r="H394" t="s">
        <v>464</v>
      </c>
      <c r="I394">
        <v>1</v>
      </c>
      <c r="J394" t="s">
        <v>46</v>
      </c>
      <c r="K394">
        <v>3</v>
      </c>
      <c r="L394">
        <v>5</v>
      </c>
      <c r="M394" t="s">
        <v>58</v>
      </c>
      <c r="N394">
        <v>1</v>
      </c>
      <c r="O394" t="s">
        <v>48</v>
      </c>
      <c r="P394" s="6">
        <v>19406</v>
      </c>
      <c r="Q394" t="s">
        <v>90</v>
      </c>
      <c r="R394" t="s">
        <v>43</v>
      </c>
      <c r="S394">
        <v>3</v>
      </c>
      <c r="T394">
        <v>24</v>
      </c>
      <c r="U394">
        <v>2</v>
      </c>
      <c r="V394">
        <v>4</v>
      </c>
      <c r="W394">
        <v>2</v>
      </c>
      <c r="X394">
        <v>1</v>
      </c>
      <c r="Y394">
        <v>2</v>
      </c>
      <c r="Z394" t="s">
        <v>106</v>
      </c>
      <c r="AA394" t="s">
        <v>82</v>
      </c>
      <c r="AB394" t="str" cm="1">
        <f t="array" ref="AB394">_xlfn.IFS(cleaned_data[[#This Row],[YearsAtCompany]]&lt;=5, "0-5",cleaned_data[[#This Row],[YearsAtCompany]]&lt;=10,"6-10",TRUE,"10+")</f>
        <v>0-5</v>
      </c>
    </row>
    <row r="395" spans="1:28" x14ac:dyDescent="0.3">
      <c r="A395" s="2">
        <v>34</v>
      </c>
      <c r="B395" t="s">
        <v>43</v>
      </c>
      <c r="C395">
        <v>0</v>
      </c>
      <c r="D395" t="s">
        <v>55</v>
      </c>
      <c r="E395" t="s">
        <v>37</v>
      </c>
      <c r="F395">
        <v>4</v>
      </c>
      <c r="G395" t="s">
        <v>59</v>
      </c>
      <c r="H395" t="s">
        <v>465</v>
      </c>
      <c r="I395">
        <v>3</v>
      </c>
      <c r="J395" t="s">
        <v>39</v>
      </c>
      <c r="K395">
        <v>3</v>
      </c>
      <c r="L395">
        <v>2</v>
      </c>
      <c r="M395" t="s">
        <v>40</v>
      </c>
      <c r="N395">
        <v>3</v>
      </c>
      <c r="O395" t="s">
        <v>48</v>
      </c>
      <c r="P395" s="1">
        <v>6538</v>
      </c>
      <c r="Q395" t="s">
        <v>67</v>
      </c>
      <c r="R395" t="s">
        <v>43</v>
      </c>
      <c r="S395">
        <v>3</v>
      </c>
      <c r="T395">
        <v>6</v>
      </c>
      <c r="U395">
        <v>3</v>
      </c>
      <c r="V395">
        <v>3</v>
      </c>
      <c r="W395">
        <v>2</v>
      </c>
      <c r="X395">
        <v>1</v>
      </c>
      <c r="Y395">
        <v>2</v>
      </c>
      <c r="Z395" t="s">
        <v>1551</v>
      </c>
      <c r="AA395" t="s">
        <v>69</v>
      </c>
      <c r="AB395" t="str" cm="1">
        <f t="array" ref="AB395">_xlfn.IFS(cleaned_data[[#This Row],[YearsAtCompany]]&lt;=5, "0-5",cleaned_data[[#This Row],[YearsAtCompany]]&lt;=10,"6-10",TRUE,"10+")</f>
        <v>0-5</v>
      </c>
    </row>
    <row r="396" spans="1:28" x14ac:dyDescent="0.3">
      <c r="A396" s="2">
        <v>31</v>
      </c>
      <c r="B396" t="s">
        <v>43</v>
      </c>
      <c r="C396">
        <v>0</v>
      </c>
      <c r="D396" t="s">
        <v>36</v>
      </c>
      <c r="E396" t="s">
        <v>45</v>
      </c>
      <c r="F396">
        <v>7</v>
      </c>
      <c r="G396" t="s">
        <v>51</v>
      </c>
      <c r="H396" t="s">
        <v>466</v>
      </c>
      <c r="I396">
        <v>2</v>
      </c>
      <c r="J396" t="s">
        <v>39</v>
      </c>
      <c r="K396">
        <v>3</v>
      </c>
      <c r="L396">
        <v>2</v>
      </c>
      <c r="M396" t="s">
        <v>53</v>
      </c>
      <c r="N396">
        <v>1</v>
      </c>
      <c r="O396" t="s">
        <v>48</v>
      </c>
      <c r="P396" s="6">
        <v>4306</v>
      </c>
      <c r="Q396" t="s">
        <v>72</v>
      </c>
      <c r="R396" t="s">
        <v>43</v>
      </c>
      <c r="S396">
        <v>3</v>
      </c>
      <c r="T396">
        <v>13</v>
      </c>
      <c r="U396">
        <v>1</v>
      </c>
      <c r="V396">
        <v>13</v>
      </c>
      <c r="W396">
        <v>10</v>
      </c>
      <c r="X396">
        <v>3</v>
      </c>
      <c r="Y396">
        <v>12</v>
      </c>
      <c r="Z396" t="s">
        <v>1551</v>
      </c>
      <c r="AA396" t="s">
        <v>69</v>
      </c>
      <c r="AB396" t="str" cm="1">
        <f t="array" ref="AB396">_xlfn.IFS(cleaned_data[[#This Row],[YearsAtCompany]]&lt;=5, "0-5",cleaned_data[[#This Row],[YearsAtCompany]]&lt;=10,"6-10",TRUE,"10+")</f>
        <v>10+</v>
      </c>
    </row>
    <row r="397" spans="1:28" x14ac:dyDescent="0.3">
      <c r="A397" s="2">
        <v>43</v>
      </c>
      <c r="B397" t="s">
        <v>43</v>
      </c>
      <c r="C397">
        <v>0</v>
      </c>
      <c r="D397" t="s">
        <v>44</v>
      </c>
      <c r="E397" t="s">
        <v>45</v>
      </c>
      <c r="F397">
        <v>21</v>
      </c>
      <c r="G397" t="s">
        <v>51</v>
      </c>
      <c r="H397" t="s">
        <v>467</v>
      </c>
      <c r="I397">
        <v>4</v>
      </c>
      <c r="J397" t="s">
        <v>46</v>
      </c>
      <c r="K397">
        <v>3</v>
      </c>
      <c r="L397">
        <v>1</v>
      </c>
      <c r="M397" t="s">
        <v>50</v>
      </c>
      <c r="N397">
        <v>4</v>
      </c>
      <c r="O397" t="s">
        <v>48</v>
      </c>
      <c r="P397" s="1">
        <v>2258</v>
      </c>
      <c r="Q397" t="s">
        <v>72</v>
      </c>
      <c r="R397" t="s">
        <v>43</v>
      </c>
      <c r="S397">
        <v>4</v>
      </c>
      <c r="T397">
        <v>8</v>
      </c>
      <c r="U397">
        <v>3</v>
      </c>
      <c r="V397">
        <v>3</v>
      </c>
      <c r="W397">
        <v>2</v>
      </c>
      <c r="X397">
        <v>1</v>
      </c>
      <c r="Y397">
        <v>2</v>
      </c>
      <c r="Z397" t="s">
        <v>1550</v>
      </c>
      <c r="AA397" t="s">
        <v>69</v>
      </c>
      <c r="AB397" t="str" cm="1">
        <f t="array" ref="AB397">_xlfn.IFS(cleaned_data[[#This Row],[YearsAtCompany]]&lt;=5, "0-5",cleaned_data[[#This Row],[YearsAtCompany]]&lt;=10,"6-10",TRUE,"10+")</f>
        <v>0-5</v>
      </c>
    </row>
    <row r="398" spans="1:28" x14ac:dyDescent="0.3">
      <c r="A398" s="2">
        <v>43</v>
      </c>
      <c r="B398" t="s">
        <v>43</v>
      </c>
      <c r="C398">
        <v>0</v>
      </c>
      <c r="D398" t="s">
        <v>36</v>
      </c>
      <c r="E398" t="s">
        <v>45</v>
      </c>
      <c r="F398">
        <v>8</v>
      </c>
      <c r="G398" t="s">
        <v>49</v>
      </c>
      <c r="H398" t="s">
        <v>468</v>
      </c>
      <c r="I398">
        <v>3</v>
      </c>
      <c r="J398" t="s">
        <v>39</v>
      </c>
      <c r="K398">
        <v>3</v>
      </c>
      <c r="L398">
        <v>2</v>
      </c>
      <c r="M398" t="s">
        <v>54</v>
      </c>
      <c r="N398">
        <v>3</v>
      </c>
      <c r="O398" t="s">
        <v>52</v>
      </c>
      <c r="P398" s="1">
        <v>4522</v>
      </c>
      <c r="Q398" t="s">
        <v>72</v>
      </c>
      <c r="R398" t="s">
        <v>35</v>
      </c>
      <c r="S398">
        <v>3</v>
      </c>
      <c r="T398">
        <v>8</v>
      </c>
      <c r="U398">
        <v>3</v>
      </c>
      <c r="V398">
        <v>5</v>
      </c>
      <c r="W398">
        <v>2</v>
      </c>
      <c r="X398">
        <v>0</v>
      </c>
      <c r="Y398">
        <v>2</v>
      </c>
      <c r="Z398" t="s">
        <v>1550</v>
      </c>
      <c r="AA398" t="s">
        <v>69</v>
      </c>
      <c r="AB398" t="str" cm="1">
        <f t="array" ref="AB398">_xlfn.IFS(cleaned_data[[#This Row],[YearsAtCompany]]&lt;=5, "0-5",cleaned_data[[#This Row],[YearsAtCompany]]&lt;=10,"6-10",TRUE,"10+")</f>
        <v>0-5</v>
      </c>
    </row>
    <row r="399" spans="1:28" x14ac:dyDescent="0.3">
      <c r="A399" s="2">
        <v>25</v>
      </c>
      <c r="B399" t="s">
        <v>43</v>
      </c>
      <c r="C399">
        <v>0</v>
      </c>
      <c r="D399" t="s">
        <v>36</v>
      </c>
      <c r="E399" t="s">
        <v>37</v>
      </c>
      <c r="F399">
        <v>4</v>
      </c>
      <c r="G399" t="s">
        <v>38</v>
      </c>
      <c r="H399" t="s">
        <v>469</v>
      </c>
      <c r="I399">
        <v>2</v>
      </c>
      <c r="J399" t="s">
        <v>39</v>
      </c>
      <c r="K399">
        <v>2</v>
      </c>
      <c r="L399">
        <v>2</v>
      </c>
      <c r="M399" t="s">
        <v>40</v>
      </c>
      <c r="N399">
        <v>4</v>
      </c>
      <c r="O399" t="s">
        <v>41</v>
      </c>
      <c r="P399" s="1">
        <v>4487</v>
      </c>
      <c r="Q399" t="s">
        <v>72</v>
      </c>
      <c r="R399" t="s">
        <v>35</v>
      </c>
      <c r="S399">
        <v>3</v>
      </c>
      <c r="T399">
        <v>5</v>
      </c>
      <c r="U399">
        <v>3</v>
      </c>
      <c r="V399">
        <v>5</v>
      </c>
      <c r="W399">
        <v>4</v>
      </c>
      <c r="X399">
        <v>1</v>
      </c>
      <c r="Y399">
        <v>3</v>
      </c>
      <c r="Z399" t="s">
        <v>68</v>
      </c>
      <c r="AA399" t="s">
        <v>78</v>
      </c>
      <c r="AB399" t="str" cm="1">
        <f t="array" ref="AB399">_xlfn.IFS(cleaned_data[[#This Row],[YearsAtCompany]]&lt;=5, "0-5",cleaned_data[[#This Row],[YearsAtCompany]]&lt;=10,"6-10",TRUE,"10+")</f>
        <v>0-5</v>
      </c>
    </row>
    <row r="400" spans="1:28" x14ac:dyDescent="0.3">
      <c r="A400" s="2">
        <v>37</v>
      </c>
      <c r="B400" t="s">
        <v>43</v>
      </c>
      <c r="C400">
        <v>0</v>
      </c>
      <c r="D400" t="s">
        <v>55</v>
      </c>
      <c r="E400" t="s">
        <v>45</v>
      </c>
      <c r="F400">
        <v>25</v>
      </c>
      <c r="G400" t="s">
        <v>51</v>
      </c>
      <c r="H400" t="s">
        <v>470</v>
      </c>
      <c r="I400">
        <v>2</v>
      </c>
      <c r="J400" t="s">
        <v>39</v>
      </c>
      <c r="K400">
        <v>3</v>
      </c>
      <c r="L400">
        <v>2</v>
      </c>
      <c r="M400" t="s">
        <v>47</v>
      </c>
      <c r="N400">
        <v>3</v>
      </c>
      <c r="O400" t="s">
        <v>48</v>
      </c>
      <c r="P400" s="1">
        <v>4449</v>
      </c>
      <c r="Q400" t="s">
        <v>72</v>
      </c>
      <c r="R400" t="s">
        <v>35</v>
      </c>
      <c r="S400">
        <v>3</v>
      </c>
      <c r="T400">
        <v>15</v>
      </c>
      <c r="U400">
        <v>3</v>
      </c>
      <c r="V400">
        <v>13</v>
      </c>
      <c r="W400">
        <v>11</v>
      </c>
      <c r="X400">
        <v>10</v>
      </c>
      <c r="Y400">
        <v>7</v>
      </c>
      <c r="Z400" t="s">
        <v>1550</v>
      </c>
      <c r="AA400" t="s">
        <v>69</v>
      </c>
      <c r="AB400" t="str" cm="1">
        <f t="array" ref="AB400">_xlfn.IFS(cleaned_data[[#This Row],[YearsAtCompany]]&lt;=5, "0-5",cleaned_data[[#This Row],[YearsAtCompany]]&lt;=10,"6-10",TRUE,"10+")</f>
        <v>10+</v>
      </c>
    </row>
    <row r="401" spans="1:28" x14ac:dyDescent="0.3">
      <c r="A401" s="2">
        <v>31</v>
      </c>
      <c r="B401" t="s">
        <v>43</v>
      </c>
      <c r="C401">
        <v>0</v>
      </c>
      <c r="D401" t="s">
        <v>36</v>
      </c>
      <c r="E401" t="s">
        <v>45</v>
      </c>
      <c r="F401">
        <v>1</v>
      </c>
      <c r="G401" t="s">
        <v>38</v>
      </c>
      <c r="H401" t="s">
        <v>471</v>
      </c>
      <c r="I401">
        <v>4</v>
      </c>
      <c r="J401" t="s">
        <v>46</v>
      </c>
      <c r="K401">
        <v>2</v>
      </c>
      <c r="L401">
        <v>1</v>
      </c>
      <c r="M401" t="s">
        <v>50</v>
      </c>
      <c r="N401">
        <v>1</v>
      </c>
      <c r="O401" t="s">
        <v>48</v>
      </c>
      <c r="P401" s="6">
        <v>2218</v>
      </c>
      <c r="Q401" t="s">
        <v>72</v>
      </c>
      <c r="R401" t="s">
        <v>43</v>
      </c>
      <c r="S401">
        <v>3</v>
      </c>
      <c r="T401">
        <v>4</v>
      </c>
      <c r="U401">
        <v>3</v>
      </c>
      <c r="V401">
        <v>4</v>
      </c>
      <c r="W401">
        <v>2</v>
      </c>
      <c r="X401">
        <v>3</v>
      </c>
      <c r="Y401">
        <v>2</v>
      </c>
      <c r="Z401" t="s">
        <v>1551</v>
      </c>
      <c r="AA401" t="s">
        <v>78</v>
      </c>
      <c r="AB401" t="str" cm="1">
        <f t="array" ref="AB401">_xlfn.IFS(cleaned_data[[#This Row],[YearsAtCompany]]&lt;=5, "0-5",cleaned_data[[#This Row],[YearsAtCompany]]&lt;=10,"6-10",TRUE,"10+")</f>
        <v>0-5</v>
      </c>
    </row>
    <row r="402" spans="1:28" x14ac:dyDescent="0.3">
      <c r="A402" s="2">
        <v>39</v>
      </c>
      <c r="B402" t="s">
        <v>43</v>
      </c>
      <c r="C402">
        <v>0</v>
      </c>
      <c r="D402" t="s">
        <v>44</v>
      </c>
      <c r="E402" t="s">
        <v>45</v>
      </c>
      <c r="F402">
        <v>1</v>
      </c>
      <c r="G402" t="s">
        <v>38</v>
      </c>
      <c r="H402" t="s">
        <v>472</v>
      </c>
      <c r="I402">
        <v>2</v>
      </c>
      <c r="J402" t="s">
        <v>46</v>
      </c>
      <c r="K402">
        <v>3</v>
      </c>
      <c r="L402">
        <v>5</v>
      </c>
      <c r="M402" t="s">
        <v>56</v>
      </c>
      <c r="N402">
        <v>3</v>
      </c>
      <c r="O402" t="s">
        <v>52</v>
      </c>
      <c r="P402" s="1">
        <v>19197</v>
      </c>
      <c r="Q402" t="s">
        <v>90</v>
      </c>
      <c r="R402" t="s">
        <v>35</v>
      </c>
      <c r="S402">
        <v>3</v>
      </c>
      <c r="T402">
        <v>21</v>
      </c>
      <c r="U402">
        <v>3</v>
      </c>
      <c r="V402">
        <v>21</v>
      </c>
      <c r="W402">
        <v>8</v>
      </c>
      <c r="X402">
        <v>1</v>
      </c>
      <c r="Y402">
        <v>6</v>
      </c>
      <c r="Z402" t="s">
        <v>1550</v>
      </c>
      <c r="AA402" t="s">
        <v>82</v>
      </c>
      <c r="AB402" t="str" cm="1">
        <f t="array" ref="AB402">_xlfn.IFS(cleaned_data[[#This Row],[YearsAtCompany]]&lt;=5, "0-5",cleaned_data[[#This Row],[YearsAtCompany]]&lt;=10,"6-10",TRUE,"10+")</f>
        <v>10+</v>
      </c>
    </row>
    <row r="403" spans="1:28" x14ac:dyDescent="0.3">
      <c r="A403" s="2">
        <v>56</v>
      </c>
      <c r="B403" t="s">
        <v>43</v>
      </c>
      <c r="C403">
        <v>0</v>
      </c>
      <c r="D403" t="s">
        <v>44</v>
      </c>
      <c r="E403" t="s">
        <v>37</v>
      </c>
      <c r="F403">
        <v>6</v>
      </c>
      <c r="G403" t="s">
        <v>38</v>
      </c>
      <c r="H403" t="s">
        <v>473</v>
      </c>
      <c r="I403">
        <v>3</v>
      </c>
      <c r="J403" t="s">
        <v>39</v>
      </c>
      <c r="K403">
        <v>4</v>
      </c>
      <c r="L403">
        <v>4</v>
      </c>
      <c r="M403" t="s">
        <v>40</v>
      </c>
      <c r="N403">
        <v>1</v>
      </c>
      <c r="O403" t="s">
        <v>48</v>
      </c>
      <c r="P403" s="6">
        <v>13212</v>
      </c>
      <c r="Q403" t="s">
        <v>90</v>
      </c>
      <c r="R403" t="s">
        <v>43</v>
      </c>
      <c r="S403">
        <v>3</v>
      </c>
      <c r="T403">
        <v>36</v>
      </c>
      <c r="U403">
        <v>2</v>
      </c>
      <c r="V403">
        <v>7</v>
      </c>
      <c r="W403">
        <v>7</v>
      </c>
      <c r="X403">
        <v>7</v>
      </c>
      <c r="Y403">
        <v>7</v>
      </c>
      <c r="Z403" t="s">
        <v>106</v>
      </c>
      <c r="AA403" t="s">
        <v>82</v>
      </c>
      <c r="AB403" t="str" cm="1">
        <f t="array" ref="AB403">_xlfn.IFS(cleaned_data[[#This Row],[YearsAtCompany]]&lt;=5, "0-5",cleaned_data[[#This Row],[YearsAtCompany]]&lt;=10,"6-10",TRUE,"10+")</f>
        <v>6-10</v>
      </c>
    </row>
    <row r="404" spans="1:28" x14ac:dyDescent="0.3">
      <c r="A404" s="2">
        <v>30</v>
      </c>
      <c r="B404" t="s">
        <v>43</v>
      </c>
      <c r="C404">
        <v>0</v>
      </c>
      <c r="D404" t="s">
        <v>36</v>
      </c>
      <c r="E404" t="s">
        <v>37</v>
      </c>
      <c r="F404">
        <v>12</v>
      </c>
      <c r="G404" t="s">
        <v>60</v>
      </c>
      <c r="H404" t="s">
        <v>474</v>
      </c>
      <c r="I404">
        <v>2</v>
      </c>
      <c r="J404" t="s">
        <v>39</v>
      </c>
      <c r="K404">
        <v>3</v>
      </c>
      <c r="L404">
        <v>2</v>
      </c>
      <c r="M404" t="s">
        <v>40</v>
      </c>
      <c r="N404">
        <v>3</v>
      </c>
      <c r="O404" t="s">
        <v>41</v>
      </c>
      <c r="P404" s="1">
        <v>6577</v>
      </c>
      <c r="Q404" t="s">
        <v>67</v>
      </c>
      <c r="R404" t="s">
        <v>43</v>
      </c>
      <c r="S404">
        <v>3</v>
      </c>
      <c r="T404">
        <v>6</v>
      </c>
      <c r="U404">
        <v>3</v>
      </c>
      <c r="V404">
        <v>5</v>
      </c>
      <c r="W404">
        <v>4</v>
      </c>
      <c r="X404">
        <v>4</v>
      </c>
      <c r="Y404">
        <v>4</v>
      </c>
      <c r="Z404" t="s">
        <v>1551</v>
      </c>
      <c r="AA404" t="s">
        <v>69</v>
      </c>
      <c r="AB404" t="str" cm="1">
        <f t="array" ref="AB404">_xlfn.IFS(cleaned_data[[#This Row],[YearsAtCompany]]&lt;=5, "0-5",cleaned_data[[#This Row],[YearsAtCompany]]&lt;=10,"6-10",TRUE,"10+")</f>
        <v>0-5</v>
      </c>
    </row>
    <row r="405" spans="1:28" x14ac:dyDescent="0.3">
      <c r="A405" s="2">
        <v>41</v>
      </c>
      <c r="B405" t="s">
        <v>43</v>
      </c>
      <c r="C405">
        <v>0</v>
      </c>
      <c r="D405" t="s">
        <v>36</v>
      </c>
      <c r="E405" t="s">
        <v>37</v>
      </c>
      <c r="F405">
        <v>1</v>
      </c>
      <c r="G405" t="s">
        <v>59</v>
      </c>
      <c r="H405" t="s">
        <v>475</v>
      </c>
      <c r="I405">
        <v>2</v>
      </c>
      <c r="J405" t="s">
        <v>46</v>
      </c>
      <c r="K405">
        <v>4</v>
      </c>
      <c r="L405">
        <v>3</v>
      </c>
      <c r="M405" t="s">
        <v>40</v>
      </c>
      <c r="N405">
        <v>1</v>
      </c>
      <c r="O405" t="s">
        <v>48</v>
      </c>
      <c r="P405" s="6">
        <v>8392</v>
      </c>
      <c r="Q405" t="s">
        <v>67</v>
      </c>
      <c r="R405" t="s">
        <v>43</v>
      </c>
      <c r="S405">
        <v>3</v>
      </c>
      <c r="T405">
        <v>10</v>
      </c>
      <c r="U405">
        <v>3</v>
      </c>
      <c r="V405">
        <v>10</v>
      </c>
      <c r="W405">
        <v>7</v>
      </c>
      <c r="X405">
        <v>0</v>
      </c>
      <c r="Y405">
        <v>7</v>
      </c>
      <c r="Z405" t="s">
        <v>1550</v>
      </c>
      <c r="AA405" t="s">
        <v>69</v>
      </c>
      <c r="AB405" t="str" cm="1">
        <f t="array" ref="AB405">_xlfn.IFS(cleaned_data[[#This Row],[YearsAtCompany]]&lt;=5, "0-5",cleaned_data[[#This Row],[YearsAtCompany]]&lt;=10,"6-10",TRUE,"10+")</f>
        <v>6-10</v>
      </c>
    </row>
    <row r="406" spans="1:28" x14ac:dyDescent="0.3">
      <c r="A406" s="2">
        <v>28</v>
      </c>
      <c r="B406" t="s">
        <v>43</v>
      </c>
      <c r="C406">
        <v>0</v>
      </c>
      <c r="D406" t="s">
        <v>36</v>
      </c>
      <c r="E406" t="s">
        <v>45</v>
      </c>
      <c r="F406">
        <v>17</v>
      </c>
      <c r="G406" t="s">
        <v>51</v>
      </c>
      <c r="H406" t="s">
        <v>476</v>
      </c>
      <c r="I406">
        <v>3</v>
      </c>
      <c r="J406" t="s">
        <v>46</v>
      </c>
      <c r="K406">
        <v>3</v>
      </c>
      <c r="L406">
        <v>2</v>
      </c>
      <c r="M406" t="s">
        <v>50</v>
      </c>
      <c r="N406">
        <v>1</v>
      </c>
      <c r="O406" t="s">
        <v>52</v>
      </c>
      <c r="P406" s="6">
        <v>4558</v>
      </c>
      <c r="Q406" t="s">
        <v>72</v>
      </c>
      <c r="R406" t="s">
        <v>43</v>
      </c>
      <c r="S406">
        <v>3</v>
      </c>
      <c r="T406">
        <v>10</v>
      </c>
      <c r="U406">
        <v>3</v>
      </c>
      <c r="V406">
        <v>10</v>
      </c>
      <c r="W406">
        <v>0</v>
      </c>
      <c r="X406">
        <v>1</v>
      </c>
      <c r="Y406">
        <v>8</v>
      </c>
      <c r="Z406" t="s">
        <v>1551</v>
      </c>
      <c r="AA406" t="s">
        <v>69</v>
      </c>
      <c r="AB406" t="str" cm="1">
        <f t="array" ref="AB406">_xlfn.IFS(cleaned_data[[#This Row],[YearsAtCompany]]&lt;=5, "0-5",cleaned_data[[#This Row],[YearsAtCompany]]&lt;=10,"6-10",TRUE,"10+")</f>
        <v>6-10</v>
      </c>
    </row>
    <row r="407" spans="1:28" x14ac:dyDescent="0.3">
      <c r="A407" s="2">
        <v>25</v>
      </c>
      <c r="B407" t="s">
        <v>35</v>
      </c>
      <c r="C407">
        <v>1</v>
      </c>
      <c r="D407" t="s">
        <v>36</v>
      </c>
      <c r="E407" t="s">
        <v>45</v>
      </c>
      <c r="F407">
        <v>3</v>
      </c>
      <c r="G407" t="s">
        <v>51</v>
      </c>
      <c r="H407" t="s">
        <v>477</v>
      </c>
      <c r="I407">
        <v>1</v>
      </c>
      <c r="J407" t="s">
        <v>46</v>
      </c>
      <c r="K407">
        <v>3</v>
      </c>
      <c r="L407">
        <v>1</v>
      </c>
      <c r="M407" t="s">
        <v>50</v>
      </c>
      <c r="N407">
        <v>1</v>
      </c>
      <c r="O407" t="s">
        <v>48</v>
      </c>
      <c r="P407" s="6">
        <v>4031</v>
      </c>
      <c r="Q407" t="s">
        <v>72</v>
      </c>
      <c r="R407" t="s">
        <v>43</v>
      </c>
      <c r="S407">
        <v>3</v>
      </c>
      <c r="T407">
        <v>6</v>
      </c>
      <c r="U407">
        <v>3</v>
      </c>
      <c r="V407">
        <v>2</v>
      </c>
      <c r="W407">
        <v>2</v>
      </c>
      <c r="X407">
        <v>0</v>
      </c>
      <c r="Y407">
        <v>2</v>
      </c>
      <c r="Z407" t="s">
        <v>68</v>
      </c>
      <c r="AA407" t="s">
        <v>69</v>
      </c>
      <c r="AB407" t="str" cm="1">
        <f t="array" ref="AB407">_xlfn.IFS(cleaned_data[[#This Row],[YearsAtCompany]]&lt;=5, "0-5",cleaned_data[[#This Row],[YearsAtCompany]]&lt;=10,"6-10",TRUE,"10+")</f>
        <v>0-5</v>
      </c>
    </row>
    <row r="408" spans="1:28" x14ac:dyDescent="0.3">
      <c r="A408" s="2">
        <v>52</v>
      </c>
      <c r="B408" t="s">
        <v>43</v>
      </c>
      <c r="C408">
        <v>0</v>
      </c>
      <c r="D408" t="s">
        <v>36</v>
      </c>
      <c r="E408" t="s">
        <v>45</v>
      </c>
      <c r="F408">
        <v>3</v>
      </c>
      <c r="G408" t="s">
        <v>51</v>
      </c>
      <c r="H408" t="s">
        <v>478</v>
      </c>
      <c r="I408">
        <v>4</v>
      </c>
      <c r="J408" t="s">
        <v>46</v>
      </c>
      <c r="K408">
        <v>2</v>
      </c>
      <c r="L408">
        <v>3</v>
      </c>
      <c r="M408" t="s">
        <v>53</v>
      </c>
      <c r="N408">
        <v>3</v>
      </c>
      <c r="O408" t="s">
        <v>48</v>
      </c>
      <c r="P408" s="1">
        <v>7969</v>
      </c>
      <c r="Q408" t="s">
        <v>67</v>
      </c>
      <c r="R408" t="s">
        <v>35</v>
      </c>
      <c r="S408">
        <v>3</v>
      </c>
      <c r="T408">
        <v>28</v>
      </c>
      <c r="U408">
        <v>3</v>
      </c>
      <c r="V408">
        <v>5</v>
      </c>
      <c r="W408">
        <v>4</v>
      </c>
      <c r="X408">
        <v>0</v>
      </c>
      <c r="Y408">
        <v>4</v>
      </c>
      <c r="Z408" t="s">
        <v>106</v>
      </c>
      <c r="AA408" t="s">
        <v>82</v>
      </c>
      <c r="AB408" t="str" cm="1">
        <f t="array" ref="AB408">_xlfn.IFS(cleaned_data[[#This Row],[YearsAtCompany]]&lt;=5, "0-5",cleaned_data[[#This Row],[YearsAtCompany]]&lt;=10,"6-10",TRUE,"10+")</f>
        <v>0-5</v>
      </c>
    </row>
    <row r="409" spans="1:28" x14ac:dyDescent="0.3">
      <c r="A409" s="2">
        <v>45</v>
      </c>
      <c r="B409" t="s">
        <v>43</v>
      </c>
      <c r="C409">
        <v>0</v>
      </c>
      <c r="D409" t="s">
        <v>36</v>
      </c>
      <c r="E409" t="s">
        <v>45</v>
      </c>
      <c r="F409">
        <v>10</v>
      </c>
      <c r="G409" t="s">
        <v>38</v>
      </c>
      <c r="H409" t="s">
        <v>479</v>
      </c>
      <c r="I409">
        <v>1</v>
      </c>
      <c r="J409" t="s">
        <v>46</v>
      </c>
      <c r="K409">
        <v>3</v>
      </c>
      <c r="L409">
        <v>1</v>
      </c>
      <c r="M409" t="s">
        <v>47</v>
      </c>
      <c r="N409">
        <v>4</v>
      </c>
      <c r="O409" t="s">
        <v>48</v>
      </c>
      <c r="P409" s="1">
        <v>2654</v>
      </c>
      <c r="Q409" t="s">
        <v>72</v>
      </c>
      <c r="R409" t="s">
        <v>43</v>
      </c>
      <c r="S409">
        <v>4</v>
      </c>
      <c r="T409">
        <v>8</v>
      </c>
      <c r="U409">
        <v>2</v>
      </c>
      <c r="V409">
        <v>2</v>
      </c>
      <c r="W409">
        <v>2</v>
      </c>
      <c r="X409">
        <v>0</v>
      </c>
      <c r="Y409">
        <v>2</v>
      </c>
      <c r="Z409" t="s">
        <v>1550</v>
      </c>
      <c r="AA409" t="s">
        <v>69</v>
      </c>
      <c r="AB409" t="str" cm="1">
        <f t="array" ref="AB409">_xlfn.IFS(cleaned_data[[#This Row],[YearsAtCompany]]&lt;=5, "0-5",cleaned_data[[#This Row],[YearsAtCompany]]&lt;=10,"6-10",TRUE,"10+")</f>
        <v>0-5</v>
      </c>
    </row>
    <row r="410" spans="1:28" x14ac:dyDescent="0.3">
      <c r="A410" s="2">
        <v>52</v>
      </c>
      <c r="B410" t="s">
        <v>43</v>
      </c>
      <c r="C410">
        <v>0</v>
      </c>
      <c r="D410" t="s">
        <v>36</v>
      </c>
      <c r="E410" t="s">
        <v>45</v>
      </c>
      <c r="F410">
        <v>4</v>
      </c>
      <c r="G410" t="s">
        <v>38</v>
      </c>
      <c r="H410" t="s">
        <v>480</v>
      </c>
      <c r="I410">
        <v>4</v>
      </c>
      <c r="J410" t="s">
        <v>39</v>
      </c>
      <c r="K410">
        <v>3</v>
      </c>
      <c r="L410">
        <v>4</v>
      </c>
      <c r="M410" t="s">
        <v>56</v>
      </c>
      <c r="N410">
        <v>4</v>
      </c>
      <c r="O410" t="s">
        <v>48</v>
      </c>
      <c r="P410" s="1">
        <v>16555</v>
      </c>
      <c r="Q410" t="s">
        <v>90</v>
      </c>
      <c r="R410" t="s">
        <v>43</v>
      </c>
      <c r="S410">
        <v>3</v>
      </c>
      <c r="T410">
        <v>31</v>
      </c>
      <c r="U410">
        <v>1</v>
      </c>
      <c r="V410">
        <v>5</v>
      </c>
      <c r="W410">
        <v>2</v>
      </c>
      <c r="X410">
        <v>1</v>
      </c>
      <c r="Y410">
        <v>4</v>
      </c>
      <c r="Z410" t="s">
        <v>106</v>
      </c>
      <c r="AA410" t="s">
        <v>82</v>
      </c>
      <c r="AB410" t="str" cm="1">
        <f t="array" ref="AB410">_xlfn.IFS(cleaned_data[[#This Row],[YearsAtCompany]]&lt;=5, "0-5",cleaned_data[[#This Row],[YearsAtCompany]]&lt;=10,"6-10",TRUE,"10+")</f>
        <v>0-5</v>
      </c>
    </row>
    <row r="411" spans="1:28" x14ac:dyDescent="0.3">
      <c r="A411" s="2">
        <v>42</v>
      </c>
      <c r="B411" t="s">
        <v>43</v>
      </c>
      <c r="C411">
        <v>0</v>
      </c>
      <c r="D411" t="s">
        <v>44</v>
      </c>
      <c r="E411" t="s">
        <v>45</v>
      </c>
      <c r="F411">
        <v>29</v>
      </c>
      <c r="G411" t="s">
        <v>38</v>
      </c>
      <c r="H411" t="s">
        <v>481</v>
      </c>
      <c r="I411">
        <v>1</v>
      </c>
      <c r="J411" t="s">
        <v>39</v>
      </c>
      <c r="K411">
        <v>3</v>
      </c>
      <c r="L411">
        <v>2</v>
      </c>
      <c r="M411" t="s">
        <v>47</v>
      </c>
      <c r="N411">
        <v>3</v>
      </c>
      <c r="O411" t="s">
        <v>52</v>
      </c>
      <c r="P411" s="1">
        <v>4556</v>
      </c>
      <c r="Q411" t="s">
        <v>72</v>
      </c>
      <c r="R411" t="s">
        <v>43</v>
      </c>
      <c r="S411">
        <v>3</v>
      </c>
      <c r="T411">
        <v>19</v>
      </c>
      <c r="U411">
        <v>3</v>
      </c>
      <c r="V411">
        <v>5</v>
      </c>
      <c r="W411">
        <v>4</v>
      </c>
      <c r="X411">
        <v>0</v>
      </c>
      <c r="Y411">
        <v>2</v>
      </c>
      <c r="Z411" t="s">
        <v>1550</v>
      </c>
      <c r="AA411" t="s">
        <v>82</v>
      </c>
      <c r="AB411" t="str" cm="1">
        <f t="array" ref="AB411">_xlfn.IFS(cleaned_data[[#This Row],[YearsAtCompany]]&lt;=5, "0-5",cleaned_data[[#This Row],[YearsAtCompany]]&lt;=10,"6-10",TRUE,"10+")</f>
        <v>0-5</v>
      </c>
    </row>
    <row r="412" spans="1:28" x14ac:dyDescent="0.3">
      <c r="A412" s="2">
        <v>30</v>
      </c>
      <c r="B412" t="s">
        <v>43</v>
      </c>
      <c r="C412">
        <v>0</v>
      </c>
      <c r="D412" t="s">
        <v>36</v>
      </c>
      <c r="E412" t="s">
        <v>45</v>
      </c>
      <c r="F412">
        <v>2</v>
      </c>
      <c r="G412" t="s">
        <v>38</v>
      </c>
      <c r="H412" t="s">
        <v>482</v>
      </c>
      <c r="I412">
        <v>3</v>
      </c>
      <c r="J412" t="s">
        <v>39</v>
      </c>
      <c r="K412">
        <v>1</v>
      </c>
      <c r="L412">
        <v>2</v>
      </c>
      <c r="M412" t="s">
        <v>53</v>
      </c>
      <c r="N412">
        <v>4</v>
      </c>
      <c r="O412" t="s">
        <v>41</v>
      </c>
      <c r="P412" s="1">
        <v>6091</v>
      </c>
      <c r="Q412" t="s">
        <v>67</v>
      </c>
      <c r="R412" t="s">
        <v>43</v>
      </c>
      <c r="S412">
        <v>4</v>
      </c>
      <c r="T412">
        <v>11</v>
      </c>
      <c r="U412">
        <v>3</v>
      </c>
      <c r="V412">
        <v>5</v>
      </c>
      <c r="W412">
        <v>4</v>
      </c>
      <c r="X412">
        <v>0</v>
      </c>
      <c r="Y412">
        <v>2</v>
      </c>
      <c r="Z412" t="s">
        <v>1551</v>
      </c>
      <c r="AA412" t="s">
        <v>69</v>
      </c>
      <c r="AB412" t="str" cm="1">
        <f t="array" ref="AB412">_xlfn.IFS(cleaned_data[[#This Row],[YearsAtCompany]]&lt;=5, "0-5",cleaned_data[[#This Row],[YearsAtCompany]]&lt;=10,"6-10",TRUE,"10+")</f>
        <v>0-5</v>
      </c>
    </row>
    <row r="413" spans="1:28" x14ac:dyDescent="0.3">
      <c r="A413" s="2">
        <v>60</v>
      </c>
      <c r="B413" t="s">
        <v>43</v>
      </c>
      <c r="C413">
        <v>0</v>
      </c>
      <c r="D413" t="s">
        <v>36</v>
      </c>
      <c r="E413" t="s">
        <v>45</v>
      </c>
      <c r="F413">
        <v>7</v>
      </c>
      <c r="G413" t="s">
        <v>38</v>
      </c>
      <c r="H413" t="s">
        <v>483</v>
      </c>
      <c r="I413">
        <v>1</v>
      </c>
      <c r="J413" t="s">
        <v>39</v>
      </c>
      <c r="K413">
        <v>3</v>
      </c>
      <c r="L413">
        <v>5</v>
      </c>
      <c r="M413" t="s">
        <v>56</v>
      </c>
      <c r="N413">
        <v>1</v>
      </c>
      <c r="O413" t="s">
        <v>48</v>
      </c>
      <c r="P413" s="6">
        <v>19566</v>
      </c>
      <c r="Q413" t="s">
        <v>90</v>
      </c>
      <c r="R413" t="s">
        <v>43</v>
      </c>
      <c r="S413">
        <v>3</v>
      </c>
      <c r="T413">
        <v>33</v>
      </c>
      <c r="U413">
        <v>1</v>
      </c>
      <c r="V413">
        <v>29</v>
      </c>
      <c r="W413">
        <v>8</v>
      </c>
      <c r="X413">
        <v>11</v>
      </c>
      <c r="Y413">
        <v>10</v>
      </c>
      <c r="Z413" t="s">
        <v>106</v>
      </c>
      <c r="AA413" t="s">
        <v>82</v>
      </c>
      <c r="AB413" t="str" cm="1">
        <f t="array" ref="AB413">_xlfn.IFS(cleaned_data[[#This Row],[YearsAtCompany]]&lt;=5, "0-5",cleaned_data[[#This Row],[YearsAtCompany]]&lt;=10,"6-10",TRUE,"10+")</f>
        <v>10+</v>
      </c>
    </row>
    <row r="414" spans="1:28" x14ac:dyDescent="0.3">
      <c r="A414" s="2">
        <v>46</v>
      </c>
      <c r="B414" t="s">
        <v>43</v>
      </c>
      <c r="C414">
        <v>0</v>
      </c>
      <c r="D414" t="s">
        <v>36</v>
      </c>
      <c r="E414" t="s">
        <v>45</v>
      </c>
      <c r="F414">
        <v>18</v>
      </c>
      <c r="G414" t="s">
        <v>51</v>
      </c>
      <c r="H414" t="s">
        <v>484</v>
      </c>
      <c r="I414">
        <v>3</v>
      </c>
      <c r="J414" t="s">
        <v>39</v>
      </c>
      <c r="K414">
        <v>3</v>
      </c>
      <c r="L414">
        <v>2</v>
      </c>
      <c r="M414" t="s">
        <v>53</v>
      </c>
      <c r="N414">
        <v>3</v>
      </c>
      <c r="O414" t="s">
        <v>52</v>
      </c>
      <c r="P414" s="1">
        <v>4810</v>
      </c>
      <c r="Q414" t="s">
        <v>72</v>
      </c>
      <c r="R414" t="s">
        <v>43</v>
      </c>
      <c r="S414">
        <v>3</v>
      </c>
      <c r="T414">
        <v>19</v>
      </c>
      <c r="U414">
        <v>2</v>
      </c>
      <c r="V414">
        <v>10</v>
      </c>
      <c r="W414">
        <v>7</v>
      </c>
      <c r="X414">
        <v>0</v>
      </c>
      <c r="Y414">
        <v>8</v>
      </c>
      <c r="Z414" t="s">
        <v>106</v>
      </c>
      <c r="AA414" t="s">
        <v>82</v>
      </c>
      <c r="AB414" t="str" cm="1">
        <f t="array" ref="AB414">_xlfn.IFS(cleaned_data[[#This Row],[YearsAtCompany]]&lt;=5, "0-5",cleaned_data[[#This Row],[YearsAtCompany]]&lt;=10,"6-10",TRUE,"10+")</f>
        <v>6-10</v>
      </c>
    </row>
    <row r="415" spans="1:28" x14ac:dyDescent="0.3">
      <c r="A415" s="2">
        <v>42</v>
      </c>
      <c r="B415" t="s">
        <v>43</v>
      </c>
      <c r="C415">
        <v>0</v>
      </c>
      <c r="D415" t="s">
        <v>44</v>
      </c>
      <c r="E415" t="s">
        <v>45</v>
      </c>
      <c r="F415">
        <v>28</v>
      </c>
      <c r="G415" t="s">
        <v>60</v>
      </c>
      <c r="H415" t="s">
        <v>485</v>
      </c>
      <c r="I415">
        <v>4</v>
      </c>
      <c r="J415" t="s">
        <v>39</v>
      </c>
      <c r="K415">
        <v>2</v>
      </c>
      <c r="L415">
        <v>2</v>
      </c>
      <c r="M415" t="s">
        <v>54</v>
      </c>
      <c r="N415">
        <v>4</v>
      </c>
      <c r="O415" t="s">
        <v>48</v>
      </c>
      <c r="P415" s="1">
        <v>4523</v>
      </c>
      <c r="Q415" t="s">
        <v>72</v>
      </c>
      <c r="R415" t="s">
        <v>43</v>
      </c>
      <c r="S415">
        <v>3</v>
      </c>
      <c r="T415">
        <v>7</v>
      </c>
      <c r="U415">
        <v>4</v>
      </c>
      <c r="V415">
        <v>6</v>
      </c>
      <c r="W415">
        <v>5</v>
      </c>
      <c r="X415">
        <v>0</v>
      </c>
      <c r="Y415">
        <v>4</v>
      </c>
      <c r="Z415" t="s">
        <v>1550</v>
      </c>
      <c r="AA415" t="s">
        <v>69</v>
      </c>
      <c r="AB415" t="str" cm="1">
        <f t="array" ref="AB415">_xlfn.IFS(cleaned_data[[#This Row],[YearsAtCompany]]&lt;=5, "0-5",cleaned_data[[#This Row],[YearsAtCompany]]&lt;=10,"6-10",TRUE,"10+")</f>
        <v>6-10</v>
      </c>
    </row>
    <row r="416" spans="1:28" x14ac:dyDescent="0.3">
      <c r="A416" s="2">
        <v>24</v>
      </c>
      <c r="B416" t="s">
        <v>35</v>
      </c>
      <c r="C416">
        <v>1</v>
      </c>
      <c r="D416" t="s">
        <v>36</v>
      </c>
      <c r="E416" t="s">
        <v>37</v>
      </c>
      <c r="F416">
        <v>1</v>
      </c>
      <c r="G416" t="s">
        <v>60</v>
      </c>
      <c r="H416" t="s">
        <v>486</v>
      </c>
      <c r="I416">
        <v>1</v>
      </c>
      <c r="J416" t="s">
        <v>39</v>
      </c>
      <c r="K416">
        <v>3</v>
      </c>
      <c r="L416">
        <v>1</v>
      </c>
      <c r="M416" t="s">
        <v>57</v>
      </c>
      <c r="N416">
        <v>2</v>
      </c>
      <c r="O416" t="s">
        <v>41</v>
      </c>
      <c r="P416" s="1">
        <v>3202</v>
      </c>
      <c r="Q416" t="s">
        <v>72</v>
      </c>
      <c r="R416" t="s">
        <v>35</v>
      </c>
      <c r="S416">
        <v>3</v>
      </c>
      <c r="T416">
        <v>6</v>
      </c>
      <c r="U416">
        <v>3</v>
      </c>
      <c r="V416">
        <v>5</v>
      </c>
      <c r="W416">
        <v>3</v>
      </c>
      <c r="X416">
        <v>1</v>
      </c>
      <c r="Y416">
        <v>4</v>
      </c>
      <c r="Z416" t="s">
        <v>68</v>
      </c>
      <c r="AA416" t="s">
        <v>69</v>
      </c>
      <c r="AB416" t="str" cm="1">
        <f t="array" ref="AB416">_xlfn.IFS(cleaned_data[[#This Row],[YearsAtCompany]]&lt;=5, "0-5",cleaned_data[[#This Row],[YearsAtCompany]]&lt;=10,"6-10",TRUE,"10+")</f>
        <v>0-5</v>
      </c>
    </row>
    <row r="417" spans="1:28" x14ac:dyDescent="0.3">
      <c r="A417" s="2">
        <v>34</v>
      </c>
      <c r="B417" t="s">
        <v>35</v>
      </c>
      <c r="C417">
        <v>1</v>
      </c>
      <c r="D417" t="s">
        <v>44</v>
      </c>
      <c r="E417" t="s">
        <v>37</v>
      </c>
      <c r="F417">
        <v>6</v>
      </c>
      <c r="G417" t="s">
        <v>59</v>
      </c>
      <c r="H417" t="s">
        <v>487</v>
      </c>
      <c r="I417">
        <v>4</v>
      </c>
      <c r="J417" t="s">
        <v>39</v>
      </c>
      <c r="K417">
        <v>1</v>
      </c>
      <c r="L417">
        <v>1</v>
      </c>
      <c r="M417" t="s">
        <v>57</v>
      </c>
      <c r="N417">
        <v>3</v>
      </c>
      <c r="O417" t="s">
        <v>52</v>
      </c>
      <c r="P417" s="1">
        <v>2351</v>
      </c>
      <c r="Q417" t="s">
        <v>72</v>
      </c>
      <c r="R417" t="s">
        <v>43</v>
      </c>
      <c r="S417">
        <v>3</v>
      </c>
      <c r="T417">
        <v>3</v>
      </c>
      <c r="U417">
        <v>2</v>
      </c>
      <c r="V417">
        <v>2</v>
      </c>
      <c r="W417">
        <v>2</v>
      </c>
      <c r="X417">
        <v>1</v>
      </c>
      <c r="Y417">
        <v>0</v>
      </c>
      <c r="Z417" t="s">
        <v>1551</v>
      </c>
      <c r="AA417" t="s">
        <v>78</v>
      </c>
      <c r="AB417" t="str" cm="1">
        <f t="array" ref="AB417">_xlfn.IFS(cleaned_data[[#This Row],[YearsAtCompany]]&lt;=5, "0-5",cleaned_data[[#This Row],[YearsAtCompany]]&lt;=10,"6-10",TRUE,"10+")</f>
        <v>0-5</v>
      </c>
    </row>
    <row r="418" spans="1:28" x14ac:dyDescent="0.3">
      <c r="A418" s="2">
        <v>38</v>
      </c>
      <c r="B418" t="s">
        <v>43</v>
      </c>
      <c r="C418">
        <v>0</v>
      </c>
      <c r="D418" t="s">
        <v>44</v>
      </c>
      <c r="E418" t="s">
        <v>45</v>
      </c>
      <c r="F418">
        <v>2</v>
      </c>
      <c r="G418" t="s">
        <v>38</v>
      </c>
      <c r="H418" t="s">
        <v>488</v>
      </c>
      <c r="I418">
        <v>4</v>
      </c>
      <c r="J418" t="s">
        <v>46</v>
      </c>
      <c r="K418">
        <v>3</v>
      </c>
      <c r="L418">
        <v>1</v>
      </c>
      <c r="M418" t="s">
        <v>50</v>
      </c>
      <c r="N418">
        <v>4</v>
      </c>
      <c r="O418" t="s">
        <v>48</v>
      </c>
      <c r="P418" s="1">
        <v>1702</v>
      </c>
      <c r="Q418" t="s">
        <v>72</v>
      </c>
      <c r="R418" t="s">
        <v>35</v>
      </c>
      <c r="S418">
        <v>4</v>
      </c>
      <c r="T418">
        <v>1</v>
      </c>
      <c r="U418">
        <v>3</v>
      </c>
      <c r="V418">
        <v>1</v>
      </c>
      <c r="W418">
        <v>0</v>
      </c>
      <c r="X418">
        <v>0</v>
      </c>
      <c r="Y418">
        <v>0</v>
      </c>
      <c r="Z418" t="s">
        <v>1550</v>
      </c>
      <c r="AA418" t="s">
        <v>78</v>
      </c>
      <c r="AB418" t="str" cm="1">
        <f t="array" ref="AB418">_xlfn.IFS(cleaned_data[[#This Row],[YearsAtCompany]]&lt;=5, "0-5",cleaned_data[[#This Row],[YearsAtCompany]]&lt;=10,"6-10",TRUE,"10+")</f>
        <v>0-5</v>
      </c>
    </row>
    <row r="419" spans="1:28" x14ac:dyDescent="0.3">
      <c r="A419" s="2">
        <v>40</v>
      </c>
      <c r="B419" t="s">
        <v>43</v>
      </c>
      <c r="C419">
        <v>0</v>
      </c>
      <c r="D419" t="s">
        <v>36</v>
      </c>
      <c r="E419" t="s">
        <v>37</v>
      </c>
      <c r="F419">
        <v>2</v>
      </c>
      <c r="G419" t="s">
        <v>38</v>
      </c>
      <c r="H419" t="s">
        <v>489</v>
      </c>
      <c r="I419">
        <v>3</v>
      </c>
      <c r="J419" t="s">
        <v>39</v>
      </c>
      <c r="K419">
        <v>3</v>
      </c>
      <c r="L419">
        <v>5</v>
      </c>
      <c r="M419" t="s">
        <v>56</v>
      </c>
      <c r="N419">
        <v>3</v>
      </c>
      <c r="O419" t="s">
        <v>48</v>
      </c>
      <c r="P419" s="1">
        <v>18041</v>
      </c>
      <c r="Q419" t="s">
        <v>90</v>
      </c>
      <c r="R419" t="s">
        <v>43</v>
      </c>
      <c r="S419">
        <v>3</v>
      </c>
      <c r="T419">
        <v>21</v>
      </c>
      <c r="U419">
        <v>3</v>
      </c>
      <c r="V419">
        <v>20</v>
      </c>
      <c r="W419">
        <v>15</v>
      </c>
      <c r="X419">
        <v>1</v>
      </c>
      <c r="Y419">
        <v>12</v>
      </c>
      <c r="Z419" t="s">
        <v>1550</v>
      </c>
      <c r="AA419" t="s">
        <v>82</v>
      </c>
      <c r="AB419" t="str" cm="1">
        <f t="array" ref="AB419">_xlfn.IFS(cleaned_data[[#This Row],[YearsAtCompany]]&lt;=5, "0-5",cleaned_data[[#This Row],[YearsAtCompany]]&lt;=10,"6-10",TRUE,"10+")</f>
        <v>10+</v>
      </c>
    </row>
    <row r="420" spans="1:28" x14ac:dyDescent="0.3">
      <c r="A420" s="2">
        <v>26</v>
      </c>
      <c r="B420" t="s">
        <v>43</v>
      </c>
      <c r="C420">
        <v>0</v>
      </c>
      <c r="D420" t="s">
        <v>36</v>
      </c>
      <c r="E420" t="s">
        <v>45</v>
      </c>
      <c r="F420">
        <v>23</v>
      </c>
      <c r="G420" t="s">
        <v>38</v>
      </c>
      <c r="H420" t="s">
        <v>490</v>
      </c>
      <c r="I420">
        <v>1</v>
      </c>
      <c r="J420" t="s">
        <v>39</v>
      </c>
      <c r="K420">
        <v>3</v>
      </c>
      <c r="L420">
        <v>1</v>
      </c>
      <c r="M420" t="s">
        <v>47</v>
      </c>
      <c r="N420">
        <v>4</v>
      </c>
      <c r="O420" t="s">
        <v>52</v>
      </c>
      <c r="P420" s="1">
        <v>2886</v>
      </c>
      <c r="Q420" t="s">
        <v>72</v>
      </c>
      <c r="R420" t="s">
        <v>43</v>
      </c>
      <c r="S420">
        <v>4</v>
      </c>
      <c r="T420">
        <v>3</v>
      </c>
      <c r="U420">
        <v>1</v>
      </c>
      <c r="V420">
        <v>3</v>
      </c>
      <c r="W420">
        <v>2</v>
      </c>
      <c r="X420">
        <v>0</v>
      </c>
      <c r="Y420">
        <v>2</v>
      </c>
      <c r="Z420" t="s">
        <v>1551</v>
      </c>
      <c r="AA420" t="s">
        <v>78</v>
      </c>
      <c r="AB420" t="str" cm="1">
        <f t="array" ref="AB420">_xlfn.IFS(cleaned_data[[#This Row],[YearsAtCompany]]&lt;=5, "0-5",cleaned_data[[#This Row],[YearsAtCompany]]&lt;=10,"6-10",TRUE,"10+")</f>
        <v>0-5</v>
      </c>
    </row>
    <row r="421" spans="1:28" x14ac:dyDescent="0.3">
      <c r="A421" s="2">
        <v>30</v>
      </c>
      <c r="B421" t="s">
        <v>43</v>
      </c>
      <c r="C421">
        <v>0</v>
      </c>
      <c r="D421" t="s">
        <v>55</v>
      </c>
      <c r="E421" t="s">
        <v>45</v>
      </c>
      <c r="F421">
        <v>3</v>
      </c>
      <c r="G421" t="s">
        <v>38</v>
      </c>
      <c r="H421" t="s">
        <v>491</v>
      </c>
      <c r="I421">
        <v>3</v>
      </c>
      <c r="J421" t="s">
        <v>46</v>
      </c>
      <c r="K421">
        <v>3</v>
      </c>
      <c r="L421">
        <v>1</v>
      </c>
      <c r="M421" t="s">
        <v>50</v>
      </c>
      <c r="N421">
        <v>4</v>
      </c>
      <c r="O421" t="s">
        <v>48</v>
      </c>
      <c r="P421" s="1">
        <v>2097</v>
      </c>
      <c r="Q421" t="s">
        <v>72</v>
      </c>
      <c r="R421" t="s">
        <v>43</v>
      </c>
      <c r="S421">
        <v>3</v>
      </c>
      <c r="T421">
        <v>9</v>
      </c>
      <c r="U421">
        <v>1</v>
      </c>
      <c r="V421">
        <v>5</v>
      </c>
      <c r="W421">
        <v>3</v>
      </c>
      <c r="X421">
        <v>1</v>
      </c>
      <c r="Y421">
        <v>4</v>
      </c>
      <c r="Z421" t="s">
        <v>1551</v>
      </c>
      <c r="AA421" t="s">
        <v>69</v>
      </c>
      <c r="AB421" t="str" cm="1">
        <f t="array" ref="AB421">_xlfn.IFS(cleaned_data[[#This Row],[YearsAtCompany]]&lt;=5, "0-5",cleaned_data[[#This Row],[YearsAtCompany]]&lt;=10,"6-10",TRUE,"10+")</f>
        <v>0-5</v>
      </c>
    </row>
    <row r="422" spans="1:28" x14ac:dyDescent="0.3">
      <c r="A422" s="2">
        <v>29</v>
      </c>
      <c r="B422" t="s">
        <v>43</v>
      </c>
      <c r="C422">
        <v>0</v>
      </c>
      <c r="D422" t="s">
        <v>36</v>
      </c>
      <c r="E422" t="s">
        <v>45</v>
      </c>
      <c r="F422">
        <v>3</v>
      </c>
      <c r="G422" t="s">
        <v>51</v>
      </c>
      <c r="H422" t="s">
        <v>492</v>
      </c>
      <c r="I422">
        <v>2</v>
      </c>
      <c r="J422" t="s">
        <v>46</v>
      </c>
      <c r="K422">
        <v>2</v>
      </c>
      <c r="L422">
        <v>3</v>
      </c>
      <c r="M422" t="s">
        <v>58</v>
      </c>
      <c r="N422">
        <v>3</v>
      </c>
      <c r="O422" t="s">
        <v>48</v>
      </c>
      <c r="P422" s="1">
        <v>11935</v>
      </c>
      <c r="Q422" t="s">
        <v>67</v>
      </c>
      <c r="R422" t="s">
        <v>43</v>
      </c>
      <c r="S422">
        <v>3</v>
      </c>
      <c r="T422">
        <v>10</v>
      </c>
      <c r="U422">
        <v>3</v>
      </c>
      <c r="V422">
        <v>10</v>
      </c>
      <c r="W422">
        <v>2</v>
      </c>
      <c r="X422">
        <v>0</v>
      </c>
      <c r="Y422">
        <v>7</v>
      </c>
      <c r="Z422" t="s">
        <v>1551</v>
      </c>
      <c r="AA422" t="s">
        <v>69</v>
      </c>
      <c r="AB422" t="str" cm="1">
        <f t="array" ref="AB422">_xlfn.IFS(cleaned_data[[#This Row],[YearsAtCompany]]&lt;=5, "0-5",cleaned_data[[#This Row],[YearsAtCompany]]&lt;=10,"6-10",TRUE,"10+")</f>
        <v>6-10</v>
      </c>
    </row>
    <row r="423" spans="1:28" x14ac:dyDescent="0.3">
      <c r="A423" s="2">
        <v>29</v>
      </c>
      <c r="B423" t="s">
        <v>35</v>
      </c>
      <c r="C423">
        <v>1</v>
      </c>
      <c r="D423" t="s">
        <v>36</v>
      </c>
      <c r="E423" t="s">
        <v>45</v>
      </c>
      <c r="F423">
        <v>25</v>
      </c>
      <c r="G423" t="s">
        <v>60</v>
      </c>
      <c r="H423" t="s">
        <v>493</v>
      </c>
      <c r="I423">
        <v>3</v>
      </c>
      <c r="J423" t="s">
        <v>39</v>
      </c>
      <c r="K423">
        <v>2</v>
      </c>
      <c r="L423">
        <v>1</v>
      </c>
      <c r="M423" t="s">
        <v>47</v>
      </c>
      <c r="N423">
        <v>2</v>
      </c>
      <c r="O423" t="s">
        <v>48</v>
      </c>
      <c r="P423" s="1">
        <v>2546</v>
      </c>
      <c r="Q423" t="s">
        <v>72</v>
      </c>
      <c r="R423" t="s">
        <v>43</v>
      </c>
      <c r="S423">
        <v>3</v>
      </c>
      <c r="T423">
        <v>6</v>
      </c>
      <c r="U423">
        <v>4</v>
      </c>
      <c r="V423">
        <v>2</v>
      </c>
      <c r="W423">
        <v>2</v>
      </c>
      <c r="X423">
        <v>1</v>
      </c>
      <c r="Y423">
        <v>1</v>
      </c>
      <c r="Z423" t="s">
        <v>1551</v>
      </c>
      <c r="AA423" t="s">
        <v>69</v>
      </c>
      <c r="AB423" t="str" cm="1">
        <f t="array" ref="AB423">_xlfn.IFS(cleaned_data[[#This Row],[YearsAtCompany]]&lt;=5, "0-5",cleaned_data[[#This Row],[YearsAtCompany]]&lt;=10,"6-10",TRUE,"10+")</f>
        <v>0-5</v>
      </c>
    </row>
    <row r="424" spans="1:28" x14ac:dyDescent="0.3">
      <c r="A424" s="2">
        <v>19</v>
      </c>
      <c r="B424" t="s">
        <v>35</v>
      </c>
      <c r="C424">
        <v>1</v>
      </c>
      <c r="D424" t="s">
        <v>36</v>
      </c>
      <c r="E424" t="s">
        <v>61</v>
      </c>
      <c r="F424">
        <v>2</v>
      </c>
      <c r="G424" t="s">
        <v>60</v>
      </c>
      <c r="H424" t="s">
        <v>494</v>
      </c>
      <c r="I424">
        <v>1</v>
      </c>
      <c r="J424" t="s">
        <v>46</v>
      </c>
      <c r="K424">
        <v>2</v>
      </c>
      <c r="L424">
        <v>1</v>
      </c>
      <c r="M424" t="s">
        <v>61</v>
      </c>
      <c r="N424">
        <v>4</v>
      </c>
      <c r="O424" t="s">
        <v>41</v>
      </c>
      <c r="P424" s="1">
        <v>2564</v>
      </c>
      <c r="Q424" t="s">
        <v>72</v>
      </c>
      <c r="R424" t="s">
        <v>43</v>
      </c>
      <c r="S424">
        <v>3</v>
      </c>
      <c r="T424">
        <v>1</v>
      </c>
      <c r="U424">
        <v>4</v>
      </c>
      <c r="V424">
        <v>1</v>
      </c>
      <c r="W424">
        <v>0</v>
      </c>
      <c r="X424">
        <v>0</v>
      </c>
      <c r="Y424">
        <v>0</v>
      </c>
      <c r="Z424" t="s">
        <v>68</v>
      </c>
      <c r="AA424" t="s">
        <v>78</v>
      </c>
      <c r="AB424" t="str" cm="1">
        <f t="array" ref="AB424">_xlfn.IFS(cleaned_data[[#This Row],[YearsAtCompany]]&lt;=5, "0-5",cleaned_data[[#This Row],[YearsAtCompany]]&lt;=10,"6-10",TRUE,"10+")</f>
        <v>0-5</v>
      </c>
    </row>
    <row r="425" spans="1:28" x14ac:dyDescent="0.3">
      <c r="A425" s="2">
        <v>30</v>
      </c>
      <c r="B425" t="s">
        <v>43</v>
      </c>
      <c r="C425">
        <v>0</v>
      </c>
      <c r="D425" t="s">
        <v>55</v>
      </c>
      <c r="E425" t="s">
        <v>37</v>
      </c>
      <c r="F425">
        <v>22</v>
      </c>
      <c r="G425" t="s">
        <v>49</v>
      </c>
      <c r="H425" t="s">
        <v>495</v>
      </c>
      <c r="I425">
        <v>3</v>
      </c>
      <c r="J425" t="s">
        <v>39</v>
      </c>
      <c r="K425">
        <v>3</v>
      </c>
      <c r="L425">
        <v>3</v>
      </c>
      <c r="M425" t="s">
        <v>40</v>
      </c>
      <c r="N425">
        <v>1</v>
      </c>
      <c r="O425" t="s">
        <v>48</v>
      </c>
      <c r="P425" s="6">
        <v>8412</v>
      </c>
      <c r="Q425" t="s">
        <v>67</v>
      </c>
      <c r="R425" t="s">
        <v>43</v>
      </c>
      <c r="S425">
        <v>3</v>
      </c>
      <c r="T425">
        <v>10</v>
      </c>
      <c r="U425">
        <v>3</v>
      </c>
      <c r="V425">
        <v>9</v>
      </c>
      <c r="W425">
        <v>8</v>
      </c>
      <c r="X425">
        <v>7</v>
      </c>
      <c r="Y425">
        <v>8</v>
      </c>
      <c r="Z425" t="s">
        <v>1551</v>
      </c>
      <c r="AA425" t="s">
        <v>69</v>
      </c>
      <c r="AB425" t="str" cm="1">
        <f t="array" ref="AB425">_xlfn.IFS(cleaned_data[[#This Row],[YearsAtCompany]]&lt;=5, "0-5",cleaned_data[[#This Row],[YearsAtCompany]]&lt;=10,"6-10",TRUE,"10+")</f>
        <v>6-10</v>
      </c>
    </row>
    <row r="426" spans="1:28" x14ac:dyDescent="0.3">
      <c r="A426" s="2">
        <v>57</v>
      </c>
      <c r="B426" t="s">
        <v>43</v>
      </c>
      <c r="C426">
        <v>0</v>
      </c>
      <c r="D426" t="s">
        <v>36</v>
      </c>
      <c r="E426" t="s">
        <v>37</v>
      </c>
      <c r="F426">
        <v>29</v>
      </c>
      <c r="G426" t="s">
        <v>59</v>
      </c>
      <c r="H426" t="s">
        <v>496</v>
      </c>
      <c r="I426">
        <v>1</v>
      </c>
      <c r="J426" t="s">
        <v>46</v>
      </c>
      <c r="K426">
        <v>2</v>
      </c>
      <c r="L426">
        <v>4</v>
      </c>
      <c r="M426" t="s">
        <v>56</v>
      </c>
      <c r="N426">
        <v>4</v>
      </c>
      <c r="O426" t="s">
        <v>52</v>
      </c>
      <c r="P426" s="1">
        <v>14118</v>
      </c>
      <c r="Q426" t="s">
        <v>90</v>
      </c>
      <c r="R426" t="s">
        <v>43</v>
      </c>
      <c r="S426">
        <v>3</v>
      </c>
      <c r="T426">
        <v>32</v>
      </c>
      <c r="U426">
        <v>2</v>
      </c>
      <c r="V426">
        <v>1</v>
      </c>
      <c r="W426">
        <v>0</v>
      </c>
      <c r="X426">
        <v>0</v>
      </c>
      <c r="Y426">
        <v>0</v>
      </c>
      <c r="Z426" t="s">
        <v>106</v>
      </c>
      <c r="AA426" t="s">
        <v>82</v>
      </c>
      <c r="AB426" t="str" cm="1">
        <f t="array" ref="AB426">_xlfn.IFS(cleaned_data[[#This Row],[YearsAtCompany]]&lt;=5, "0-5",cleaned_data[[#This Row],[YearsAtCompany]]&lt;=10,"6-10",TRUE,"10+")</f>
        <v>0-5</v>
      </c>
    </row>
    <row r="427" spans="1:28" x14ac:dyDescent="0.3">
      <c r="A427" s="2">
        <v>50</v>
      </c>
      <c r="B427" t="s">
        <v>43</v>
      </c>
      <c r="C427">
        <v>0</v>
      </c>
      <c r="D427" t="s">
        <v>36</v>
      </c>
      <c r="E427" t="s">
        <v>45</v>
      </c>
      <c r="F427">
        <v>29</v>
      </c>
      <c r="G427" t="s">
        <v>38</v>
      </c>
      <c r="H427" t="s">
        <v>497</v>
      </c>
      <c r="I427">
        <v>2</v>
      </c>
      <c r="J427" t="s">
        <v>46</v>
      </c>
      <c r="K427">
        <v>2</v>
      </c>
      <c r="L427">
        <v>4</v>
      </c>
      <c r="M427" t="s">
        <v>56</v>
      </c>
      <c r="N427">
        <v>3</v>
      </c>
      <c r="O427" t="s">
        <v>48</v>
      </c>
      <c r="P427" s="1">
        <v>17046</v>
      </c>
      <c r="Q427" t="s">
        <v>90</v>
      </c>
      <c r="R427" t="s">
        <v>43</v>
      </c>
      <c r="S427">
        <v>3</v>
      </c>
      <c r="T427">
        <v>28</v>
      </c>
      <c r="U427">
        <v>3</v>
      </c>
      <c r="V427">
        <v>27</v>
      </c>
      <c r="W427">
        <v>10</v>
      </c>
      <c r="X427">
        <v>15</v>
      </c>
      <c r="Y427">
        <v>7</v>
      </c>
      <c r="Z427" t="s">
        <v>106</v>
      </c>
      <c r="AA427" t="s">
        <v>82</v>
      </c>
      <c r="AB427" t="str" cm="1">
        <f t="array" ref="AB427">_xlfn.IFS(cleaned_data[[#This Row],[YearsAtCompany]]&lt;=5, "0-5",cleaned_data[[#This Row],[YearsAtCompany]]&lt;=10,"6-10",TRUE,"10+")</f>
        <v>10+</v>
      </c>
    </row>
    <row r="428" spans="1:28" x14ac:dyDescent="0.3">
      <c r="A428" s="2">
        <v>30</v>
      </c>
      <c r="B428" t="s">
        <v>43</v>
      </c>
      <c r="C428">
        <v>0</v>
      </c>
      <c r="D428" t="s">
        <v>55</v>
      </c>
      <c r="E428" t="s">
        <v>45</v>
      </c>
      <c r="F428">
        <v>2</v>
      </c>
      <c r="G428" t="s">
        <v>51</v>
      </c>
      <c r="H428" t="s">
        <v>498</v>
      </c>
      <c r="I428">
        <v>3</v>
      </c>
      <c r="J428" t="s">
        <v>39</v>
      </c>
      <c r="K428">
        <v>3</v>
      </c>
      <c r="L428">
        <v>1</v>
      </c>
      <c r="M428" t="s">
        <v>50</v>
      </c>
      <c r="N428">
        <v>4</v>
      </c>
      <c r="O428" t="s">
        <v>41</v>
      </c>
      <c r="P428" s="1">
        <v>2564</v>
      </c>
      <c r="Q428" t="s">
        <v>72</v>
      </c>
      <c r="R428" t="s">
        <v>43</v>
      </c>
      <c r="S428">
        <v>3</v>
      </c>
      <c r="T428">
        <v>12</v>
      </c>
      <c r="U428">
        <v>2</v>
      </c>
      <c r="V428">
        <v>11</v>
      </c>
      <c r="W428">
        <v>7</v>
      </c>
      <c r="X428">
        <v>6</v>
      </c>
      <c r="Y428">
        <v>7</v>
      </c>
      <c r="Z428" t="s">
        <v>1551</v>
      </c>
      <c r="AA428" t="s">
        <v>69</v>
      </c>
      <c r="AB428" t="str" cm="1">
        <f t="array" ref="AB428">_xlfn.IFS(cleaned_data[[#This Row],[YearsAtCompany]]&lt;=5, "0-5",cleaned_data[[#This Row],[YearsAtCompany]]&lt;=10,"6-10",TRUE,"10+")</f>
        <v>10+</v>
      </c>
    </row>
    <row r="429" spans="1:28" x14ac:dyDescent="0.3">
      <c r="A429" s="2">
        <v>60</v>
      </c>
      <c r="B429" t="s">
        <v>43</v>
      </c>
      <c r="C429">
        <v>0</v>
      </c>
      <c r="D429" t="s">
        <v>44</v>
      </c>
      <c r="E429" t="s">
        <v>37</v>
      </c>
      <c r="F429">
        <v>28</v>
      </c>
      <c r="G429" t="s">
        <v>59</v>
      </c>
      <c r="H429" t="s">
        <v>499</v>
      </c>
      <c r="I429">
        <v>3</v>
      </c>
      <c r="J429" t="s">
        <v>39</v>
      </c>
      <c r="K429">
        <v>2</v>
      </c>
      <c r="L429">
        <v>3</v>
      </c>
      <c r="M429" t="s">
        <v>40</v>
      </c>
      <c r="N429">
        <v>1</v>
      </c>
      <c r="O429" t="s">
        <v>48</v>
      </c>
      <c r="P429" s="6">
        <v>10266</v>
      </c>
      <c r="Q429" t="s">
        <v>67</v>
      </c>
      <c r="R429" t="s">
        <v>43</v>
      </c>
      <c r="S429">
        <v>3</v>
      </c>
      <c r="T429">
        <v>22</v>
      </c>
      <c r="U429">
        <v>4</v>
      </c>
      <c r="V429">
        <v>18</v>
      </c>
      <c r="W429">
        <v>13</v>
      </c>
      <c r="X429">
        <v>13</v>
      </c>
      <c r="Y429">
        <v>11</v>
      </c>
      <c r="Z429" t="s">
        <v>106</v>
      </c>
      <c r="AA429" t="s">
        <v>82</v>
      </c>
      <c r="AB429" t="str" cm="1">
        <f t="array" ref="AB429">_xlfn.IFS(cleaned_data[[#This Row],[YearsAtCompany]]&lt;=5, "0-5",cleaned_data[[#This Row],[YearsAtCompany]]&lt;=10,"6-10",TRUE,"10+")</f>
        <v>10+</v>
      </c>
    </row>
    <row r="430" spans="1:28" x14ac:dyDescent="0.3">
      <c r="A430" s="2">
        <v>47</v>
      </c>
      <c r="B430" t="s">
        <v>43</v>
      </c>
      <c r="C430">
        <v>0</v>
      </c>
      <c r="D430" t="s">
        <v>36</v>
      </c>
      <c r="E430" t="s">
        <v>45</v>
      </c>
      <c r="F430">
        <v>2</v>
      </c>
      <c r="G430" t="s">
        <v>51</v>
      </c>
      <c r="H430" t="s">
        <v>500</v>
      </c>
      <c r="I430">
        <v>1</v>
      </c>
      <c r="J430" t="s">
        <v>39</v>
      </c>
      <c r="K430">
        <v>3</v>
      </c>
      <c r="L430">
        <v>2</v>
      </c>
      <c r="M430" t="s">
        <v>53</v>
      </c>
      <c r="N430">
        <v>4</v>
      </c>
      <c r="O430" t="s">
        <v>52</v>
      </c>
      <c r="P430" s="1">
        <v>5070</v>
      </c>
      <c r="Q430" t="s">
        <v>67</v>
      </c>
      <c r="R430" t="s">
        <v>43</v>
      </c>
      <c r="S430">
        <v>3</v>
      </c>
      <c r="T430">
        <v>20</v>
      </c>
      <c r="U430">
        <v>3</v>
      </c>
      <c r="V430">
        <v>5</v>
      </c>
      <c r="W430">
        <v>0</v>
      </c>
      <c r="X430">
        <v>0</v>
      </c>
      <c r="Y430">
        <v>4</v>
      </c>
      <c r="Z430" t="s">
        <v>106</v>
      </c>
      <c r="AA430" t="s">
        <v>82</v>
      </c>
      <c r="AB430" t="str" cm="1">
        <f t="array" ref="AB430">_xlfn.IFS(cleaned_data[[#This Row],[YearsAtCompany]]&lt;=5, "0-5",cleaned_data[[#This Row],[YearsAtCompany]]&lt;=10,"6-10",TRUE,"10+")</f>
        <v>0-5</v>
      </c>
    </row>
    <row r="431" spans="1:28" x14ac:dyDescent="0.3">
      <c r="A431" s="2">
        <v>46</v>
      </c>
      <c r="B431" t="s">
        <v>43</v>
      </c>
      <c r="C431">
        <v>0</v>
      </c>
      <c r="D431" t="s">
        <v>36</v>
      </c>
      <c r="E431" t="s">
        <v>45</v>
      </c>
      <c r="F431">
        <v>2</v>
      </c>
      <c r="G431" t="s">
        <v>38</v>
      </c>
      <c r="H431" t="s">
        <v>501</v>
      </c>
      <c r="I431">
        <v>1</v>
      </c>
      <c r="J431" t="s">
        <v>46</v>
      </c>
      <c r="K431">
        <v>3</v>
      </c>
      <c r="L431">
        <v>4</v>
      </c>
      <c r="M431" t="s">
        <v>58</v>
      </c>
      <c r="N431">
        <v>3</v>
      </c>
      <c r="O431" t="s">
        <v>48</v>
      </c>
      <c r="P431" s="1">
        <v>17861</v>
      </c>
      <c r="Q431" t="s">
        <v>90</v>
      </c>
      <c r="R431" t="s">
        <v>43</v>
      </c>
      <c r="S431">
        <v>3</v>
      </c>
      <c r="T431">
        <v>26</v>
      </c>
      <c r="U431">
        <v>1</v>
      </c>
      <c r="V431">
        <v>3</v>
      </c>
      <c r="W431">
        <v>2</v>
      </c>
      <c r="X431">
        <v>0</v>
      </c>
      <c r="Y431">
        <v>1</v>
      </c>
      <c r="Z431" t="s">
        <v>106</v>
      </c>
      <c r="AA431" t="s">
        <v>82</v>
      </c>
      <c r="AB431" t="str" cm="1">
        <f t="array" ref="AB431">_xlfn.IFS(cleaned_data[[#This Row],[YearsAtCompany]]&lt;=5, "0-5",cleaned_data[[#This Row],[YearsAtCompany]]&lt;=10,"6-10",TRUE,"10+")</f>
        <v>0-5</v>
      </c>
    </row>
    <row r="432" spans="1:28" x14ac:dyDescent="0.3">
      <c r="A432" s="2">
        <v>35</v>
      </c>
      <c r="B432" t="s">
        <v>43</v>
      </c>
      <c r="C432">
        <v>0</v>
      </c>
      <c r="D432" t="s">
        <v>36</v>
      </c>
      <c r="E432" t="s">
        <v>45</v>
      </c>
      <c r="F432">
        <v>22</v>
      </c>
      <c r="G432" t="s">
        <v>38</v>
      </c>
      <c r="H432" t="s">
        <v>502</v>
      </c>
      <c r="I432">
        <v>4</v>
      </c>
      <c r="J432" t="s">
        <v>46</v>
      </c>
      <c r="K432">
        <v>1</v>
      </c>
      <c r="L432">
        <v>1</v>
      </c>
      <c r="M432" t="s">
        <v>50</v>
      </c>
      <c r="N432">
        <v>3</v>
      </c>
      <c r="O432" t="s">
        <v>41</v>
      </c>
      <c r="P432" s="1">
        <v>4230</v>
      </c>
      <c r="Q432" t="s">
        <v>72</v>
      </c>
      <c r="R432" t="s">
        <v>43</v>
      </c>
      <c r="S432">
        <v>3</v>
      </c>
      <c r="T432">
        <v>6</v>
      </c>
      <c r="U432">
        <v>3</v>
      </c>
      <c r="V432">
        <v>5</v>
      </c>
      <c r="W432">
        <v>4</v>
      </c>
      <c r="X432">
        <v>4</v>
      </c>
      <c r="Y432">
        <v>3</v>
      </c>
      <c r="Z432" t="s">
        <v>1551</v>
      </c>
      <c r="AA432" t="s">
        <v>69</v>
      </c>
      <c r="AB432" t="str" cm="1">
        <f t="array" ref="AB432">_xlfn.IFS(cleaned_data[[#This Row],[YearsAtCompany]]&lt;=5, "0-5",cleaned_data[[#This Row],[YearsAtCompany]]&lt;=10,"6-10",TRUE,"10+")</f>
        <v>0-5</v>
      </c>
    </row>
    <row r="433" spans="1:28" x14ac:dyDescent="0.3">
      <c r="A433" s="2">
        <v>54</v>
      </c>
      <c r="B433" t="s">
        <v>43</v>
      </c>
      <c r="C433">
        <v>0</v>
      </c>
      <c r="D433" t="s">
        <v>36</v>
      </c>
      <c r="E433" t="s">
        <v>45</v>
      </c>
      <c r="F433">
        <v>8</v>
      </c>
      <c r="G433" t="s">
        <v>38</v>
      </c>
      <c r="H433" t="s">
        <v>503</v>
      </c>
      <c r="I433">
        <v>3</v>
      </c>
      <c r="J433" t="s">
        <v>39</v>
      </c>
      <c r="K433">
        <v>3</v>
      </c>
      <c r="L433">
        <v>2</v>
      </c>
      <c r="M433" t="s">
        <v>50</v>
      </c>
      <c r="N433">
        <v>3</v>
      </c>
      <c r="O433" t="s">
        <v>41</v>
      </c>
      <c r="P433" s="1">
        <v>3780</v>
      </c>
      <c r="Q433" t="s">
        <v>72</v>
      </c>
      <c r="R433" t="s">
        <v>43</v>
      </c>
      <c r="S433">
        <v>3</v>
      </c>
      <c r="T433">
        <v>19</v>
      </c>
      <c r="U433">
        <v>3</v>
      </c>
      <c r="V433">
        <v>1</v>
      </c>
      <c r="W433">
        <v>0</v>
      </c>
      <c r="X433">
        <v>0</v>
      </c>
      <c r="Y433">
        <v>0</v>
      </c>
      <c r="Z433" t="s">
        <v>106</v>
      </c>
      <c r="AA433" t="s">
        <v>82</v>
      </c>
      <c r="AB433" t="str" cm="1">
        <f t="array" ref="AB433">_xlfn.IFS(cleaned_data[[#This Row],[YearsAtCompany]]&lt;=5, "0-5",cleaned_data[[#This Row],[YearsAtCompany]]&lt;=10,"6-10",TRUE,"10+")</f>
        <v>0-5</v>
      </c>
    </row>
    <row r="434" spans="1:28" x14ac:dyDescent="0.3">
      <c r="A434" s="2">
        <v>34</v>
      </c>
      <c r="B434" t="s">
        <v>43</v>
      </c>
      <c r="C434">
        <v>0</v>
      </c>
      <c r="D434" t="s">
        <v>36</v>
      </c>
      <c r="E434" t="s">
        <v>45</v>
      </c>
      <c r="F434">
        <v>2</v>
      </c>
      <c r="G434" t="s">
        <v>38</v>
      </c>
      <c r="H434" t="s">
        <v>504</v>
      </c>
      <c r="I434">
        <v>4</v>
      </c>
      <c r="J434" t="s">
        <v>46</v>
      </c>
      <c r="K434">
        <v>2</v>
      </c>
      <c r="L434">
        <v>1</v>
      </c>
      <c r="M434" t="s">
        <v>47</v>
      </c>
      <c r="N434">
        <v>3</v>
      </c>
      <c r="O434" t="s">
        <v>52</v>
      </c>
      <c r="P434" s="1">
        <v>2768</v>
      </c>
      <c r="Q434" t="s">
        <v>72</v>
      </c>
      <c r="R434" t="s">
        <v>43</v>
      </c>
      <c r="S434">
        <v>3</v>
      </c>
      <c r="T434">
        <v>14</v>
      </c>
      <c r="U434">
        <v>3</v>
      </c>
      <c r="V434">
        <v>7</v>
      </c>
      <c r="W434">
        <v>3</v>
      </c>
      <c r="X434">
        <v>5</v>
      </c>
      <c r="Y434">
        <v>7</v>
      </c>
      <c r="Z434" t="s">
        <v>1551</v>
      </c>
      <c r="AA434" t="s">
        <v>69</v>
      </c>
      <c r="AB434" t="str" cm="1">
        <f t="array" ref="AB434">_xlfn.IFS(cleaned_data[[#This Row],[YearsAtCompany]]&lt;=5, "0-5",cleaned_data[[#This Row],[YearsAtCompany]]&lt;=10,"6-10",TRUE,"10+")</f>
        <v>6-10</v>
      </c>
    </row>
    <row r="435" spans="1:28" x14ac:dyDescent="0.3">
      <c r="A435" s="2">
        <v>46</v>
      </c>
      <c r="B435" t="s">
        <v>43</v>
      </c>
      <c r="C435">
        <v>0</v>
      </c>
      <c r="D435" t="s">
        <v>36</v>
      </c>
      <c r="E435" t="s">
        <v>37</v>
      </c>
      <c r="F435">
        <v>10</v>
      </c>
      <c r="G435" t="s">
        <v>59</v>
      </c>
      <c r="H435" t="s">
        <v>505</v>
      </c>
      <c r="I435">
        <v>3</v>
      </c>
      <c r="J435" t="s">
        <v>39</v>
      </c>
      <c r="K435">
        <v>2</v>
      </c>
      <c r="L435">
        <v>3</v>
      </c>
      <c r="M435" t="s">
        <v>40</v>
      </c>
      <c r="N435">
        <v>4</v>
      </c>
      <c r="O435" t="s">
        <v>48</v>
      </c>
      <c r="P435" s="1">
        <v>9071</v>
      </c>
      <c r="Q435" t="s">
        <v>67</v>
      </c>
      <c r="R435" t="s">
        <v>35</v>
      </c>
      <c r="S435">
        <v>3</v>
      </c>
      <c r="T435">
        <v>15</v>
      </c>
      <c r="U435">
        <v>3</v>
      </c>
      <c r="V435">
        <v>3</v>
      </c>
      <c r="W435">
        <v>2</v>
      </c>
      <c r="X435">
        <v>1</v>
      </c>
      <c r="Y435">
        <v>2</v>
      </c>
      <c r="Z435" t="s">
        <v>106</v>
      </c>
      <c r="AA435" t="s">
        <v>69</v>
      </c>
      <c r="AB435" t="str" cm="1">
        <f t="array" ref="AB435">_xlfn.IFS(cleaned_data[[#This Row],[YearsAtCompany]]&lt;=5, "0-5",cleaned_data[[#This Row],[YearsAtCompany]]&lt;=10,"6-10",TRUE,"10+")</f>
        <v>0-5</v>
      </c>
    </row>
    <row r="436" spans="1:28" x14ac:dyDescent="0.3">
      <c r="A436" s="2">
        <v>31</v>
      </c>
      <c r="B436" t="s">
        <v>43</v>
      </c>
      <c r="C436">
        <v>0</v>
      </c>
      <c r="D436" t="s">
        <v>36</v>
      </c>
      <c r="E436" t="s">
        <v>45</v>
      </c>
      <c r="F436">
        <v>9</v>
      </c>
      <c r="G436" t="s">
        <v>38</v>
      </c>
      <c r="H436" t="s">
        <v>506</v>
      </c>
      <c r="I436">
        <v>3</v>
      </c>
      <c r="J436" t="s">
        <v>46</v>
      </c>
      <c r="K436">
        <v>3</v>
      </c>
      <c r="L436">
        <v>3</v>
      </c>
      <c r="M436" t="s">
        <v>53</v>
      </c>
      <c r="N436">
        <v>2</v>
      </c>
      <c r="O436" t="s">
        <v>52</v>
      </c>
      <c r="P436" s="1">
        <v>10648</v>
      </c>
      <c r="Q436" t="s">
        <v>67</v>
      </c>
      <c r="R436" t="s">
        <v>43</v>
      </c>
      <c r="S436">
        <v>4</v>
      </c>
      <c r="T436">
        <v>13</v>
      </c>
      <c r="U436">
        <v>4</v>
      </c>
      <c r="V436">
        <v>13</v>
      </c>
      <c r="W436">
        <v>8</v>
      </c>
      <c r="X436">
        <v>0</v>
      </c>
      <c r="Y436">
        <v>8</v>
      </c>
      <c r="Z436" t="s">
        <v>1551</v>
      </c>
      <c r="AA436" t="s">
        <v>69</v>
      </c>
      <c r="AB436" t="str" cm="1">
        <f t="array" ref="AB436">_xlfn.IFS(cleaned_data[[#This Row],[YearsAtCompany]]&lt;=5, "0-5",cleaned_data[[#This Row],[YearsAtCompany]]&lt;=10,"6-10",TRUE,"10+")</f>
        <v>10+</v>
      </c>
    </row>
    <row r="437" spans="1:28" x14ac:dyDescent="0.3">
      <c r="A437" s="2">
        <v>33</v>
      </c>
      <c r="B437" t="s">
        <v>35</v>
      </c>
      <c r="C437">
        <v>1</v>
      </c>
      <c r="D437" t="s">
        <v>36</v>
      </c>
      <c r="E437" t="s">
        <v>45</v>
      </c>
      <c r="F437">
        <v>15</v>
      </c>
      <c r="G437" t="s">
        <v>51</v>
      </c>
      <c r="H437" t="s">
        <v>507</v>
      </c>
      <c r="I437">
        <v>2</v>
      </c>
      <c r="J437" t="s">
        <v>46</v>
      </c>
      <c r="K437">
        <v>3</v>
      </c>
      <c r="L437">
        <v>3</v>
      </c>
      <c r="M437" t="s">
        <v>56</v>
      </c>
      <c r="N437">
        <v>3</v>
      </c>
      <c r="O437" t="s">
        <v>48</v>
      </c>
      <c r="P437" s="1">
        <v>13610</v>
      </c>
      <c r="Q437" t="s">
        <v>90</v>
      </c>
      <c r="R437" t="s">
        <v>35</v>
      </c>
      <c r="S437">
        <v>3</v>
      </c>
      <c r="T437">
        <v>15</v>
      </c>
      <c r="U437">
        <v>4</v>
      </c>
      <c r="V437">
        <v>7</v>
      </c>
      <c r="W437">
        <v>6</v>
      </c>
      <c r="X437">
        <v>7</v>
      </c>
      <c r="Y437">
        <v>7</v>
      </c>
      <c r="Z437" t="s">
        <v>1551</v>
      </c>
      <c r="AA437" t="s">
        <v>69</v>
      </c>
      <c r="AB437" t="str" cm="1">
        <f t="array" ref="AB437">_xlfn.IFS(cleaned_data[[#This Row],[YearsAtCompany]]&lt;=5, "0-5",cleaned_data[[#This Row],[YearsAtCompany]]&lt;=10,"6-10",TRUE,"10+")</f>
        <v>6-10</v>
      </c>
    </row>
    <row r="438" spans="1:28" x14ac:dyDescent="0.3">
      <c r="A438" s="2">
        <v>33</v>
      </c>
      <c r="B438" t="s">
        <v>35</v>
      </c>
      <c r="C438">
        <v>1</v>
      </c>
      <c r="D438" t="s">
        <v>36</v>
      </c>
      <c r="E438" t="s">
        <v>45</v>
      </c>
      <c r="F438">
        <v>10</v>
      </c>
      <c r="G438" t="s">
        <v>51</v>
      </c>
      <c r="H438" t="s">
        <v>508</v>
      </c>
      <c r="I438">
        <v>1</v>
      </c>
      <c r="J438" t="s">
        <v>46</v>
      </c>
      <c r="K438">
        <v>1</v>
      </c>
      <c r="L438">
        <v>1</v>
      </c>
      <c r="M438" t="s">
        <v>50</v>
      </c>
      <c r="N438">
        <v>4</v>
      </c>
      <c r="O438" t="s">
        <v>52</v>
      </c>
      <c r="P438" s="1">
        <v>3408</v>
      </c>
      <c r="Q438" t="s">
        <v>72</v>
      </c>
      <c r="R438" t="s">
        <v>43</v>
      </c>
      <c r="S438">
        <v>3</v>
      </c>
      <c r="T438">
        <v>8</v>
      </c>
      <c r="U438">
        <v>3</v>
      </c>
      <c r="V438">
        <v>4</v>
      </c>
      <c r="W438">
        <v>3</v>
      </c>
      <c r="X438">
        <v>1</v>
      </c>
      <c r="Y438">
        <v>3</v>
      </c>
      <c r="Z438" t="s">
        <v>1551</v>
      </c>
      <c r="AA438" t="s">
        <v>69</v>
      </c>
      <c r="AB438" t="str" cm="1">
        <f t="array" ref="AB438">_xlfn.IFS(cleaned_data[[#This Row],[YearsAtCompany]]&lt;=5, "0-5",cleaned_data[[#This Row],[YearsAtCompany]]&lt;=10,"6-10",TRUE,"10+")</f>
        <v>0-5</v>
      </c>
    </row>
    <row r="439" spans="1:28" x14ac:dyDescent="0.3">
      <c r="A439" s="2">
        <v>30</v>
      </c>
      <c r="B439" t="s">
        <v>43</v>
      </c>
      <c r="C439">
        <v>0</v>
      </c>
      <c r="D439" t="s">
        <v>36</v>
      </c>
      <c r="E439" t="s">
        <v>37</v>
      </c>
      <c r="F439">
        <v>7</v>
      </c>
      <c r="G439" t="s">
        <v>59</v>
      </c>
      <c r="H439" t="s">
        <v>509</v>
      </c>
      <c r="I439">
        <v>4</v>
      </c>
      <c r="J439" t="s">
        <v>46</v>
      </c>
      <c r="K439">
        <v>3</v>
      </c>
      <c r="L439">
        <v>1</v>
      </c>
      <c r="M439" t="s">
        <v>57</v>
      </c>
      <c r="N439">
        <v>2</v>
      </c>
      <c r="O439" t="s">
        <v>41</v>
      </c>
      <c r="P439" s="1">
        <v>2983</v>
      </c>
      <c r="Q439" t="s">
        <v>72</v>
      </c>
      <c r="R439" t="s">
        <v>43</v>
      </c>
      <c r="S439">
        <v>3</v>
      </c>
      <c r="T439">
        <v>4</v>
      </c>
      <c r="U439">
        <v>3</v>
      </c>
      <c r="V439">
        <v>3</v>
      </c>
      <c r="W439">
        <v>2</v>
      </c>
      <c r="X439">
        <v>1</v>
      </c>
      <c r="Y439">
        <v>2</v>
      </c>
      <c r="Z439" t="s">
        <v>1551</v>
      </c>
      <c r="AA439" t="s">
        <v>78</v>
      </c>
      <c r="AB439" t="str" cm="1">
        <f t="array" ref="AB439">_xlfn.IFS(cleaned_data[[#This Row],[YearsAtCompany]]&lt;=5, "0-5",cleaned_data[[#This Row],[YearsAtCompany]]&lt;=10,"6-10",TRUE,"10+")</f>
        <v>0-5</v>
      </c>
    </row>
    <row r="440" spans="1:28" x14ac:dyDescent="0.3">
      <c r="A440" s="2">
        <v>35</v>
      </c>
      <c r="B440" t="s">
        <v>43</v>
      </c>
      <c r="C440">
        <v>0</v>
      </c>
      <c r="D440" t="s">
        <v>36</v>
      </c>
      <c r="E440" t="s">
        <v>45</v>
      </c>
      <c r="F440">
        <v>16</v>
      </c>
      <c r="G440" t="s">
        <v>38</v>
      </c>
      <c r="H440" t="s">
        <v>510</v>
      </c>
      <c r="I440">
        <v>4</v>
      </c>
      <c r="J440" t="s">
        <v>46</v>
      </c>
      <c r="K440">
        <v>3</v>
      </c>
      <c r="L440">
        <v>3</v>
      </c>
      <c r="M440" t="s">
        <v>54</v>
      </c>
      <c r="N440">
        <v>3</v>
      </c>
      <c r="O440" t="s">
        <v>48</v>
      </c>
      <c r="P440" s="1">
        <v>7632</v>
      </c>
      <c r="Q440" t="s">
        <v>67</v>
      </c>
      <c r="R440" t="s">
        <v>35</v>
      </c>
      <c r="S440">
        <v>3</v>
      </c>
      <c r="T440">
        <v>10</v>
      </c>
      <c r="U440">
        <v>3</v>
      </c>
      <c r="V440">
        <v>8</v>
      </c>
      <c r="W440">
        <v>7</v>
      </c>
      <c r="X440">
        <v>0</v>
      </c>
      <c r="Y440">
        <v>0</v>
      </c>
      <c r="Z440" t="s">
        <v>1551</v>
      </c>
      <c r="AA440" t="s">
        <v>69</v>
      </c>
      <c r="AB440" t="str" cm="1">
        <f t="array" ref="AB440">_xlfn.IFS(cleaned_data[[#This Row],[YearsAtCompany]]&lt;=5, "0-5",cleaned_data[[#This Row],[YearsAtCompany]]&lt;=10,"6-10",TRUE,"10+")</f>
        <v>6-10</v>
      </c>
    </row>
    <row r="441" spans="1:28" x14ac:dyDescent="0.3">
      <c r="A441" s="2">
        <v>31</v>
      </c>
      <c r="B441" t="s">
        <v>35</v>
      </c>
      <c r="C441">
        <v>1</v>
      </c>
      <c r="D441" t="s">
        <v>44</v>
      </c>
      <c r="E441" t="s">
        <v>45</v>
      </c>
      <c r="F441">
        <v>20</v>
      </c>
      <c r="G441" t="s">
        <v>38</v>
      </c>
      <c r="H441" t="s">
        <v>511</v>
      </c>
      <c r="I441">
        <v>1</v>
      </c>
      <c r="J441" t="s">
        <v>46</v>
      </c>
      <c r="K441">
        <v>3</v>
      </c>
      <c r="L441">
        <v>3</v>
      </c>
      <c r="M441" t="s">
        <v>54</v>
      </c>
      <c r="N441">
        <v>3</v>
      </c>
      <c r="O441" t="s">
        <v>48</v>
      </c>
      <c r="P441" s="1">
        <v>9824</v>
      </c>
      <c r="Q441" t="s">
        <v>67</v>
      </c>
      <c r="R441" t="s">
        <v>43</v>
      </c>
      <c r="S441">
        <v>3</v>
      </c>
      <c r="T441">
        <v>12</v>
      </c>
      <c r="U441">
        <v>3</v>
      </c>
      <c r="V441">
        <v>1</v>
      </c>
      <c r="W441">
        <v>0</v>
      </c>
      <c r="X441">
        <v>0</v>
      </c>
      <c r="Y441">
        <v>0</v>
      </c>
      <c r="Z441" t="s">
        <v>1551</v>
      </c>
      <c r="AA441" t="s">
        <v>69</v>
      </c>
      <c r="AB441" t="str" cm="1">
        <f t="array" ref="AB441">_xlfn.IFS(cleaned_data[[#This Row],[YearsAtCompany]]&lt;=5, "0-5",cleaned_data[[#This Row],[YearsAtCompany]]&lt;=10,"6-10",TRUE,"10+")</f>
        <v>0-5</v>
      </c>
    </row>
    <row r="442" spans="1:28" x14ac:dyDescent="0.3">
      <c r="A442" s="2">
        <v>34</v>
      </c>
      <c r="B442" t="s">
        <v>35</v>
      </c>
      <c r="C442">
        <v>1</v>
      </c>
      <c r="D442" t="s">
        <v>44</v>
      </c>
      <c r="E442" t="s">
        <v>61</v>
      </c>
      <c r="F442">
        <v>23</v>
      </c>
      <c r="G442" t="s">
        <v>61</v>
      </c>
      <c r="H442" t="s">
        <v>512</v>
      </c>
      <c r="I442">
        <v>2</v>
      </c>
      <c r="J442" t="s">
        <v>39</v>
      </c>
      <c r="K442">
        <v>3</v>
      </c>
      <c r="L442">
        <v>3</v>
      </c>
      <c r="M442" t="s">
        <v>61</v>
      </c>
      <c r="N442">
        <v>1</v>
      </c>
      <c r="O442" t="s">
        <v>52</v>
      </c>
      <c r="P442" s="6">
        <v>9950</v>
      </c>
      <c r="Q442" t="s">
        <v>67</v>
      </c>
      <c r="R442" t="s">
        <v>35</v>
      </c>
      <c r="S442">
        <v>3</v>
      </c>
      <c r="T442">
        <v>11</v>
      </c>
      <c r="U442">
        <v>3</v>
      </c>
      <c r="V442">
        <v>3</v>
      </c>
      <c r="W442">
        <v>2</v>
      </c>
      <c r="X442">
        <v>0</v>
      </c>
      <c r="Y442">
        <v>2</v>
      </c>
      <c r="Z442" t="s">
        <v>1551</v>
      </c>
      <c r="AA442" t="s">
        <v>69</v>
      </c>
      <c r="AB442" t="str" cm="1">
        <f t="array" ref="AB442">_xlfn.IFS(cleaned_data[[#This Row],[YearsAtCompany]]&lt;=5, "0-5",cleaned_data[[#This Row],[YearsAtCompany]]&lt;=10,"6-10",TRUE,"10+")</f>
        <v>0-5</v>
      </c>
    </row>
    <row r="443" spans="1:28" x14ac:dyDescent="0.3">
      <c r="A443" s="2">
        <v>42</v>
      </c>
      <c r="B443" t="s">
        <v>43</v>
      </c>
      <c r="C443">
        <v>0</v>
      </c>
      <c r="D443" t="s">
        <v>44</v>
      </c>
      <c r="E443" t="s">
        <v>45</v>
      </c>
      <c r="F443">
        <v>5</v>
      </c>
      <c r="G443" t="s">
        <v>49</v>
      </c>
      <c r="H443" t="s">
        <v>513</v>
      </c>
      <c r="I443">
        <v>2</v>
      </c>
      <c r="J443" t="s">
        <v>46</v>
      </c>
      <c r="K443">
        <v>3</v>
      </c>
      <c r="L443">
        <v>1</v>
      </c>
      <c r="M443" t="s">
        <v>50</v>
      </c>
      <c r="N443">
        <v>3</v>
      </c>
      <c r="O443" t="s">
        <v>48</v>
      </c>
      <c r="P443" s="1">
        <v>2093</v>
      </c>
      <c r="Q443" t="s">
        <v>72</v>
      </c>
      <c r="R443" t="s">
        <v>43</v>
      </c>
      <c r="S443">
        <v>3</v>
      </c>
      <c r="T443">
        <v>8</v>
      </c>
      <c r="U443">
        <v>3</v>
      </c>
      <c r="V443">
        <v>2</v>
      </c>
      <c r="W443">
        <v>2</v>
      </c>
      <c r="X443">
        <v>2</v>
      </c>
      <c r="Y443">
        <v>0</v>
      </c>
      <c r="Z443" t="s">
        <v>1550</v>
      </c>
      <c r="AA443" t="s">
        <v>69</v>
      </c>
      <c r="AB443" t="str" cm="1">
        <f t="array" ref="AB443">_xlfn.IFS(cleaned_data[[#This Row],[YearsAtCompany]]&lt;=5, "0-5",cleaned_data[[#This Row],[YearsAtCompany]]&lt;=10,"6-10",TRUE,"10+")</f>
        <v>0-5</v>
      </c>
    </row>
    <row r="444" spans="1:28" x14ac:dyDescent="0.3">
      <c r="A444" s="2">
        <v>36</v>
      </c>
      <c r="B444" t="s">
        <v>43</v>
      </c>
      <c r="C444">
        <v>0</v>
      </c>
      <c r="D444" t="s">
        <v>55</v>
      </c>
      <c r="E444" t="s">
        <v>37</v>
      </c>
      <c r="F444">
        <v>10</v>
      </c>
      <c r="G444" t="s">
        <v>51</v>
      </c>
      <c r="H444" t="s">
        <v>514</v>
      </c>
      <c r="I444">
        <v>2</v>
      </c>
      <c r="J444" t="s">
        <v>46</v>
      </c>
      <c r="K444">
        <v>3</v>
      </c>
      <c r="L444">
        <v>3</v>
      </c>
      <c r="M444" t="s">
        <v>40</v>
      </c>
      <c r="N444">
        <v>4</v>
      </c>
      <c r="O444" t="s">
        <v>41</v>
      </c>
      <c r="P444" s="1">
        <v>9980</v>
      </c>
      <c r="Q444" t="s">
        <v>67</v>
      </c>
      <c r="R444" t="s">
        <v>43</v>
      </c>
      <c r="S444">
        <v>3</v>
      </c>
      <c r="T444">
        <v>10</v>
      </c>
      <c r="U444">
        <v>2</v>
      </c>
      <c r="V444">
        <v>10</v>
      </c>
      <c r="W444">
        <v>3</v>
      </c>
      <c r="X444">
        <v>9</v>
      </c>
      <c r="Y444">
        <v>7</v>
      </c>
      <c r="Z444" t="s">
        <v>1550</v>
      </c>
      <c r="AA444" t="s">
        <v>69</v>
      </c>
      <c r="AB444" t="str" cm="1">
        <f t="array" ref="AB444">_xlfn.IFS(cleaned_data[[#This Row],[YearsAtCompany]]&lt;=5, "0-5",cleaned_data[[#This Row],[YearsAtCompany]]&lt;=10,"6-10",TRUE,"10+")</f>
        <v>6-10</v>
      </c>
    </row>
    <row r="445" spans="1:28" x14ac:dyDescent="0.3">
      <c r="A445" s="2">
        <v>22</v>
      </c>
      <c r="B445" t="s">
        <v>35</v>
      </c>
      <c r="C445">
        <v>1</v>
      </c>
      <c r="D445" t="s">
        <v>44</v>
      </c>
      <c r="E445" t="s">
        <v>45</v>
      </c>
      <c r="F445">
        <v>4</v>
      </c>
      <c r="G445" t="s">
        <v>60</v>
      </c>
      <c r="H445" t="s">
        <v>515</v>
      </c>
      <c r="I445">
        <v>3</v>
      </c>
      <c r="J445" t="s">
        <v>46</v>
      </c>
      <c r="K445">
        <v>2</v>
      </c>
      <c r="L445">
        <v>1</v>
      </c>
      <c r="M445" t="s">
        <v>50</v>
      </c>
      <c r="N445">
        <v>3</v>
      </c>
      <c r="O445" t="s">
        <v>41</v>
      </c>
      <c r="P445" s="1">
        <v>3894</v>
      </c>
      <c r="Q445" t="s">
        <v>72</v>
      </c>
      <c r="R445" t="s">
        <v>43</v>
      </c>
      <c r="S445">
        <v>3</v>
      </c>
      <c r="T445">
        <v>4</v>
      </c>
      <c r="U445">
        <v>3</v>
      </c>
      <c r="V445">
        <v>2</v>
      </c>
      <c r="W445">
        <v>2</v>
      </c>
      <c r="X445">
        <v>1</v>
      </c>
      <c r="Y445">
        <v>2</v>
      </c>
      <c r="Z445" t="s">
        <v>68</v>
      </c>
      <c r="AA445" t="s">
        <v>78</v>
      </c>
      <c r="AB445" t="str" cm="1">
        <f t="array" ref="AB445">_xlfn.IFS(cleaned_data[[#This Row],[YearsAtCompany]]&lt;=5, "0-5",cleaned_data[[#This Row],[YearsAtCompany]]&lt;=10,"6-10",TRUE,"10+")</f>
        <v>0-5</v>
      </c>
    </row>
    <row r="446" spans="1:28" x14ac:dyDescent="0.3">
      <c r="A446" s="2">
        <v>48</v>
      </c>
      <c r="B446" t="s">
        <v>43</v>
      </c>
      <c r="C446">
        <v>0</v>
      </c>
      <c r="D446" t="s">
        <v>36</v>
      </c>
      <c r="E446" t="s">
        <v>37</v>
      </c>
      <c r="F446">
        <v>2</v>
      </c>
      <c r="G446" t="s">
        <v>59</v>
      </c>
      <c r="H446" t="s">
        <v>516</v>
      </c>
      <c r="I446">
        <v>2</v>
      </c>
      <c r="J446" t="s">
        <v>39</v>
      </c>
      <c r="K446">
        <v>3</v>
      </c>
      <c r="L446">
        <v>2</v>
      </c>
      <c r="M446" t="s">
        <v>40</v>
      </c>
      <c r="N446">
        <v>4</v>
      </c>
      <c r="O446" t="s">
        <v>48</v>
      </c>
      <c r="P446" s="1">
        <v>4051</v>
      </c>
      <c r="Q446" t="s">
        <v>72</v>
      </c>
      <c r="R446" t="s">
        <v>43</v>
      </c>
      <c r="S446">
        <v>3</v>
      </c>
      <c r="T446">
        <v>14</v>
      </c>
      <c r="U446">
        <v>3</v>
      </c>
      <c r="V446">
        <v>9</v>
      </c>
      <c r="W446">
        <v>7</v>
      </c>
      <c r="X446">
        <v>6</v>
      </c>
      <c r="Y446">
        <v>7</v>
      </c>
      <c r="Z446" t="s">
        <v>106</v>
      </c>
      <c r="AA446" t="s">
        <v>69</v>
      </c>
      <c r="AB446" t="str" cm="1">
        <f t="array" ref="AB446">_xlfn.IFS(cleaned_data[[#This Row],[YearsAtCompany]]&lt;=5, "0-5",cleaned_data[[#This Row],[YearsAtCompany]]&lt;=10,"6-10",TRUE,"10+")</f>
        <v>6-10</v>
      </c>
    </row>
    <row r="447" spans="1:28" x14ac:dyDescent="0.3">
      <c r="A447" s="2">
        <v>55</v>
      </c>
      <c r="B447" t="s">
        <v>43</v>
      </c>
      <c r="C447">
        <v>0</v>
      </c>
      <c r="D447" t="s">
        <v>36</v>
      </c>
      <c r="E447" t="s">
        <v>37</v>
      </c>
      <c r="F447">
        <v>18</v>
      </c>
      <c r="G447" t="s">
        <v>38</v>
      </c>
      <c r="H447" t="s">
        <v>517</v>
      </c>
      <c r="I447">
        <v>1</v>
      </c>
      <c r="J447" t="s">
        <v>39</v>
      </c>
      <c r="K447">
        <v>3</v>
      </c>
      <c r="L447">
        <v>4</v>
      </c>
      <c r="M447" t="s">
        <v>56</v>
      </c>
      <c r="N447">
        <v>2</v>
      </c>
      <c r="O447" t="s">
        <v>41</v>
      </c>
      <c r="P447" s="1">
        <v>16835</v>
      </c>
      <c r="Q447" t="s">
        <v>90</v>
      </c>
      <c r="R447" t="s">
        <v>43</v>
      </c>
      <c r="S447">
        <v>4</v>
      </c>
      <c r="T447">
        <v>37</v>
      </c>
      <c r="U447">
        <v>3</v>
      </c>
      <c r="V447">
        <v>10</v>
      </c>
      <c r="W447">
        <v>9</v>
      </c>
      <c r="X447">
        <v>7</v>
      </c>
      <c r="Y447">
        <v>7</v>
      </c>
      <c r="Z447" t="s">
        <v>106</v>
      </c>
      <c r="AA447" t="s">
        <v>82</v>
      </c>
      <c r="AB447" t="str" cm="1">
        <f t="array" ref="AB447">_xlfn.IFS(cleaned_data[[#This Row],[YearsAtCompany]]&lt;=5, "0-5",cleaned_data[[#This Row],[YearsAtCompany]]&lt;=10,"6-10",TRUE,"10+")</f>
        <v>6-10</v>
      </c>
    </row>
    <row r="448" spans="1:28" x14ac:dyDescent="0.3">
      <c r="A448" s="2">
        <v>41</v>
      </c>
      <c r="B448" t="s">
        <v>43</v>
      </c>
      <c r="C448">
        <v>0</v>
      </c>
      <c r="D448" t="s">
        <v>55</v>
      </c>
      <c r="E448" t="s">
        <v>37</v>
      </c>
      <c r="F448">
        <v>10</v>
      </c>
      <c r="G448" t="s">
        <v>38</v>
      </c>
      <c r="H448" t="s">
        <v>518</v>
      </c>
      <c r="I448">
        <v>4</v>
      </c>
      <c r="J448" t="s">
        <v>46</v>
      </c>
      <c r="K448">
        <v>3</v>
      </c>
      <c r="L448">
        <v>2</v>
      </c>
      <c r="M448" t="s">
        <v>40</v>
      </c>
      <c r="N448">
        <v>4</v>
      </c>
      <c r="O448" t="s">
        <v>41</v>
      </c>
      <c r="P448" s="1">
        <v>6230</v>
      </c>
      <c r="Q448" t="s">
        <v>67</v>
      </c>
      <c r="R448" t="s">
        <v>43</v>
      </c>
      <c r="S448">
        <v>3</v>
      </c>
      <c r="T448">
        <v>16</v>
      </c>
      <c r="U448">
        <v>3</v>
      </c>
      <c r="V448">
        <v>14</v>
      </c>
      <c r="W448">
        <v>3</v>
      </c>
      <c r="X448">
        <v>1</v>
      </c>
      <c r="Y448">
        <v>10</v>
      </c>
      <c r="Z448" t="s">
        <v>1550</v>
      </c>
      <c r="AA448" t="s">
        <v>82</v>
      </c>
      <c r="AB448" t="str" cm="1">
        <f t="array" ref="AB448">_xlfn.IFS(cleaned_data[[#This Row],[YearsAtCompany]]&lt;=5, "0-5",cleaned_data[[#This Row],[YearsAtCompany]]&lt;=10,"6-10",TRUE,"10+")</f>
        <v>10+</v>
      </c>
    </row>
    <row r="449" spans="1:28" x14ac:dyDescent="0.3">
      <c r="A449" s="2">
        <v>35</v>
      </c>
      <c r="B449" t="s">
        <v>43</v>
      </c>
      <c r="C449">
        <v>0</v>
      </c>
      <c r="D449" t="s">
        <v>36</v>
      </c>
      <c r="E449" t="s">
        <v>37</v>
      </c>
      <c r="F449">
        <v>1</v>
      </c>
      <c r="G449" t="s">
        <v>59</v>
      </c>
      <c r="H449" t="s">
        <v>519</v>
      </c>
      <c r="I449">
        <v>2</v>
      </c>
      <c r="J449" t="s">
        <v>46</v>
      </c>
      <c r="K449">
        <v>3</v>
      </c>
      <c r="L449">
        <v>2</v>
      </c>
      <c r="M449" t="s">
        <v>40</v>
      </c>
      <c r="N449">
        <v>3</v>
      </c>
      <c r="O449" t="s">
        <v>48</v>
      </c>
      <c r="P449" s="1">
        <v>4717</v>
      </c>
      <c r="Q449" t="s">
        <v>72</v>
      </c>
      <c r="R449" t="s">
        <v>43</v>
      </c>
      <c r="S449">
        <v>3</v>
      </c>
      <c r="T449">
        <v>15</v>
      </c>
      <c r="U449">
        <v>3</v>
      </c>
      <c r="V449">
        <v>11</v>
      </c>
      <c r="W449">
        <v>9</v>
      </c>
      <c r="X449">
        <v>6</v>
      </c>
      <c r="Y449">
        <v>9</v>
      </c>
      <c r="Z449" t="s">
        <v>1551</v>
      </c>
      <c r="AA449" t="s">
        <v>69</v>
      </c>
      <c r="AB449" t="str" cm="1">
        <f t="array" ref="AB449">_xlfn.IFS(cleaned_data[[#This Row],[YearsAtCompany]]&lt;=5, "0-5",cleaned_data[[#This Row],[YearsAtCompany]]&lt;=10,"6-10",TRUE,"10+")</f>
        <v>10+</v>
      </c>
    </row>
    <row r="450" spans="1:28" x14ac:dyDescent="0.3">
      <c r="A450" s="2">
        <v>40</v>
      </c>
      <c r="B450" t="s">
        <v>43</v>
      </c>
      <c r="C450">
        <v>0</v>
      </c>
      <c r="D450" t="s">
        <v>36</v>
      </c>
      <c r="E450" t="s">
        <v>45</v>
      </c>
      <c r="F450">
        <v>6</v>
      </c>
      <c r="G450" t="s">
        <v>38</v>
      </c>
      <c r="H450" t="s">
        <v>520</v>
      </c>
      <c r="I450">
        <v>2</v>
      </c>
      <c r="J450" t="s">
        <v>39</v>
      </c>
      <c r="K450">
        <v>3</v>
      </c>
      <c r="L450">
        <v>4</v>
      </c>
      <c r="M450" t="s">
        <v>53</v>
      </c>
      <c r="N450">
        <v>3</v>
      </c>
      <c r="O450" t="s">
        <v>41</v>
      </c>
      <c r="P450" s="1">
        <v>13237</v>
      </c>
      <c r="Q450" t="s">
        <v>90</v>
      </c>
      <c r="R450" t="s">
        <v>43</v>
      </c>
      <c r="S450">
        <v>3</v>
      </c>
      <c r="T450">
        <v>22</v>
      </c>
      <c r="U450">
        <v>3</v>
      </c>
      <c r="V450">
        <v>20</v>
      </c>
      <c r="W450">
        <v>6</v>
      </c>
      <c r="X450">
        <v>5</v>
      </c>
      <c r="Y450">
        <v>13</v>
      </c>
      <c r="Z450" t="s">
        <v>1550</v>
      </c>
      <c r="AA450" t="s">
        <v>82</v>
      </c>
      <c r="AB450" t="str" cm="1">
        <f t="array" ref="AB450">_xlfn.IFS(cleaned_data[[#This Row],[YearsAtCompany]]&lt;=5, "0-5",cleaned_data[[#This Row],[YearsAtCompany]]&lt;=10,"6-10",TRUE,"10+")</f>
        <v>10+</v>
      </c>
    </row>
    <row r="451" spans="1:28" x14ac:dyDescent="0.3">
      <c r="A451" s="2">
        <v>39</v>
      </c>
      <c r="B451" t="s">
        <v>43</v>
      </c>
      <c r="C451">
        <v>0</v>
      </c>
      <c r="D451" t="s">
        <v>44</v>
      </c>
      <c r="E451" t="s">
        <v>45</v>
      </c>
      <c r="F451">
        <v>8</v>
      </c>
      <c r="G451" t="s">
        <v>38</v>
      </c>
      <c r="H451" t="s">
        <v>521</v>
      </c>
      <c r="I451">
        <v>3</v>
      </c>
      <c r="J451" t="s">
        <v>39</v>
      </c>
      <c r="K451">
        <v>3</v>
      </c>
      <c r="L451">
        <v>1</v>
      </c>
      <c r="M451" t="s">
        <v>50</v>
      </c>
      <c r="N451">
        <v>3</v>
      </c>
      <c r="O451" t="s">
        <v>48</v>
      </c>
      <c r="P451" s="1">
        <v>3755</v>
      </c>
      <c r="Q451" t="s">
        <v>72</v>
      </c>
      <c r="R451" t="s">
        <v>43</v>
      </c>
      <c r="S451">
        <v>3</v>
      </c>
      <c r="T451">
        <v>8</v>
      </c>
      <c r="U451">
        <v>3</v>
      </c>
      <c r="V451">
        <v>8</v>
      </c>
      <c r="W451">
        <v>3</v>
      </c>
      <c r="X451">
        <v>0</v>
      </c>
      <c r="Y451">
        <v>7</v>
      </c>
      <c r="Z451" t="s">
        <v>1550</v>
      </c>
      <c r="AA451" t="s">
        <v>69</v>
      </c>
      <c r="AB451" t="str" cm="1">
        <f t="array" ref="AB451">_xlfn.IFS(cleaned_data[[#This Row],[YearsAtCompany]]&lt;=5, "0-5",cleaned_data[[#This Row],[YearsAtCompany]]&lt;=10,"6-10",TRUE,"10+")</f>
        <v>6-10</v>
      </c>
    </row>
    <row r="452" spans="1:28" x14ac:dyDescent="0.3">
      <c r="A452" s="2">
        <v>31</v>
      </c>
      <c r="B452" t="s">
        <v>43</v>
      </c>
      <c r="C452">
        <v>0</v>
      </c>
      <c r="D452" t="s">
        <v>36</v>
      </c>
      <c r="E452" t="s">
        <v>37</v>
      </c>
      <c r="F452">
        <v>2</v>
      </c>
      <c r="G452" t="s">
        <v>38</v>
      </c>
      <c r="H452" t="s">
        <v>522</v>
      </c>
      <c r="I452">
        <v>2</v>
      </c>
      <c r="J452" t="s">
        <v>46</v>
      </c>
      <c r="K452">
        <v>3</v>
      </c>
      <c r="L452">
        <v>2</v>
      </c>
      <c r="M452" t="s">
        <v>40</v>
      </c>
      <c r="N452">
        <v>4</v>
      </c>
      <c r="O452" t="s">
        <v>41</v>
      </c>
      <c r="P452" s="1">
        <v>6582</v>
      </c>
      <c r="Q452" t="s">
        <v>67</v>
      </c>
      <c r="R452" t="s">
        <v>35</v>
      </c>
      <c r="S452">
        <v>3</v>
      </c>
      <c r="T452">
        <v>10</v>
      </c>
      <c r="U452">
        <v>4</v>
      </c>
      <c r="V452">
        <v>6</v>
      </c>
      <c r="W452">
        <v>5</v>
      </c>
      <c r="X452">
        <v>0</v>
      </c>
      <c r="Y452">
        <v>5</v>
      </c>
      <c r="Z452" t="s">
        <v>1551</v>
      </c>
      <c r="AA452" t="s">
        <v>69</v>
      </c>
      <c r="AB452" t="str" cm="1">
        <f t="array" ref="AB452">_xlfn.IFS(cleaned_data[[#This Row],[YearsAtCompany]]&lt;=5, "0-5",cleaned_data[[#This Row],[YearsAtCompany]]&lt;=10,"6-10",TRUE,"10+")</f>
        <v>6-10</v>
      </c>
    </row>
    <row r="453" spans="1:28" x14ac:dyDescent="0.3">
      <c r="A453" s="2">
        <v>42</v>
      </c>
      <c r="B453" t="s">
        <v>43</v>
      </c>
      <c r="C453">
        <v>0</v>
      </c>
      <c r="D453" t="s">
        <v>36</v>
      </c>
      <c r="E453" t="s">
        <v>45</v>
      </c>
      <c r="F453">
        <v>24</v>
      </c>
      <c r="G453" t="s">
        <v>51</v>
      </c>
      <c r="H453" t="s">
        <v>523</v>
      </c>
      <c r="I453">
        <v>4</v>
      </c>
      <c r="J453" t="s">
        <v>46</v>
      </c>
      <c r="K453">
        <v>3</v>
      </c>
      <c r="L453">
        <v>3</v>
      </c>
      <c r="M453" t="s">
        <v>53</v>
      </c>
      <c r="N453">
        <v>1</v>
      </c>
      <c r="O453" t="s">
        <v>48</v>
      </c>
      <c r="P453" s="6">
        <v>7406</v>
      </c>
      <c r="Q453" t="s">
        <v>67</v>
      </c>
      <c r="R453" t="s">
        <v>35</v>
      </c>
      <c r="S453">
        <v>4</v>
      </c>
      <c r="T453">
        <v>10</v>
      </c>
      <c r="U453">
        <v>2</v>
      </c>
      <c r="V453">
        <v>10</v>
      </c>
      <c r="W453">
        <v>9</v>
      </c>
      <c r="X453">
        <v>5</v>
      </c>
      <c r="Y453">
        <v>8</v>
      </c>
      <c r="Z453" t="s">
        <v>1550</v>
      </c>
      <c r="AA453" t="s">
        <v>69</v>
      </c>
      <c r="AB453" t="str" cm="1">
        <f t="array" ref="AB453">_xlfn.IFS(cleaned_data[[#This Row],[YearsAtCompany]]&lt;=5, "0-5",cleaned_data[[#This Row],[YearsAtCompany]]&lt;=10,"6-10",TRUE,"10+")</f>
        <v>6-10</v>
      </c>
    </row>
    <row r="454" spans="1:28" x14ac:dyDescent="0.3">
      <c r="A454" s="2">
        <v>45</v>
      </c>
      <c r="B454" t="s">
        <v>43</v>
      </c>
      <c r="C454">
        <v>0</v>
      </c>
      <c r="D454" t="s">
        <v>36</v>
      </c>
      <c r="E454" t="s">
        <v>37</v>
      </c>
      <c r="F454">
        <v>2</v>
      </c>
      <c r="G454" t="s">
        <v>49</v>
      </c>
      <c r="H454" t="s">
        <v>524</v>
      </c>
      <c r="I454">
        <v>4</v>
      </c>
      <c r="J454" t="s">
        <v>46</v>
      </c>
      <c r="K454">
        <v>3</v>
      </c>
      <c r="L454">
        <v>2</v>
      </c>
      <c r="M454" t="s">
        <v>40</v>
      </c>
      <c r="N454">
        <v>2</v>
      </c>
      <c r="O454" t="s">
        <v>48</v>
      </c>
      <c r="P454" s="1">
        <v>4805</v>
      </c>
      <c r="Q454" t="s">
        <v>72</v>
      </c>
      <c r="R454" t="s">
        <v>43</v>
      </c>
      <c r="S454">
        <v>3</v>
      </c>
      <c r="T454">
        <v>9</v>
      </c>
      <c r="U454">
        <v>4</v>
      </c>
      <c r="V454">
        <v>8</v>
      </c>
      <c r="W454">
        <v>7</v>
      </c>
      <c r="X454">
        <v>3</v>
      </c>
      <c r="Y454">
        <v>7</v>
      </c>
      <c r="Z454" t="s">
        <v>1550</v>
      </c>
      <c r="AA454" t="s">
        <v>69</v>
      </c>
      <c r="AB454" t="str" cm="1">
        <f t="array" ref="AB454">_xlfn.IFS(cleaned_data[[#This Row],[YearsAtCompany]]&lt;=5, "0-5",cleaned_data[[#This Row],[YearsAtCompany]]&lt;=10,"6-10",TRUE,"10+")</f>
        <v>6-10</v>
      </c>
    </row>
    <row r="455" spans="1:28" x14ac:dyDescent="0.3">
      <c r="A455" s="2">
        <v>26</v>
      </c>
      <c r="B455" t="s">
        <v>35</v>
      </c>
      <c r="C455">
        <v>1</v>
      </c>
      <c r="D455" t="s">
        <v>44</v>
      </c>
      <c r="E455" t="s">
        <v>61</v>
      </c>
      <c r="F455">
        <v>17</v>
      </c>
      <c r="G455" t="s">
        <v>38</v>
      </c>
      <c r="H455" t="s">
        <v>525</v>
      </c>
      <c r="I455">
        <v>2</v>
      </c>
      <c r="J455" t="s">
        <v>39</v>
      </c>
      <c r="K455">
        <v>3</v>
      </c>
      <c r="L455">
        <v>1</v>
      </c>
      <c r="M455" t="s">
        <v>61</v>
      </c>
      <c r="N455">
        <v>3</v>
      </c>
      <c r="O455" t="s">
        <v>52</v>
      </c>
      <c r="P455" s="1">
        <v>2741</v>
      </c>
      <c r="Q455" t="s">
        <v>72</v>
      </c>
      <c r="R455" t="s">
        <v>35</v>
      </c>
      <c r="S455">
        <v>3</v>
      </c>
      <c r="T455">
        <v>8</v>
      </c>
      <c r="U455">
        <v>2</v>
      </c>
      <c r="V455">
        <v>7</v>
      </c>
      <c r="W455">
        <v>7</v>
      </c>
      <c r="X455">
        <v>1</v>
      </c>
      <c r="Y455">
        <v>0</v>
      </c>
      <c r="Z455" t="s">
        <v>1551</v>
      </c>
      <c r="AA455" t="s">
        <v>69</v>
      </c>
      <c r="AB455" t="str" cm="1">
        <f t="array" ref="AB455">_xlfn.IFS(cleaned_data[[#This Row],[YearsAtCompany]]&lt;=5, "0-5",cleaned_data[[#This Row],[YearsAtCompany]]&lt;=10,"6-10",TRUE,"10+")</f>
        <v>6-10</v>
      </c>
    </row>
    <row r="456" spans="1:28" x14ac:dyDescent="0.3">
      <c r="A456" s="2">
        <v>29</v>
      </c>
      <c r="B456" t="s">
        <v>43</v>
      </c>
      <c r="C456">
        <v>0</v>
      </c>
      <c r="D456" t="s">
        <v>36</v>
      </c>
      <c r="E456" t="s">
        <v>45</v>
      </c>
      <c r="F456">
        <v>19</v>
      </c>
      <c r="G456" t="s">
        <v>60</v>
      </c>
      <c r="H456" t="s">
        <v>526</v>
      </c>
      <c r="I456">
        <v>4</v>
      </c>
      <c r="J456" t="s">
        <v>46</v>
      </c>
      <c r="K456">
        <v>3</v>
      </c>
      <c r="L456">
        <v>2</v>
      </c>
      <c r="M456" t="s">
        <v>53</v>
      </c>
      <c r="N456">
        <v>4</v>
      </c>
      <c r="O456" t="s">
        <v>52</v>
      </c>
      <c r="P456" s="1">
        <v>4262</v>
      </c>
      <c r="Q456" t="s">
        <v>72</v>
      </c>
      <c r="R456" t="s">
        <v>43</v>
      </c>
      <c r="S456">
        <v>3</v>
      </c>
      <c r="T456">
        <v>8</v>
      </c>
      <c r="U456">
        <v>4</v>
      </c>
      <c r="V456">
        <v>3</v>
      </c>
      <c r="W456">
        <v>2</v>
      </c>
      <c r="X456">
        <v>1</v>
      </c>
      <c r="Y456">
        <v>2</v>
      </c>
      <c r="Z456" t="s">
        <v>1551</v>
      </c>
      <c r="AA456" t="s">
        <v>69</v>
      </c>
      <c r="AB456" t="str" cm="1">
        <f t="array" ref="AB456">_xlfn.IFS(cleaned_data[[#This Row],[YearsAtCompany]]&lt;=5, "0-5",cleaned_data[[#This Row],[YearsAtCompany]]&lt;=10,"6-10",TRUE,"10+")</f>
        <v>0-5</v>
      </c>
    </row>
    <row r="457" spans="1:28" x14ac:dyDescent="0.3">
      <c r="A457" s="2">
        <v>33</v>
      </c>
      <c r="B457" t="s">
        <v>43</v>
      </c>
      <c r="C457">
        <v>0</v>
      </c>
      <c r="D457" t="s">
        <v>36</v>
      </c>
      <c r="E457" t="s">
        <v>45</v>
      </c>
      <c r="F457">
        <v>1</v>
      </c>
      <c r="G457" t="s">
        <v>51</v>
      </c>
      <c r="H457" t="s">
        <v>527</v>
      </c>
      <c r="I457">
        <v>1</v>
      </c>
      <c r="J457" t="s">
        <v>39</v>
      </c>
      <c r="K457">
        <v>4</v>
      </c>
      <c r="L457">
        <v>4</v>
      </c>
      <c r="M457" t="s">
        <v>58</v>
      </c>
      <c r="N457">
        <v>3</v>
      </c>
      <c r="O457" t="s">
        <v>52</v>
      </c>
      <c r="P457" s="1">
        <v>16184</v>
      </c>
      <c r="Q457" t="s">
        <v>90</v>
      </c>
      <c r="R457" t="s">
        <v>43</v>
      </c>
      <c r="S457">
        <v>3</v>
      </c>
      <c r="T457">
        <v>10</v>
      </c>
      <c r="U457">
        <v>3</v>
      </c>
      <c r="V457">
        <v>6</v>
      </c>
      <c r="W457">
        <v>1</v>
      </c>
      <c r="X457">
        <v>0</v>
      </c>
      <c r="Y457">
        <v>5</v>
      </c>
      <c r="Z457" t="s">
        <v>1551</v>
      </c>
      <c r="AA457" t="s">
        <v>69</v>
      </c>
      <c r="AB457" t="str" cm="1">
        <f t="array" ref="AB457">_xlfn.IFS(cleaned_data[[#This Row],[YearsAtCompany]]&lt;=5, "0-5",cleaned_data[[#This Row],[YearsAtCompany]]&lt;=10,"6-10",TRUE,"10+")</f>
        <v>6-10</v>
      </c>
    </row>
    <row r="458" spans="1:28" x14ac:dyDescent="0.3">
      <c r="A458" s="2">
        <v>31</v>
      </c>
      <c r="B458" t="s">
        <v>43</v>
      </c>
      <c r="C458">
        <v>0</v>
      </c>
      <c r="D458" t="s">
        <v>36</v>
      </c>
      <c r="E458" t="s">
        <v>37</v>
      </c>
      <c r="F458">
        <v>7</v>
      </c>
      <c r="G458" t="s">
        <v>38</v>
      </c>
      <c r="H458" t="s">
        <v>528</v>
      </c>
      <c r="I458">
        <v>3</v>
      </c>
      <c r="J458" t="s">
        <v>46</v>
      </c>
      <c r="K458">
        <v>2</v>
      </c>
      <c r="L458">
        <v>3</v>
      </c>
      <c r="M458" t="s">
        <v>56</v>
      </c>
      <c r="N458">
        <v>4</v>
      </c>
      <c r="O458" t="s">
        <v>52</v>
      </c>
      <c r="P458" s="1">
        <v>11557</v>
      </c>
      <c r="Q458" t="s">
        <v>67</v>
      </c>
      <c r="R458" t="s">
        <v>43</v>
      </c>
      <c r="S458">
        <v>4</v>
      </c>
      <c r="T458">
        <v>10</v>
      </c>
      <c r="U458">
        <v>2</v>
      </c>
      <c r="V458">
        <v>5</v>
      </c>
      <c r="W458">
        <v>4</v>
      </c>
      <c r="X458">
        <v>0</v>
      </c>
      <c r="Y458">
        <v>1</v>
      </c>
      <c r="Z458" t="s">
        <v>1551</v>
      </c>
      <c r="AA458" t="s">
        <v>69</v>
      </c>
      <c r="AB458" t="str" cm="1">
        <f t="array" ref="AB458">_xlfn.IFS(cleaned_data[[#This Row],[YearsAtCompany]]&lt;=5, "0-5",cleaned_data[[#This Row],[YearsAtCompany]]&lt;=10,"6-10",TRUE,"10+")</f>
        <v>0-5</v>
      </c>
    </row>
    <row r="459" spans="1:28" x14ac:dyDescent="0.3">
      <c r="A459" s="2">
        <v>18</v>
      </c>
      <c r="B459" t="s">
        <v>35</v>
      </c>
      <c r="C459">
        <v>1</v>
      </c>
      <c r="D459" t="s">
        <v>44</v>
      </c>
      <c r="E459" t="s">
        <v>37</v>
      </c>
      <c r="F459">
        <v>5</v>
      </c>
      <c r="G459" t="s">
        <v>59</v>
      </c>
      <c r="H459" t="s">
        <v>529</v>
      </c>
      <c r="I459">
        <v>2</v>
      </c>
      <c r="J459" t="s">
        <v>46</v>
      </c>
      <c r="K459">
        <v>3</v>
      </c>
      <c r="L459">
        <v>1</v>
      </c>
      <c r="M459" t="s">
        <v>57</v>
      </c>
      <c r="N459">
        <v>2</v>
      </c>
      <c r="O459" t="s">
        <v>41</v>
      </c>
      <c r="P459" s="1">
        <v>1878</v>
      </c>
      <c r="Q459" t="s">
        <v>72</v>
      </c>
      <c r="R459" t="s">
        <v>35</v>
      </c>
      <c r="S459">
        <v>3</v>
      </c>
      <c r="T459">
        <v>0</v>
      </c>
      <c r="U459">
        <v>3</v>
      </c>
      <c r="V459">
        <v>0</v>
      </c>
      <c r="W459">
        <v>0</v>
      </c>
      <c r="X459">
        <v>0</v>
      </c>
      <c r="Y459">
        <v>0</v>
      </c>
      <c r="Z459" t="s">
        <v>68</v>
      </c>
      <c r="AA459" t="s">
        <v>78</v>
      </c>
      <c r="AB459" t="str" cm="1">
        <f t="array" ref="AB459">_xlfn.IFS(cleaned_data[[#This Row],[YearsAtCompany]]&lt;=5, "0-5",cleaned_data[[#This Row],[YearsAtCompany]]&lt;=10,"6-10",TRUE,"10+")</f>
        <v>0-5</v>
      </c>
    </row>
    <row r="460" spans="1:28" x14ac:dyDescent="0.3">
      <c r="A460" s="2">
        <v>40</v>
      </c>
      <c r="B460" t="s">
        <v>43</v>
      </c>
      <c r="C460">
        <v>0</v>
      </c>
      <c r="D460" t="s">
        <v>55</v>
      </c>
      <c r="E460" t="s">
        <v>37</v>
      </c>
      <c r="F460">
        <v>28</v>
      </c>
      <c r="G460" t="s">
        <v>49</v>
      </c>
      <c r="H460" t="s">
        <v>530</v>
      </c>
      <c r="I460">
        <v>3</v>
      </c>
      <c r="J460" t="s">
        <v>46</v>
      </c>
      <c r="K460">
        <v>1</v>
      </c>
      <c r="L460">
        <v>3</v>
      </c>
      <c r="M460" t="s">
        <v>40</v>
      </c>
      <c r="N460">
        <v>1</v>
      </c>
      <c r="O460" t="s">
        <v>52</v>
      </c>
      <c r="P460" s="6">
        <v>10932</v>
      </c>
      <c r="Q460" t="s">
        <v>67</v>
      </c>
      <c r="R460" t="s">
        <v>43</v>
      </c>
      <c r="S460">
        <v>3</v>
      </c>
      <c r="T460">
        <v>20</v>
      </c>
      <c r="U460">
        <v>3</v>
      </c>
      <c r="V460">
        <v>1</v>
      </c>
      <c r="W460">
        <v>0</v>
      </c>
      <c r="X460">
        <v>0</v>
      </c>
      <c r="Y460">
        <v>1</v>
      </c>
      <c r="Z460" t="s">
        <v>1550</v>
      </c>
      <c r="AA460" t="s">
        <v>82</v>
      </c>
      <c r="AB460" t="str" cm="1">
        <f t="array" ref="AB460">_xlfn.IFS(cleaned_data[[#This Row],[YearsAtCompany]]&lt;=5, "0-5",cleaned_data[[#This Row],[YearsAtCompany]]&lt;=10,"6-10",TRUE,"10+")</f>
        <v>0-5</v>
      </c>
    </row>
    <row r="461" spans="1:28" x14ac:dyDescent="0.3">
      <c r="A461" s="2">
        <v>41</v>
      </c>
      <c r="B461" t="s">
        <v>43</v>
      </c>
      <c r="C461">
        <v>0</v>
      </c>
      <c r="D461" t="s">
        <v>55</v>
      </c>
      <c r="E461" t="s">
        <v>45</v>
      </c>
      <c r="F461">
        <v>2</v>
      </c>
      <c r="G461" t="s">
        <v>49</v>
      </c>
      <c r="H461" t="s">
        <v>531</v>
      </c>
      <c r="I461">
        <v>1</v>
      </c>
      <c r="J461" t="s">
        <v>39</v>
      </c>
      <c r="K461">
        <v>2</v>
      </c>
      <c r="L461">
        <v>2</v>
      </c>
      <c r="M461" t="s">
        <v>54</v>
      </c>
      <c r="N461">
        <v>3</v>
      </c>
      <c r="O461" t="s">
        <v>41</v>
      </c>
      <c r="P461" s="1">
        <v>6811</v>
      </c>
      <c r="Q461" t="s">
        <v>67</v>
      </c>
      <c r="R461" t="s">
        <v>35</v>
      </c>
      <c r="S461">
        <v>3</v>
      </c>
      <c r="T461">
        <v>10</v>
      </c>
      <c r="U461">
        <v>3</v>
      </c>
      <c r="V461">
        <v>8</v>
      </c>
      <c r="W461">
        <v>7</v>
      </c>
      <c r="X461">
        <v>0</v>
      </c>
      <c r="Y461">
        <v>7</v>
      </c>
      <c r="Z461" t="s">
        <v>1550</v>
      </c>
      <c r="AA461" t="s">
        <v>69</v>
      </c>
      <c r="AB461" t="str" cm="1">
        <f t="array" ref="AB461">_xlfn.IFS(cleaned_data[[#This Row],[YearsAtCompany]]&lt;=5, "0-5",cleaned_data[[#This Row],[YearsAtCompany]]&lt;=10,"6-10",TRUE,"10+")</f>
        <v>6-10</v>
      </c>
    </row>
    <row r="462" spans="1:28" x14ac:dyDescent="0.3">
      <c r="A462" s="2">
        <v>26</v>
      </c>
      <c r="B462" t="s">
        <v>43</v>
      </c>
      <c r="C462">
        <v>0</v>
      </c>
      <c r="D462" t="s">
        <v>36</v>
      </c>
      <c r="E462" t="s">
        <v>37</v>
      </c>
      <c r="F462">
        <v>29</v>
      </c>
      <c r="G462" t="s">
        <v>51</v>
      </c>
      <c r="H462" t="s">
        <v>532</v>
      </c>
      <c r="I462">
        <v>1</v>
      </c>
      <c r="J462" t="s">
        <v>46</v>
      </c>
      <c r="K462">
        <v>3</v>
      </c>
      <c r="L462">
        <v>2</v>
      </c>
      <c r="M462" t="s">
        <v>40</v>
      </c>
      <c r="N462">
        <v>3</v>
      </c>
      <c r="O462" t="s">
        <v>52</v>
      </c>
      <c r="P462" s="1">
        <v>4306</v>
      </c>
      <c r="Q462" t="s">
        <v>72</v>
      </c>
      <c r="R462" t="s">
        <v>43</v>
      </c>
      <c r="S462">
        <v>3</v>
      </c>
      <c r="T462">
        <v>8</v>
      </c>
      <c r="U462">
        <v>3</v>
      </c>
      <c r="V462">
        <v>0</v>
      </c>
      <c r="W462">
        <v>0</v>
      </c>
      <c r="X462">
        <v>0</v>
      </c>
      <c r="Y462">
        <v>0</v>
      </c>
      <c r="Z462" t="s">
        <v>1551</v>
      </c>
      <c r="AA462" t="s">
        <v>69</v>
      </c>
      <c r="AB462" t="str" cm="1">
        <f t="array" ref="AB462">_xlfn.IFS(cleaned_data[[#This Row],[YearsAtCompany]]&lt;=5, "0-5",cleaned_data[[#This Row],[YearsAtCompany]]&lt;=10,"6-10",TRUE,"10+")</f>
        <v>0-5</v>
      </c>
    </row>
    <row r="463" spans="1:28" x14ac:dyDescent="0.3">
      <c r="A463" s="2">
        <v>35</v>
      </c>
      <c r="B463" t="s">
        <v>43</v>
      </c>
      <c r="C463">
        <v>0</v>
      </c>
      <c r="D463" t="s">
        <v>36</v>
      </c>
      <c r="E463" t="s">
        <v>37</v>
      </c>
      <c r="F463">
        <v>1</v>
      </c>
      <c r="G463" t="s">
        <v>51</v>
      </c>
      <c r="H463" t="s">
        <v>533</v>
      </c>
      <c r="I463">
        <v>1</v>
      </c>
      <c r="J463" t="s">
        <v>39</v>
      </c>
      <c r="K463">
        <v>3</v>
      </c>
      <c r="L463">
        <v>2</v>
      </c>
      <c r="M463" t="s">
        <v>40</v>
      </c>
      <c r="N463">
        <v>3</v>
      </c>
      <c r="O463" t="s">
        <v>41</v>
      </c>
      <c r="P463" s="1">
        <v>4859</v>
      </c>
      <c r="Q463" t="s">
        <v>72</v>
      </c>
      <c r="R463" t="s">
        <v>43</v>
      </c>
      <c r="S463">
        <v>3</v>
      </c>
      <c r="T463">
        <v>5</v>
      </c>
      <c r="U463">
        <v>3</v>
      </c>
      <c r="V463">
        <v>5</v>
      </c>
      <c r="W463">
        <v>4</v>
      </c>
      <c r="X463">
        <v>0</v>
      </c>
      <c r="Y463">
        <v>3</v>
      </c>
      <c r="Z463" t="s">
        <v>1551</v>
      </c>
      <c r="AA463" t="s">
        <v>78</v>
      </c>
      <c r="AB463" t="str" cm="1">
        <f t="array" ref="AB463">_xlfn.IFS(cleaned_data[[#This Row],[YearsAtCompany]]&lt;=5, "0-5",cleaned_data[[#This Row],[YearsAtCompany]]&lt;=10,"6-10",TRUE,"10+")</f>
        <v>0-5</v>
      </c>
    </row>
    <row r="464" spans="1:28" x14ac:dyDescent="0.3">
      <c r="A464" s="2">
        <v>34</v>
      </c>
      <c r="B464" t="s">
        <v>43</v>
      </c>
      <c r="C464">
        <v>0</v>
      </c>
      <c r="D464" t="s">
        <v>36</v>
      </c>
      <c r="E464" t="s">
        <v>37</v>
      </c>
      <c r="F464">
        <v>21</v>
      </c>
      <c r="G464" t="s">
        <v>38</v>
      </c>
      <c r="H464" t="s">
        <v>534</v>
      </c>
      <c r="I464">
        <v>4</v>
      </c>
      <c r="J464" t="s">
        <v>46</v>
      </c>
      <c r="K464">
        <v>4</v>
      </c>
      <c r="L464">
        <v>2</v>
      </c>
      <c r="M464" t="s">
        <v>40</v>
      </c>
      <c r="N464">
        <v>4</v>
      </c>
      <c r="O464" t="s">
        <v>41</v>
      </c>
      <c r="P464" s="1">
        <v>5337</v>
      </c>
      <c r="Q464" t="s">
        <v>67</v>
      </c>
      <c r="R464" t="s">
        <v>43</v>
      </c>
      <c r="S464">
        <v>3</v>
      </c>
      <c r="T464">
        <v>10</v>
      </c>
      <c r="U464">
        <v>3</v>
      </c>
      <c r="V464">
        <v>10</v>
      </c>
      <c r="W464">
        <v>7</v>
      </c>
      <c r="X464">
        <v>5</v>
      </c>
      <c r="Y464">
        <v>7</v>
      </c>
      <c r="Z464" t="s">
        <v>1551</v>
      </c>
      <c r="AA464" t="s">
        <v>69</v>
      </c>
      <c r="AB464" t="str" cm="1">
        <f t="array" ref="AB464">_xlfn.IFS(cleaned_data[[#This Row],[YearsAtCompany]]&lt;=5, "0-5",cleaned_data[[#This Row],[YearsAtCompany]]&lt;=10,"6-10",TRUE,"10+")</f>
        <v>6-10</v>
      </c>
    </row>
    <row r="465" spans="1:28" x14ac:dyDescent="0.3">
      <c r="A465" s="2">
        <v>26</v>
      </c>
      <c r="B465" t="s">
        <v>35</v>
      </c>
      <c r="C465">
        <v>1</v>
      </c>
      <c r="D465" t="s">
        <v>36</v>
      </c>
      <c r="E465" t="s">
        <v>45</v>
      </c>
      <c r="F465">
        <v>24</v>
      </c>
      <c r="G465" t="s">
        <v>60</v>
      </c>
      <c r="H465" t="s">
        <v>535</v>
      </c>
      <c r="I465">
        <v>3</v>
      </c>
      <c r="J465" t="s">
        <v>46</v>
      </c>
      <c r="K465">
        <v>1</v>
      </c>
      <c r="L465">
        <v>1</v>
      </c>
      <c r="M465" t="s">
        <v>50</v>
      </c>
      <c r="N465">
        <v>4</v>
      </c>
      <c r="O465" t="s">
        <v>41</v>
      </c>
      <c r="P465" s="1">
        <v>2340</v>
      </c>
      <c r="Q465" t="s">
        <v>72</v>
      </c>
      <c r="R465" t="s">
        <v>35</v>
      </c>
      <c r="S465">
        <v>3</v>
      </c>
      <c r="T465">
        <v>1</v>
      </c>
      <c r="U465">
        <v>1</v>
      </c>
      <c r="V465">
        <v>1</v>
      </c>
      <c r="W465">
        <v>0</v>
      </c>
      <c r="X465">
        <v>0</v>
      </c>
      <c r="Y465">
        <v>0</v>
      </c>
      <c r="Z465" t="s">
        <v>1551</v>
      </c>
      <c r="AA465" t="s">
        <v>78</v>
      </c>
      <c r="AB465" t="str" cm="1">
        <f t="array" ref="AB465">_xlfn.IFS(cleaned_data[[#This Row],[YearsAtCompany]]&lt;=5, "0-5",cleaned_data[[#This Row],[YearsAtCompany]]&lt;=10,"6-10",TRUE,"10+")</f>
        <v>0-5</v>
      </c>
    </row>
    <row r="466" spans="1:28" x14ac:dyDescent="0.3">
      <c r="A466" s="2">
        <v>37</v>
      </c>
      <c r="B466" t="s">
        <v>43</v>
      </c>
      <c r="C466">
        <v>0</v>
      </c>
      <c r="D466" t="s">
        <v>36</v>
      </c>
      <c r="E466" t="s">
        <v>45</v>
      </c>
      <c r="F466">
        <v>1</v>
      </c>
      <c r="G466" t="s">
        <v>60</v>
      </c>
      <c r="H466" t="s">
        <v>536</v>
      </c>
      <c r="I466">
        <v>2</v>
      </c>
      <c r="J466" t="s">
        <v>39</v>
      </c>
      <c r="K466">
        <v>3</v>
      </c>
      <c r="L466">
        <v>3</v>
      </c>
      <c r="M466" t="s">
        <v>53</v>
      </c>
      <c r="N466">
        <v>4</v>
      </c>
      <c r="O466" t="s">
        <v>41</v>
      </c>
      <c r="P466" s="1">
        <v>7491</v>
      </c>
      <c r="Q466" t="s">
        <v>67</v>
      </c>
      <c r="R466" t="s">
        <v>43</v>
      </c>
      <c r="S466">
        <v>3</v>
      </c>
      <c r="T466">
        <v>12</v>
      </c>
      <c r="U466">
        <v>4</v>
      </c>
      <c r="V466">
        <v>6</v>
      </c>
      <c r="W466">
        <v>5</v>
      </c>
      <c r="X466">
        <v>1</v>
      </c>
      <c r="Y466">
        <v>2</v>
      </c>
      <c r="Z466" t="s">
        <v>1550</v>
      </c>
      <c r="AA466" t="s">
        <v>69</v>
      </c>
      <c r="AB466" t="str" cm="1">
        <f t="array" ref="AB466">_xlfn.IFS(cleaned_data[[#This Row],[YearsAtCompany]]&lt;=5, "0-5",cleaned_data[[#This Row],[YearsAtCompany]]&lt;=10,"6-10",TRUE,"10+")</f>
        <v>6-10</v>
      </c>
    </row>
    <row r="467" spans="1:28" x14ac:dyDescent="0.3">
      <c r="A467" s="2">
        <v>46</v>
      </c>
      <c r="B467" t="s">
        <v>43</v>
      </c>
      <c r="C467">
        <v>0</v>
      </c>
      <c r="D467" t="s">
        <v>44</v>
      </c>
      <c r="E467" t="s">
        <v>45</v>
      </c>
      <c r="F467">
        <v>18</v>
      </c>
      <c r="G467" t="s">
        <v>51</v>
      </c>
      <c r="H467" t="s">
        <v>537</v>
      </c>
      <c r="I467">
        <v>1</v>
      </c>
      <c r="J467" t="s">
        <v>39</v>
      </c>
      <c r="K467">
        <v>3</v>
      </c>
      <c r="L467">
        <v>3</v>
      </c>
      <c r="M467" t="s">
        <v>54</v>
      </c>
      <c r="N467">
        <v>3</v>
      </c>
      <c r="O467" t="s">
        <v>48</v>
      </c>
      <c r="P467" s="1">
        <v>10527</v>
      </c>
      <c r="Q467" t="s">
        <v>67</v>
      </c>
      <c r="R467" t="s">
        <v>43</v>
      </c>
      <c r="S467">
        <v>3</v>
      </c>
      <c r="T467">
        <v>28</v>
      </c>
      <c r="U467">
        <v>2</v>
      </c>
      <c r="V467">
        <v>2</v>
      </c>
      <c r="W467">
        <v>2</v>
      </c>
      <c r="X467">
        <v>1</v>
      </c>
      <c r="Y467">
        <v>2</v>
      </c>
      <c r="Z467" t="s">
        <v>106</v>
      </c>
      <c r="AA467" t="s">
        <v>82</v>
      </c>
      <c r="AB467" t="str" cm="1">
        <f t="array" ref="AB467">_xlfn.IFS(cleaned_data[[#This Row],[YearsAtCompany]]&lt;=5, "0-5",cleaned_data[[#This Row],[YearsAtCompany]]&lt;=10,"6-10",TRUE,"10+")</f>
        <v>0-5</v>
      </c>
    </row>
    <row r="468" spans="1:28" x14ac:dyDescent="0.3">
      <c r="A468" s="2">
        <v>41</v>
      </c>
      <c r="B468" t="s">
        <v>43</v>
      </c>
      <c r="C468">
        <v>0</v>
      </c>
      <c r="D468" t="s">
        <v>36</v>
      </c>
      <c r="E468" t="s">
        <v>37</v>
      </c>
      <c r="F468">
        <v>2</v>
      </c>
      <c r="G468" t="s">
        <v>38</v>
      </c>
      <c r="H468" t="s">
        <v>538</v>
      </c>
      <c r="I468">
        <v>2</v>
      </c>
      <c r="J468" t="s">
        <v>39</v>
      </c>
      <c r="K468">
        <v>3</v>
      </c>
      <c r="L468">
        <v>4</v>
      </c>
      <c r="M468" t="s">
        <v>56</v>
      </c>
      <c r="N468">
        <v>1</v>
      </c>
      <c r="O468" t="s">
        <v>48</v>
      </c>
      <c r="P468" s="6">
        <v>16595</v>
      </c>
      <c r="Q468" t="s">
        <v>90</v>
      </c>
      <c r="R468" t="s">
        <v>43</v>
      </c>
      <c r="S468">
        <v>3</v>
      </c>
      <c r="T468">
        <v>22</v>
      </c>
      <c r="U468">
        <v>3</v>
      </c>
      <c r="V468">
        <v>18</v>
      </c>
      <c r="W468">
        <v>16</v>
      </c>
      <c r="X468">
        <v>11</v>
      </c>
      <c r="Y468">
        <v>8</v>
      </c>
      <c r="Z468" t="s">
        <v>1550</v>
      </c>
      <c r="AA468" t="s">
        <v>82</v>
      </c>
      <c r="AB468" t="str" cm="1">
        <f t="array" ref="AB468">_xlfn.IFS(cleaned_data[[#This Row],[YearsAtCompany]]&lt;=5, "0-5",cleaned_data[[#This Row],[YearsAtCompany]]&lt;=10,"6-10",TRUE,"10+")</f>
        <v>10+</v>
      </c>
    </row>
    <row r="469" spans="1:28" x14ac:dyDescent="0.3">
      <c r="A469" s="2">
        <v>37</v>
      </c>
      <c r="B469" t="s">
        <v>43</v>
      </c>
      <c r="C469">
        <v>0</v>
      </c>
      <c r="D469" t="s">
        <v>55</v>
      </c>
      <c r="E469" t="s">
        <v>37</v>
      </c>
      <c r="F469">
        <v>9</v>
      </c>
      <c r="G469" t="s">
        <v>51</v>
      </c>
      <c r="H469" t="s">
        <v>539</v>
      </c>
      <c r="I469">
        <v>1</v>
      </c>
      <c r="J469" t="s">
        <v>46</v>
      </c>
      <c r="K469">
        <v>3</v>
      </c>
      <c r="L469">
        <v>3</v>
      </c>
      <c r="M469" t="s">
        <v>40</v>
      </c>
      <c r="N469">
        <v>2</v>
      </c>
      <c r="O469" t="s">
        <v>52</v>
      </c>
      <c r="P469" s="1">
        <v>8834</v>
      </c>
      <c r="Q469" t="s">
        <v>67</v>
      </c>
      <c r="R469" t="s">
        <v>43</v>
      </c>
      <c r="S469">
        <v>3</v>
      </c>
      <c r="T469">
        <v>9</v>
      </c>
      <c r="U469">
        <v>3</v>
      </c>
      <c r="V469">
        <v>9</v>
      </c>
      <c r="W469">
        <v>5</v>
      </c>
      <c r="X469">
        <v>7</v>
      </c>
      <c r="Y469">
        <v>7</v>
      </c>
      <c r="Z469" t="s">
        <v>1550</v>
      </c>
      <c r="AA469" t="s">
        <v>69</v>
      </c>
      <c r="AB469" t="str" cm="1">
        <f t="array" ref="AB469">_xlfn.IFS(cleaned_data[[#This Row],[YearsAtCompany]]&lt;=5, "0-5",cleaned_data[[#This Row],[YearsAtCompany]]&lt;=10,"6-10",TRUE,"10+")</f>
        <v>6-10</v>
      </c>
    </row>
    <row r="470" spans="1:28" x14ac:dyDescent="0.3">
      <c r="A470" s="2">
        <v>52</v>
      </c>
      <c r="B470" t="s">
        <v>43</v>
      </c>
      <c r="C470">
        <v>0</v>
      </c>
      <c r="D470" t="s">
        <v>36</v>
      </c>
      <c r="E470" t="s">
        <v>45</v>
      </c>
      <c r="F470">
        <v>6</v>
      </c>
      <c r="G470" t="s">
        <v>60</v>
      </c>
      <c r="H470" t="s">
        <v>540</v>
      </c>
      <c r="I470">
        <v>4</v>
      </c>
      <c r="J470" t="s">
        <v>46</v>
      </c>
      <c r="K470">
        <v>3</v>
      </c>
      <c r="L470">
        <v>2</v>
      </c>
      <c r="M470" t="s">
        <v>47</v>
      </c>
      <c r="N470">
        <v>1</v>
      </c>
      <c r="O470" t="s">
        <v>52</v>
      </c>
      <c r="P470" s="6">
        <v>5577</v>
      </c>
      <c r="Q470" t="s">
        <v>67</v>
      </c>
      <c r="R470" t="s">
        <v>35</v>
      </c>
      <c r="S470">
        <v>3</v>
      </c>
      <c r="T470">
        <v>18</v>
      </c>
      <c r="U470">
        <v>3</v>
      </c>
      <c r="V470">
        <v>10</v>
      </c>
      <c r="W470">
        <v>9</v>
      </c>
      <c r="X470">
        <v>6</v>
      </c>
      <c r="Y470">
        <v>9</v>
      </c>
      <c r="Z470" t="s">
        <v>106</v>
      </c>
      <c r="AA470" t="s">
        <v>82</v>
      </c>
      <c r="AB470" t="str" cm="1">
        <f t="array" ref="AB470">_xlfn.IFS(cleaned_data[[#This Row],[YearsAtCompany]]&lt;=5, "0-5",cleaned_data[[#This Row],[YearsAtCompany]]&lt;=10,"6-10",TRUE,"10+")</f>
        <v>6-10</v>
      </c>
    </row>
    <row r="471" spans="1:28" x14ac:dyDescent="0.3">
      <c r="A471" s="2">
        <v>32</v>
      </c>
      <c r="B471" t="s">
        <v>35</v>
      </c>
      <c r="C471">
        <v>1</v>
      </c>
      <c r="D471" t="s">
        <v>55</v>
      </c>
      <c r="E471" t="s">
        <v>37</v>
      </c>
      <c r="F471">
        <v>11</v>
      </c>
      <c r="G471" t="s">
        <v>49</v>
      </c>
      <c r="H471" t="s">
        <v>541</v>
      </c>
      <c r="I471">
        <v>4</v>
      </c>
      <c r="J471" t="s">
        <v>46</v>
      </c>
      <c r="K471">
        <v>4</v>
      </c>
      <c r="L471">
        <v>2</v>
      </c>
      <c r="M471" t="s">
        <v>40</v>
      </c>
      <c r="N471">
        <v>3</v>
      </c>
      <c r="O471" t="s">
        <v>48</v>
      </c>
      <c r="P471" s="1">
        <v>4707</v>
      </c>
      <c r="Q471" t="s">
        <v>72</v>
      </c>
      <c r="R471" t="s">
        <v>43</v>
      </c>
      <c r="S471">
        <v>3</v>
      </c>
      <c r="T471">
        <v>6</v>
      </c>
      <c r="U471">
        <v>3</v>
      </c>
      <c r="V471">
        <v>4</v>
      </c>
      <c r="W471">
        <v>2</v>
      </c>
      <c r="X471">
        <v>1</v>
      </c>
      <c r="Y471">
        <v>2</v>
      </c>
      <c r="Z471" t="s">
        <v>1551</v>
      </c>
      <c r="AA471" t="s">
        <v>69</v>
      </c>
      <c r="AB471" t="str" cm="1">
        <f t="array" ref="AB471">_xlfn.IFS(cleaned_data[[#This Row],[YearsAtCompany]]&lt;=5, "0-5",cleaned_data[[#This Row],[YearsAtCompany]]&lt;=10,"6-10",TRUE,"10+")</f>
        <v>0-5</v>
      </c>
    </row>
    <row r="472" spans="1:28" x14ac:dyDescent="0.3">
      <c r="A472" s="2">
        <v>24</v>
      </c>
      <c r="B472" t="s">
        <v>43</v>
      </c>
      <c r="C472">
        <v>0</v>
      </c>
      <c r="D472" t="s">
        <v>44</v>
      </c>
      <c r="E472" t="s">
        <v>37</v>
      </c>
      <c r="F472">
        <v>24</v>
      </c>
      <c r="G472" t="s">
        <v>51</v>
      </c>
      <c r="H472" t="s">
        <v>542</v>
      </c>
      <c r="I472">
        <v>4</v>
      </c>
      <c r="J472" t="s">
        <v>46</v>
      </c>
      <c r="K472">
        <v>3</v>
      </c>
      <c r="L472">
        <v>1</v>
      </c>
      <c r="M472" t="s">
        <v>57</v>
      </c>
      <c r="N472">
        <v>4</v>
      </c>
      <c r="O472" t="s">
        <v>48</v>
      </c>
      <c r="P472" s="1">
        <v>2400</v>
      </c>
      <c r="Q472" t="s">
        <v>72</v>
      </c>
      <c r="R472" t="s">
        <v>43</v>
      </c>
      <c r="S472">
        <v>3</v>
      </c>
      <c r="T472">
        <v>3</v>
      </c>
      <c r="U472">
        <v>3</v>
      </c>
      <c r="V472">
        <v>2</v>
      </c>
      <c r="W472">
        <v>2</v>
      </c>
      <c r="X472">
        <v>2</v>
      </c>
      <c r="Y472">
        <v>1</v>
      </c>
      <c r="Z472" t="s">
        <v>68</v>
      </c>
      <c r="AA472" t="s">
        <v>78</v>
      </c>
      <c r="AB472" t="str" cm="1">
        <f t="array" ref="AB472">_xlfn.IFS(cleaned_data[[#This Row],[YearsAtCompany]]&lt;=5, "0-5",cleaned_data[[#This Row],[YearsAtCompany]]&lt;=10,"6-10",TRUE,"10+")</f>
        <v>0-5</v>
      </c>
    </row>
    <row r="473" spans="1:28" x14ac:dyDescent="0.3">
      <c r="A473" s="2">
        <v>38</v>
      </c>
      <c r="B473" t="s">
        <v>43</v>
      </c>
      <c r="C473">
        <v>0</v>
      </c>
      <c r="D473" t="s">
        <v>36</v>
      </c>
      <c r="E473" t="s">
        <v>45</v>
      </c>
      <c r="F473">
        <v>10</v>
      </c>
      <c r="G473" t="s">
        <v>51</v>
      </c>
      <c r="H473" t="s">
        <v>543</v>
      </c>
      <c r="I473">
        <v>3</v>
      </c>
      <c r="J473" t="s">
        <v>39</v>
      </c>
      <c r="K473">
        <v>3</v>
      </c>
      <c r="L473">
        <v>2</v>
      </c>
      <c r="M473" t="s">
        <v>54</v>
      </c>
      <c r="N473">
        <v>3</v>
      </c>
      <c r="O473" t="s">
        <v>48</v>
      </c>
      <c r="P473" s="1">
        <v>9824</v>
      </c>
      <c r="Q473" t="s">
        <v>67</v>
      </c>
      <c r="R473" t="s">
        <v>43</v>
      </c>
      <c r="S473">
        <v>3</v>
      </c>
      <c r="T473">
        <v>18</v>
      </c>
      <c r="U473">
        <v>3</v>
      </c>
      <c r="V473">
        <v>1</v>
      </c>
      <c r="W473">
        <v>0</v>
      </c>
      <c r="X473">
        <v>0</v>
      </c>
      <c r="Y473">
        <v>0</v>
      </c>
      <c r="Z473" t="s">
        <v>1550</v>
      </c>
      <c r="AA473" t="s">
        <v>82</v>
      </c>
      <c r="AB473" t="str" cm="1">
        <f t="array" ref="AB473">_xlfn.IFS(cleaned_data[[#This Row],[YearsAtCompany]]&lt;=5, "0-5",cleaned_data[[#This Row],[YearsAtCompany]]&lt;=10,"6-10",TRUE,"10+")</f>
        <v>0-5</v>
      </c>
    </row>
    <row r="474" spans="1:28" x14ac:dyDescent="0.3">
      <c r="A474" s="2">
        <v>37</v>
      </c>
      <c r="B474" t="s">
        <v>43</v>
      </c>
      <c r="C474">
        <v>0</v>
      </c>
      <c r="D474" t="s">
        <v>36</v>
      </c>
      <c r="E474" t="s">
        <v>45</v>
      </c>
      <c r="F474">
        <v>1</v>
      </c>
      <c r="G474" t="s">
        <v>38</v>
      </c>
      <c r="H474" t="s">
        <v>544</v>
      </c>
      <c r="I474">
        <v>2</v>
      </c>
      <c r="J474" t="s">
        <v>39</v>
      </c>
      <c r="K474">
        <v>3</v>
      </c>
      <c r="L474">
        <v>2</v>
      </c>
      <c r="M474" t="s">
        <v>53</v>
      </c>
      <c r="N474">
        <v>2</v>
      </c>
      <c r="O474" t="s">
        <v>48</v>
      </c>
      <c r="P474" s="1">
        <v>6447</v>
      </c>
      <c r="Q474" t="s">
        <v>67</v>
      </c>
      <c r="R474" t="s">
        <v>43</v>
      </c>
      <c r="S474">
        <v>3</v>
      </c>
      <c r="T474">
        <v>8</v>
      </c>
      <c r="U474">
        <v>2</v>
      </c>
      <c r="V474">
        <v>6</v>
      </c>
      <c r="W474">
        <v>5</v>
      </c>
      <c r="X474">
        <v>4</v>
      </c>
      <c r="Y474">
        <v>3</v>
      </c>
      <c r="Z474" t="s">
        <v>1550</v>
      </c>
      <c r="AA474" t="s">
        <v>69</v>
      </c>
      <c r="AB474" t="str" cm="1">
        <f t="array" ref="AB474">_xlfn.IFS(cleaned_data[[#This Row],[YearsAtCompany]]&lt;=5, "0-5",cleaned_data[[#This Row],[YearsAtCompany]]&lt;=10,"6-10",TRUE,"10+")</f>
        <v>6-10</v>
      </c>
    </row>
    <row r="475" spans="1:28" x14ac:dyDescent="0.3">
      <c r="A475" s="2">
        <v>49</v>
      </c>
      <c r="B475" t="s">
        <v>43</v>
      </c>
      <c r="C475">
        <v>0</v>
      </c>
      <c r="D475" t="s">
        <v>36</v>
      </c>
      <c r="E475" t="s">
        <v>45</v>
      </c>
      <c r="F475">
        <v>18</v>
      </c>
      <c r="G475" t="s">
        <v>38</v>
      </c>
      <c r="H475" t="s">
        <v>545</v>
      </c>
      <c r="I475">
        <v>4</v>
      </c>
      <c r="J475" t="s">
        <v>46</v>
      </c>
      <c r="K475">
        <v>2</v>
      </c>
      <c r="L475">
        <v>5</v>
      </c>
      <c r="M475" t="s">
        <v>58</v>
      </c>
      <c r="N475">
        <v>3</v>
      </c>
      <c r="O475" t="s">
        <v>52</v>
      </c>
      <c r="P475" s="1">
        <v>19502</v>
      </c>
      <c r="Q475" t="s">
        <v>90</v>
      </c>
      <c r="R475" t="s">
        <v>35</v>
      </c>
      <c r="S475">
        <v>3</v>
      </c>
      <c r="T475">
        <v>31</v>
      </c>
      <c r="U475">
        <v>3</v>
      </c>
      <c r="V475">
        <v>31</v>
      </c>
      <c r="W475">
        <v>9</v>
      </c>
      <c r="X475">
        <v>0</v>
      </c>
      <c r="Y475">
        <v>9</v>
      </c>
      <c r="Z475" t="s">
        <v>106</v>
      </c>
      <c r="AA475" t="s">
        <v>82</v>
      </c>
      <c r="AB475" t="str" cm="1">
        <f t="array" ref="AB475">_xlfn.IFS(cleaned_data[[#This Row],[YearsAtCompany]]&lt;=5, "0-5",cleaned_data[[#This Row],[YearsAtCompany]]&lt;=10,"6-10",TRUE,"10+")</f>
        <v>10+</v>
      </c>
    </row>
    <row r="476" spans="1:28" x14ac:dyDescent="0.3">
      <c r="A476" s="2">
        <v>24</v>
      </c>
      <c r="B476" t="s">
        <v>43</v>
      </c>
      <c r="C476">
        <v>0</v>
      </c>
      <c r="D476" t="s">
        <v>36</v>
      </c>
      <c r="E476" t="s">
        <v>45</v>
      </c>
      <c r="F476">
        <v>23</v>
      </c>
      <c r="G476" t="s">
        <v>51</v>
      </c>
      <c r="H476" t="s">
        <v>546</v>
      </c>
      <c r="I476">
        <v>2</v>
      </c>
      <c r="J476" t="s">
        <v>46</v>
      </c>
      <c r="K476">
        <v>4</v>
      </c>
      <c r="L476">
        <v>1</v>
      </c>
      <c r="M476" t="s">
        <v>47</v>
      </c>
      <c r="N476">
        <v>4</v>
      </c>
      <c r="O476" t="s">
        <v>48</v>
      </c>
      <c r="P476" s="1">
        <v>2725</v>
      </c>
      <c r="Q476" t="s">
        <v>72</v>
      </c>
      <c r="R476" t="s">
        <v>35</v>
      </c>
      <c r="S476">
        <v>3</v>
      </c>
      <c r="T476">
        <v>6</v>
      </c>
      <c r="U476">
        <v>3</v>
      </c>
      <c r="V476">
        <v>6</v>
      </c>
      <c r="W476">
        <v>5</v>
      </c>
      <c r="X476">
        <v>1</v>
      </c>
      <c r="Y476">
        <v>4</v>
      </c>
      <c r="Z476" t="s">
        <v>68</v>
      </c>
      <c r="AA476" t="s">
        <v>69</v>
      </c>
      <c r="AB476" t="str" cm="1">
        <f t="array" ref="AB476">_xlfn.IFS(cleaned_data[[#This Row],[YearsAtCompany]]&lt;=5, "0-5",cleaned_data[[#This Row],[YearsAtCompany]]&lt;=10,"6-10",TRUE,"10+")</f>
        <v>6-10</v>
      </c>
    </row>
    <row r="477" spans="1:28" x14ac:dyDescent="0.3">
      <c r="A477" s="2">
        <v>26</v>
      </c>
      <c r="B477" t="s">
        <v>43</v>
      </c>
      <c r="C477">
        <v>0</v>
      </c>
      <c r="D477" t="s">
        <v>36</v>
      </c>
      <c r="E477" t="s">
        <v>37</v>
      </c>
      <c r="F477">
        <v>28</v>
      </c>
      <c r="G477" t="s">
        <v>59</v>
      </c>
      <c r="H477" t="s">
        <v>547</v>
      </c>
      <c r="I477">
        <v>1</v>
      </c>
      <c r="J477" t="s">
        <v>46</v>
      </c>
      <c r="K477">
        <v>3</v>
      </c>
      <c r="L477">
        <v>2</v>
      </c>
      <c r="M477" t="s">
        <v>40</v>
      </c>
      <c r="N477">
        <v>2</v>
      </c>
      <c r="O477" t="s">
        <v>48</v>
      </c>
      <c r="P477" s="1">
        <v>6272</v>
      </c>
      <c r="Q477" t="s">
        <v>67</v>
      </c>
      <c r="R477" t="s">
        <v>43</v>
      </c>
      <c r="S477">
        <v>4</v>
      </c>
      <c r="T477">
        <v>6</v>
      </c>
      <c r="U477">
        <v>4</v>
      </c>
      <c r="V477">
        <v>5</v>
      </c>
      <c r="W477">
        <v>3</v>
      </c>
      <c r="X477">
        <v>1</v>
      </c>
      <c r="Y477">
        <v>4</v>
      </c>
      <c r="Z477" t="s">
        <v>1551</v>
      </c>
      <c r="AA477" t="s">
        <v>69</v>
      </c>
      <c r="AB477" t="str" cm="1">
        <f t="array" ref="AB477">_xlfn.IFS(cleaned_data[[#This Row],[YearsAtCompany]]&lt;=5, "0-5",cleaned_data[[#This Row],[YearsAtCompany]]&lt;=10,"6-10",TRUE,"10+")</f>
        <v>0-5</v>
      </c>
    </row>
    <row r="478" spans="1:28" x14ac:dyDescent="0.3">
      <c r="A478" s="2">
        <v>24</v>
      </c>
      <c r="B478" t="s">
        <v>43</v>
      </c>
      <c r="C478">
        <v>0</v>
      </c>
      <c r="D478" t="s">
        <v>36</v>
      </c>
      <c r="E478" t="s">
        <v>45</v>
      </c>
      <c r="F478">
        <v>17</v>
      </c>
      <c r="G478" t="s">
        <v>49</v>
      </c>
      <c r="H478" t="s">
        <v>548</v>
      </c>
      <c r="I478">
        <v>4</v>
      </c>
      <c r="J478" t="s">
        <v>46</v>
      </c>
      <c r="K478">
        <v>2</v>
      </c>
      <c r="L478">
        <v>1</v>
      </c>
      <c r="M478" t="s">
        <v>50</v>
      </c>
      <c r="N478">
        <v>2</v>
      </c>
      <c r="O478" t="s">
        <v>48</v>
      </c>
      <c r="P478" s="1">
        <v>2127</v>
      </c>
      <c r="Q478" t="s">
        <v>72</v>
      </c>
      <c r="R478" t="s">
        <v>43</v>
      </c>
      <c r="S478">
        <v>4</v>
      </c>
      <c r="T478">
        <v>1</v>
      </c>
      <c r="U478">
        <v>3</v>
      </c>
      <c r="V478">
        <v>1</v>
      </c>
      <c r="W478">
        <v>0</v>
      </c>
      <c r="X478">
        <v>0</v>
      </c>
      <c r="Y478">
        <v>0</v>
      </c>
      <c r="Z478" t="s">
        <v>68</v>
      </c>
      <c r="AA478" t="s">
        <v>78</v>
      </c>
      <c r="AB478" t="str" cm="1">
        <f t="array" ref="AB478">_xlfn.IFS(cleaned_data[[#This Row],[YearsAtCompany]]&lt;=5, "0-5",cleaned_data[[#This Row],[YearsAtCompany]]&lt;=10,"6-10",TRUE,"10+")</f>
        <v>0-5</v>
      </c>
    </row>
    <row r="479" spans="1:28" x14ac:dyDescent="0.3">
      <c r="A479" s="2">
        <v>50</v>
      </c>
      <c r="B479" t="s">
        <v>43</v>
      </c>
      <c r="C479">
        <v>0</v>
      </c>
      <c r="D479" t="s">
        <v>44</v>
      </c>
      <c r="E479" t="s">
        <v>61</v>
      </c>
      <c r="F479">
        <v>3</v>
      </c>
      <c r="G479" t="s">
        <v>51</v>
      </c>
      <c r="H479" t="s">
        <v>549</v>
      </c>
      <c r="I479">
        <v>1</v>
      </c>
      <c r="J479" t="s">
        <v>46</v>
      </c>
      <c r="K479">
        <v>3</v>
      </c>
      <c r="L479">
        <v>5</v>
      </c>
      <c r="M479" t="s">
        <v>56</v>
      </c>
      <c r="N479">
        <v>2</v>
      </c>
      <c r="O479" t="s">
        <v>48</v>
      </c>
      <c r="P479" s="1">
        <v>18200</v>
      </c>
      <c r="Q479" t="s">
        <v>90</v>
      </c>
      <c r="R479" t="s">
        <v>43</v>
      </c>
      <c r="S479">
        <v>3</v>
      </c>
      <c r="T479">
        <v>32</v>
      </c>
      <c r="U479">
        <v>3</v>
      </c>
      <c r="V479">
        <v>32</v>
      </c>
      <c r="W479">
        <v>5</v>
      </c>
      <c r="X479">
        <v>10</v>
      </c>
      <c r="Y479">
        <v>7</v>
      </c>
      <c r="Z479" t="s">
        <v>106</v>
      </c>
      <c r="AA479" t="s">
        <v>82</v>
      </c>
      <c r="AB479" t="str" cm="1">
        <f t="array" ref="AB479">_xlfn.IFS(cleaned_data[[#This Row],[YearsAtCompany]]&lt;=5, "0-5",cleaned_data[[#This Row],[YearsAtCompany]]&lt;=10,"6-10",TRUE,"10+")</f>
        <v>10+</v>
      </c>
    </row>
    <row r="480" spans="1:28" x14ac:dyDescent="0.3">
      <c r="A480" s="2">
        <v>25</v>
      </c>
      <c r="B480" t="s">
        <v>43</v>
      </c>
      <c r="C480">
        <v>0</v>
      </c>
      <c r="D480" t="s">
        <v>36</v>
      </c>
      <c r="E480" t="s">
        <v>37</v>
      </c>
      <c r="F480">
        <v>13</v>
      </c>
      <c r="G480" t="s">
        <v>51</v>
      </c>
      <c r="H480" t="s">
        <v>550</v>
      </c>
      <c r="I480">
        <v>2</v>
      </c>
      <c r="J480" t="s">
        <v>46</v>
      </c>
      <c r="K480">
        <v>3</v>
      </c>
      <c r="L480">
        <v>1</v>
      </c>
      <c r="M480" t="s">
        <v>57</v>
      </c>
      <c r="N480">
        <v>3</v>
      </c>
      <c r="O480" t="s">
        <v>48</v>
      </c>
      <c r="P480" s="1">
        <v>2096</v>
      </c>
      <c r="Q480" t="s">
        <v>72</v>
      </c>
      <c r="R480" t="s">
        <v>43</v>
      </c>
      <c r="S480">
        <v>3</v>
      </c>
      <c r="T480">
        <v>7</v>
      </c>
      <c r="U480">
        <v>3</v>
      </c>
      <c r="V480">
        <v>7</v>
      </c>
      <c r="W480">
        <v>4</v>
      </c>
      <c r="X480">
        <v>0</v>
      </c>
      <c r="Y480">
        <v>6</v>
      </c>
      <c r="Z480" t="s">
        <v>68</v>
      </c>
      <c r="AA480" t="s">
        <v>69</v>
      </c>
      <c r="AB480" t="str" cm="1">
        <f t="array" ref="AB480">_xlfn.IFS(cleaned_data[[#This Row],[YearsAtCompany]]&lt;=5, "0-5",cleaned_data[[#This Row],[YearsAtCompany]]&lt;=10,"6-10",TRUE,"10+")</f>
        <v>6-10</v>
      </c>
    </row>
    <row r="481" spans="1:28" x14ac:dyDescent="0.3">
      <c r="A481" s="2">
        <v>24</v>
      </c>
      <c r="B481" t="s">
        <v>35</v>
      </c>
      <c r="C481">
        <v>1</v>
      </c>
      <c r="D481" t="s">
        <v>44</v>
      </c>
      <c r="E481" t="s">
        <v>45</v>
      </c>
      <c r="F481">
        <v>7</v>
      </c>
      <c r="G481" t="s">
        <v>38</v>
      </c>
      <c r="H481" t="s">
        <v>551</v>
      </c>
      <c r="I481">
        <v>1</v>
      </c>
      <c r="J481" t="s">
        <v>39</v>
      </c>
      <c r="K481">
        <v>3</v>
      </c>
      <c r="L481">
        <v>1</v>
      </c>
      <c r="M481" t="s">
        <v>50</v>
      </c>
      <c r="N481">
        <v>3</v>
      </c>
      <c r="O481" t="s">
        <v>48</v>
      </c>
      <c r="P481" s="1">
        <v>2886</v>
      </c>
      <c r="Q481" t="s">
        <v>72</v>
      </c>
      <c r="R481" t="s">
        <v>35</v>
      </c>
      <c r="S481">
        <v>3</v>
      </c>
      <c r="T481">
        <v>6</v>
      </c>
      <c r="U481">
        <v>3</v>
      </c>
      <c r="V481">
        <v>6</v>
      </c>
      <c r="W481">
        <v>3</v>
      </c>
      <c r="X481">
        <v>1</v>
      </c>
      <c r="Y481">
        <v>2</v>
      </c>
      <c r="Z481" t="s">
        <v>68</v>
      </c>
      <c r="AA481" t="s">
        <v>69</v>
      </c>
      <c r="AB481" t="str" cm="1">
        <f t="array" ref="AB481">_xlfn.IFS(cleaned_data[[#This Row],[YearsAtCompany]]&lt;=5, "0-5",cleaned_data[[#This Row],[YearsAtCompany]]&lt;=10,"6-10",TRUE,"10+")</f>
        <v>6-10</v>
      </c>
    </row>
    <row r="482" spans="1:28" x14ac:dyDescent="0.3">
      <c r="A482" s="2">
        <v>30</v>
      </c>
      <c r="B482" t="s">
        <v>35</v>
      </c>
      <c r="C482">
        <v>1</v>
      </c>
      <c r="D482" t="s">
        <v>44</v>
      </c>
      <c r="E482" t="s">
        <v>37</v>
      </c>
      <c r="F482">
        <v>12</v>
      </c>
      <c r="G482" t="s">
        <v>38</v>
      </c>
      <c r="H482" t="s">
        <v>552</v>
      </c>
      <c r="I482">
        <v>2</v>
      </c>
      <c r="J482" t="s">
        <v>46</v>
      </c>
      <c r="K482">
        <v>2</v>
      </c>
      <c r="L482">
        <v>1</v>
      </c>
      <c r="M482" t="s">
        <v>57</v>
      </c>
      <c r="N482">
        <v>1</v>
      </c>
      <c r="O482" t="s">
        <v>48</v>
      </c>
      <c r="P482" s="6">
        <v>2033</v>
      </c>
      <c r="Q482" t="s">
        <v>72</v>
      </c>
      <c r="R482" t="s">
        <v>43</v>
      </c>
      <c r="S482">
        <v>3</v>
      </c>
      <c r="T482">
        <v>1</v>
      </c>
      <c r="U482">
        <v>4</v>
      </c>
      <c r="V482">
        <v>1</v>
      </c>
      <c r="W482">
        <v>0</v>
      </c>
      <c r="X482">
        <v>0</v>
      </c>
      <c r="Y482">
        <v>0</v>
      </c>
      <c r="Z482" t="s">
        <v>1551</v>
      </c>
      <c r="AA482" t="s">
        <v>78</v>
      </c>
      <c r="AB482" t="str" cm="1">
        <f t="array" ref="AB482">_xlfn.IFS(cleaned_data[[#This Row],[YearsAtCompany]]&lt;=5, "0-5",cleaned_data[[#This Row],[YearsAtCompany]]&lt;=10,"6-10",TRUE,"10+")</f>
        <v>0-5</v>
      </c>
    </row>
    <row r="483" spans="1:28" x14ac:dyDescent="0.3">
      <c r="A483" s="2">
        <v>34</v>
      </c>
      <c r="B483" t="s">
        <v>43</v>
      </c>
      <c r="C483">
        <v>0</v>
      </c>
      <c r="D483" t="s">
        <v>36</v>
      </c>
      <c r="E483" t="s">
        <v>45</v>
      </c>
      <c r="F483">
        <v>1</v>
      </c>
      <c r="G483" t="s">
        <v>38</v>
      </c>
      <c r="H483" t="s">
        <v>553</v>
      </c>
      <c r="I483">
        <v>2</v>
      </c>
      <c r="J483" t="s">
        <v>46</v>
      </c>
      <c r="K483">
        <v>2</v>
      </c>
      <c r="L483">
        <v>1</v>
      </c>
      <c r="M483" t="s">
        <v>47</v>
      </c>
      <c r="N483">
        <v>4</v>
      </c>
      <c r="O483" t="s">
        <v>48</v>
      </c>
      <c r="P483" s="1">
        <v>3622</v>
      </c>
      <c r="Q483" t="s">
        <v>72</v>
      </c>
      <c r="R483" t="s">
        <v>35</v>
      </c>
      <c r="S483">
        <v>3</v>
      </c>
      <c r="T483">
        <v>6</v>
      </c>
      <c r="U483">
        <v>3</v>
      </c>
      <c r="V483">
        <v>6</v>
      </c>
      <c r="W483">
        <v>5</v>
      </c>
      <c r="X483">
        <v>1</v>
      </c>
      <c r="Y483">
        <v>3</v>
      </c>
      <c r="Z483" t="s">
        <v>1551</v>
      </c>
      <c r="AA483" t="s">
        <v>69</v>
      </c>
      <c r="AB483" t="str" cm="1">
        <f t="array" ref="AB483">_xlfn.IFS(cleaned_data[[#This Row],[YearsAtCompany]]&lt;=5, "0-5",cleaned_data[[#This Row],[YearsAtCompany]]&lt;=10,"6-10",TRUE,"10+")</f>
        <v>6-10</v>
      </c>
    </row>
    <row r="484" spans="1:28" x14ac:dyDescent="0.3">
      <c r="A484" s="2">
        <v>31</v>
      </c>
      <c r="B484" t="s">
        <v>35</v>
      </c>
      <c r="C484">
        <v>1</v>
      </c>
      <c r="D484" t="s">
        <v>36</v>
      </c>
      <c r="E484" t="s">
        <v>37</v>
      </c>
      <c r="F484">
        <v>13</v>
      </c>
      <c r="G484" t="s">
        <v>51</v>
      </c>
      <c r="H484" t="s">
        <v>554</v>
      </c>
      <c r="I484">
        <v>2</v>
      </c>
      <c r="J484" t="s">
        <v>46</v>
      </c>
      <c r="K484">
        <v>3</v>
      </c>
      <c r="L484">
        <v>2</v>
      </c>
      <c r="M484" t="s">
        <v>40</v>
      </c>
      <c r="N484">
        <v>1</v>
      </c>
      <c r="O484" t="s">
        <v>52</v>
      </c>
      <c r="P484" s="6">
        <v>4233</v>
      </c>
      <c r="Q484" t="s">
        <v>72</v>
      </c>
      <c r="R484" t="s">
        <v>43</v>
      </c>
      <c r="S484">
        <v>3</v>
      </c>
      <c r="T484">
        <v>9</v>
      </c>
      <c r="U484">
        <v>1</v>
      </c>
      <c r="V484">
        <v>3</v>
      </c>
      <c r="W484">
        <v>1</v>
      </c>
      <c r="X484">
        <v>1</v>
      </c>
      <c r="Y484">
        <v>2</v>
      </c>
      <c r="Z484" t="s">
        <v>1551</v>
      </c>
      <c r="AA484" t="s">
        <v>69</v>
      </c>
      <c r="AB484" t="str" cm="1">
        <f t="array" ref="AB484">_xlfn.IFS(cleaned_data[[#This Row],[YearsAtCompany]]&lt;=5, "0-5",cleaned_data[[#This Row],[YearsAtCompany]]&lt;=10,"6-10",TRUE,"10+")</f>
        <v>0-5</v>
      </c>
    </row>
    <row r="485" spans="1:28" x14ac:dyDescent="0.3">
      <c r="A485" s="2">
        <v>35</v>
      </c>
      <c r="B485" t="s">
        <v>43</v>
      </c>
      <c r="C485">
        <v>0</v>
      </c>
      <c r="D485" t="s">
        <v>36</v>
      </c>
      <c r="E485" t="s">
        <v>45</v>
      </c>
      <c r="F485">
        <v>25</v>
      </c>
      <c r="G485" t="s">
        <v>49</v>
      </c>
      <c r="H485" t="s">
        <v>555</v>
      </c>
      <c r="I485">
        <v>1</v>
      </c>
      <c r="J485" t="s">
        <v>46</v>
      </c>
      <c r="K485">
        <v>2</v>
      </c>
      <c r="L485">
        <v>2</v>
      </c>
      <c r="M485" t="s">
        <v>50</v>
      </c>
      <c r="N485">
        <v>4</v>
      </c>
      <c r="O485" t="s">
        <v>41</v>
      </c>
      <c r="P485" s="1">
        <v>3681</v>
      </c>
      <c r="Q485" t="s">
        <v>72</v>
      </c>
      <c r="R485" t="s">
        <v>43</v>
      </c>
      <c r="S485">
        <v>3</v>
      </c>
      <c r="T485">
        <v>9</v>
      </c>
      <c r="U485">
        <v>3</v>
      </c>
      <c r="V485">
        <v>3</v>
      </c>
      <c r="W485">
        <v>2</v>
      </c>
      <c r="X485">
        <v>0</v>
      </c>
      <c r="Y485">
        <v>2</v>
      </c>
      <c r="Z485" t="s">
        <v>1551</v>
      </c>
      <c r="AA485" t="s">
        <v>69</v>
      </c>
      <c r="AB485" t="str" cm="1">
        <f t="array" ref="AB485">_xlfn.IFS(cleaned_data[[#This Row],[YearsAtCompany]]&lt;=5, "0-5",cleaned_data[[#This Row],[YearsAtCompany]]&lt;=10,"6-10",TRUE,"10+")</f>
        <v>0-5</v>
      </c>
    </row>
    <row r="486" spans="1:28" x14ac:dyDescent="0.3">
      <c r="A486" s="2">
        <v>31</v>
      </c>
      <c r="B486" t="s">
        <v>43</v>
      </c>
      <c r="C486">
        <v>0</v>
      </c>
      <c r="D486" t="s">
        <v>36</v>
      </c>
      <c r="E486" t="s">
        <v>37</v>
      </c>
      <c r="F486">
        <v>6</v>
      </c>
      <c r="G486" t="s">
        <v>51</v>
      </c>
      <c r="H486" t="s">
        <v>556</v>
      </c>
      <c r="I486">
        <v>1</v>
      </c>
      <c r="J486" t="s">
        <v>46</v>
      </c>
      <c r="K486">
        <v>4</v>
      </c>
      <c r="L486">
        <v>2</v>
      </c>
      <c r="M486" t="s">
        <v>40</v>
      </c>
      <c r="N486">
        <v>4</v>
      </c>
      <c r="O486" t="s">
        <v>52</v>
      </c>
      <c r="P486" s="1">
        <v>5460</v>
      </c>
      <c r="Q486" t="s">
        <v>67</v>
      </c>
      <c r="R486" t="s">
        <v>43</v>
      </c>
      <c r="S486">
        <v>4</v>
      </c>
      <c r="T486">
        <v>13</v>
      </c>
      <c r="U486">
        <v>4</v>
      </c>
      <c r="V486">
        <v>7</v>
      </c>
      <c r="W486">
        <v>7</v>
      </c>
      <c r="X486">
        <v>5</v>
      </c>
      <c r="Y486">
        <v>7</v>
      </c>
      <c r="Z486" t="s">
        <v>1551</v>
      </c>
      <c r="AA486" t="s">
        <v>69</v>
      </c>
      <c r="AB486" t="str" cm="1">
        <f t="array" ref="AB486">_xlfn.IFS(cleaned_data[[#This Row],[YearsAtCompany]]&lt;=5, "0-5",cleaned_data[[#This Row],[YearsAtCompany]]&lt;=10,"6-10",TRUE,"10+")</f>
        <v>6-10</v>
      </c>
    </row>
    <row r="487" spans="1:28" x14ac:dyDescent="0.3">
      <c r="A487" s="2">
        <v>27</v>
      </c>
      <c r="B487" t="s">
        <v>43</v>
      </c>
      <c r="C487">
        <v>0</v>
      </c>
      <c r="D487" t="s">
        <v>36</v>
      </c>
      <c r="E487" t="s">
        <v>45</v>
      </c>
      <c r="F487">
        <v>6</v>
      </c>
      <c r="G487" t="s">
        <v>51</v>
      </c>
      <c r="H487" t="s">
        <v>557</v>
      </c>
      <c r="I487">
        <v>1</v>
      </c>
      <c r="J487" t="s">
        <v>39</v>
      </c>
      <c r="K487">
        <v>2</v>
      </c>
      <c r="L487">
        <v>1</v>
      </c>
      <c r="M487" t="s">
        <v>47</v>
      </c>
      <c r="N487">
        <v>3</v>
      </c>
      <c r="O487" t="s">
        <v>52</v>
      </c>
      <c r="P487" s="1">
        <v>2187</v>
      </c>
      <c r="Q487" t="s">
        <v>72</v>
      </c>
      <c r="R487" t="s">
        <v>43</v>
      </c>
      <c r="S487">
        <v>3</v>
      </c>
      <c r="T487">
        <v>6</v>
      </c>
      <c r="U487">
        <v>2</v>
      </c>
      <c r="V487">
        <v>5</v>
      </c>
      <c r="W487">
        <v>3</v>
      </c>
      <c r="X487">
        <v>0</v>
      </c>
      <c r="Y487">
        <v>3</v>
      </c>
      <c r="Z487" t="s">
        <v>1551</v>
      </c>
      <c r="AA487" t="s">
        <v>69</v>
      </c>
      <c r="AB487" t="str" cm="1">
        <f t="array" ref="AB487">_xlfn.IFS(cleaned_data[[#This Row],[YearsAtCompany]]&lt;=5, "0-5",cleaned_data[[#This Row],[YearsAtCompany]]&lt;=10,"6-10",TRUE,"10+")</f>
        <v>0-5</v>
      </c>
    </row>
    <row r="488" spans="1:28" x14ac:dyDescent="0.3">
      <c r="A488" s="2">
        <v>37</v>
      </c>
      <c r="B488" t="s">
        <v>43</v>
      </c>
      <c r="C488">
        <v>0</v>
      </c>
      <c r="D488" t="s">
        <v>36</v>
      </c>
      <c r="E488" t="s">
        <v>37</v>
      </c>
      <c r="F488">
        <v>2</v>
      </c>
      <c r="G488" t="s">
        <v>59</v>
      </c>
      <c r="H488" t="s">
        <v>558</v>
      </c>
      <c r="I488">
        <v>4</v>
      </c>
      <c r="J488" t="s">
        <v>46</v>
      </c>
      <c r="K488">
        <v>3</v>
      </c>
      <c r="L488">
        <v>2</v>
      </c>
      <c r="M488" t="s">
        <v>40</v>
      </c>
      <c r="N488">
        <v>3</v>
      </c>
      <c r="O488" t="s">
        <v>48</v>
      </c>
      <c r="P488" s="1">
        <v>9602</v>
      </c>
      <c r="Q488" t="s">
        <v>67</v>
      </c>
      <c r="R488" t="s">
        <v>35</v>
      </c>
      <c r="S488">
        <v>3</v>
      </c>
      <c r="T488">
        <v>17</v>
      </c>
      <c r="U488">
        <v>2</v>
      </c>
      <c r="V488">
        <v>3</v>
      </c>
      <c r="W488">
        <v>0</v>
      </c>
      <c r="X488">
        <v>1</v>
      </c>
      <c r="Y488">
        <v>0</v>
      </c>
      <c r="Z488" t="s">
        <v>1550</v>
      </c>
      <c r="AA488" t="s">
        <v>82</v>
      </c>
      <c r="AB488" t="str" cm="1">
        <f t="array" ref="AB488">_xlfn.IFS(cleaned_data[[#This Row],[YearsAtCompany]]&lt;=5, "0-5",cleaned_data[[#This Row],[YearsAtCompany]]&lt;=10,"6-10",TRUE,"10+")</f>
        <v>0-5</v>
      </c>
    </row>
    <row r="489" spans="1:28" x14ac:dyDescent="0.3">
      <c r="A489" s="2">
        <v>20</v>
      </c>
      <c r="B489" t="s">
        <v>43</v>
      </c>
      <c r="C489">
        <v>0</v>
      </c>
      <c r="D489" t="s">
        <v>36</v>
      </c>
      <c r="E489" t="s">
        <v>45</v>
      </c>
      <c r="F489">
        <v>1</v>
      </c>
      <c r="G489" t="s">
        <v>38</v>
      </c>
      <c r="H489" t="s">
        <v>559</v>
      </c>
      <c r="I489">
        <v>4</v>
      </c>
      <c r="J489" t="s">
        <v>39</v>
      </c>
      <c r="K489">
        <v>2</v>
      </c>
      <c r="L489">
        <v>1</v>
      </c>
      <c r="M489" t="s">
        <v>47</v>
      </c>
      <c r="N489">
        <v>2</v>
      </c>
      <c r="O489" t="s">
        <v>41</v>
      </c>
      <c r="P489" s="1">
        <v>2836</v>
      </c>
      <c r="Q489" t="s">
        <v>72</v>
      </c>
      <c r="R489" t="s">
        <v>43</v>
      </c>
      <c r="S489">
        <v>3</v>
      </c>
      <c r="T489">
        <v>1</v>
      </c>
      <c r="U489">
        <v>4</v>
      </c>
      <c r="V489">
        <v>1</v>
      </c>
      <c r="W489">
        <v>0</v>
      </c>
      <c r="X489">
        <v>0</v>
      </c>
      <c r="Y489">
        <v>0</v>
      </c>
      <c r="Z489" t="s">
        <v>68</v>
      </c>
      <c r="AA489" t="s">
        <v>78</v>
      </c>
      <c r="AB489" t="str" cm="1">
        <f t="array" ref="AB489">_xlfn.IFS(cleaned_data[[#This Row],[YearsAtCompany]]&lt;=5, "0-5",cleaned_data[[#This Row],[YearsAtCompany]]&lt;=10,"6-10",TRUE,"10+")</f>
        <v>0-5</v>
      </c>
    </row>
    <row r="490" spans="1:28" x14ac:dyDescent="0.3">
      <c r="A490" s="2">
        <v>42</v>
      </c>
      <c r="B490" t="s">
        <v>43</v>
      </c>
      <c r="C490">
        <v>0</v>
      </c>
      <c r="D490" t="s">
        <v>36</v>
      </c>
      <c r="E490" t="s">
        <v>45</v>
      </c>
      <c r="F490">
        <v>2</v>
      </c>
      <c r="G490" t="s">
        <v>38</v>
      </c>
      <c r="H490" t="s">
        <v>560</v>
      </c>
      <c r="I490">
        <v>3</v>
      </c>
      <c r="J490" t="s">
        <v>39</v>
      </c>
      <c r="K490">
        <v>3</v>
      </c>
      <c r="L490">
        <v>2</v>
      </c>
      <c r="M490" t="s">
        <v>54</v>
      </c>
      <c r="N490">
        <v>4</v>
      </c>
      <c r="O490" t="s">
        <v>48</v>
      </c>
      <c r="P490" s="1">
        <v>4089</v>
      </c>
      <c r="Q490" t="s">
        <v>72</v>
      </c>
      <c r="R490" t="s">
        <v>43</v>
      </c>
      <c r="S490">
        <v>3</v>
      </c>
      <c r="T490">
        <v>10</v>
      </c>
      <c r="U490">
        <v>3</v>
      </c>
      <c r="V490">
        <v>10</v>
      </c>
      <c r="W490">
        <v>2</v>
      </c>
      <c r="X490">
        <v>2</v>
      </c>
      <c r="Y490">
        <v>2</v>
      </c>
      <c r="Z490" t="s">
        <v>1550</v>
      </c>
      <c r="AA490" t="s">
        <v>69</v>
      </c>
      <c r="AB490" t="str" cm="1">
        <f t="array" ref="AB490">_xlfn.IFS(cleaned_data[[#This Row],[YearsAtCompany]]&lt;=5, "0-5",cleaned_data[[#This Row],[YearsAtCompany]]&lt;=10,"6-10",TRUE,"10+")</f>
        <v>6-10</v>
      </c>
    </row>
    <row r="491" spans="1:28" x14ac:dyDescent="0.3">
      <c r="A491" s="2">
        <v>43</v>
      </c>
      <c r="B491" t="s">
        <v>43</v>
      </c>
      <c r="C491">
        <v>0</v>
      </c>
      <c r="D491" t="s">
        <v>36</v>
      </c>
      <c r="E491" t="s">
        <v>45</v>
      </c>
      <c r="F491">
        <v>6</v>
      </c>
      <c r="G491" t="s">
        <v>49</v>
      </c>
      <c r="H491" t="s">
        <v>561</v>
      </c>
      <c r="I491">
        <v>2</v>
      </c>
      <c r="J491" t="s">
        <v>46</v>
      </c>
      <c r="K491">
        <v>2</v>
      </c>
      <c r="L491">
        <v>4</v>
      </c>
      <c r="M491" t="s">
        <v>58</v>
      </c>
      <c r="N491">
        <v>4</v>
      </c>
      <c r="O491" t="s">
        <v>52</v>
      </c>
      <c r="P491" s="1">
        <v>16627</v>
      </c>
      <c r="Q491" t="s">
        <v>90</v>
      </c>
      <c r="R491" t="s">
        <v>35</v>
      </c>
      <c r="S491">
        <v>3</v>
      </c>
      <c r="T491">
        <v>21</v>
      </c>
      <c r="U491">
        <v>2</v>
      </c>
      <c r="V491">
        <v>1</v>
      </c>
      <c r="W491">
        <v>0</v>
      </c>
      <c r="X491">
        <v>0</v>
      </c>
      <c r="Y491">
        <v>0</v>
      </c>
      <c r="Z491" t="s">
        <v>1550</v>
      </c>
      <c r="AA491" t="s">
        <v>82</v>
      </c>
      <c r="AB491" t="str" cm="1">
        <f t="array" ref="AB491">_xlfn.IFS(cleaned_data[[#This Row],[YearsAtCompany]]&lt;=5, "0-5",cleaned_data[[#This Row],[YearsAtCompany]]&lt;=10,"6-10",TRUE,"10+")</f>
        <v>0-5</v>
      </c>
    </row>
    <row r="492" spans="1:28" x14ac:dyDescent="0.3">
      <c r="A492" s="2">
        <v>38</v>
      </c>
      <c r="B492" t="s">
        <v>43</v>
      </c>
      <c r="C492">
        <v>0</v>
      </c>
      <c r="D492" t="s">
        <v>36</v>
      </c>
      <c r="E492" t="s">
        <v>45</v>
      </c>
      <c r="F492">
        <v>1</v>
      </c>
      <c r="G492" t="s">
        <v>38</v>
      </c>
      <c r="H492" t="s">
        <v>562</v>
      </c>
      <c r="I492">
        <v>3</v>
      </c>
      <c r="J492" t="s">
        <v>39</v>
      </c>
      <c r="K492">
        <v>3</v>
      </c>
      <c r="L492">
        <v>1</v>
      </c>
      <c r="M492" t="s">
        <v>47</v>
      </c>
      <c r="N492">
        <v>1</v>
      </c>
      <c r="O492" t="s">
        <v>41</v>
      </c>
      <c r="P492" s="6">
        <v>2619</v>
      </c>
      <c r="Q492" t="s">
        <v>72</v>
      </c>
      <c r="R492" t="s">
        <v>43</v>
      </c>
      <c r="S492">
        <v>3</v>
      </c>
      <c r="T492">
        <v>8</v>
      </c>
      <c r="U492">
        <v>2</v>
      </c>
      <c r="V492">
        <v>0</v>
      </c>
      <c r="W492">
        <v>0</v>
      </c>
      <c r="X492">
        <v>0</v>
      </c>
      <c r="Y492">
        <v>0</v>
      </c>
      <c r="Z492" t="s">
        <v>1550</v>
      </c>
      <c r="AA492" t="s">
        <v>69</v>
      </c>
      <c r="AB492" t="str" cm="1">
        <f t="array" ref="AB492">_xlfn.IFS(cleaned_data[[#This Row],[YearsAtCompany]]&lt;=5, "0-5",cleaned_data[[#This Row],[YearsAtCompany]]&lt;=10,"6-10",TRUE,"10+")</f>
        <v>0-5</v>
      </c>
    </row>
    <row r="493" spans="1:28" x14ac:dyDescent="0.3">
      <c r="A493" s="2">
        <v>43</v>
      </c>
      <c r="B493" t="s">
        <v>43</v>
      </c>
      <c r="C493">
        <v>0</v>
      </c>
      <c r="D493" t="s">
        <v>44</v>
      </c>
      <c r="E493" t="s">
        <v>45</v>
      </c>
      <c r="F493">
        <v>9</v>
      </c>
      <c r="G493" t="s">
        <v>51</v>
      </c>
      <c r="H493" t="s">
        <v>563</v>
      </c>
      <c r="I493">
        <v>4</v>
      </c>
      <c r="J493" t="s">
        <v>46</v>
      </c>
      <c r="K493">
        <v>3</v>
      </c>
      <c r="L493">
        <v>2</v>
      </c>
      <c r="M493" t="s">
        <v>50</v>
      </c>
      <c r="N493">
        <v>3</v>
      </c>
      <c r="O493" t="s">
        <v>52</v>
      </c>
      <c r="P493" s="1">
        <v>5679</v>
      </c>
      <c r="Q493" t="s">
        <v>67</v>
      </c>
      <c r="R493" t="s">
        <v>35</v>
      </c>
      <c r="S493">
        <v>3</v>
      </c>
      <c r="T493">
        <v>10</v>
      </c>
      <c r="U493">
        <v>3</v>
      </c>
      <c r="V493">
        <v>8</v>
      </c>
      <c r="W493">
        <v>7</v>
      </c>
      <c r="X493">
        <v>4</v>
      </c>
      <c r="Y493">
        <v>7</v>
      </c>
      <c r="Z493" t="s">
        <v>1550</v>
      </c>
      <c r="AA493" t="s">
        <v>69</v>
      </c>
      <c r="AB493" t="str" cm="1">
        <f t="array" ref="AB493">_xlfn.IFS(cleaned_data[[#This Row],[YearsAtCompany]]&lt;=5, "0-5",cleaned_data[[#This Row],[YearsAtCompany]]&lt;=10,"6-10",TRUE,"10+")</f>
        <v>6-10</v>
      </c>
    </row>
    <row r="494" spans="1:28" x14ac:dyDescent="0.3">
      <c r="A494" s="2">
        <v>48</v>
      </c>
      <c r="B494" t="s">
        <v>43</v>
      </c>
      <c r="C494">
        <v>0</v>
      </c>
      <c r="D494" t="s">
        <v>36</v>
      </c>
      <c r="E494" t="s">
        <v>45</v>
      </c>
      <c r="F494">
        <v>1</v>
      </c>
      <c r="G494" t="s">
        <v>38</v>
      </c>
      <c r="H494" t="s">
        <v>564</v>
      </c>
      <c r="I494">
        <v>4</v>
      </c>
      <c r="J494" t="s">
        <v>39</v>
      </c>
      <c r="K494">
        <v>2</v>
      </c>
      <c r="L494">
        <v>4</v>
      </c>
      <c r="M494" t="s">
        <v>56</v>
      </c>
      <c r="N494">
        <v>1</v>
      </c>
      <c r="O494" t="s">
        <v>48</v>
      </c>
      <c r="P494" s="6">
        <v>15402</v>
      </c>
      <c r="Q494" t="s">
        <v>90</v>
      </c>
      <c r="R494" t="s">
        <v>43</v>
      </c>
      <c r="S494">
        <v>3</v>
      </c>
      <c r="T494">
        <v>21</v>
      </c>
      <c r="U494">
        <v>1</v>
      </c>
      <c r="V494">
        <v>3</v>
      </c>
      <c r="W494">
        <v>2</v>
      </c>
      <c r="X494">
        <v>0</v>
      </c>
      <c r="Y494">
        <v>2</v>
      </c>
      <c r="Z494" t="s">
        <v>106</v>
      </c>
      <c r="AA494" t="s">
        <v>82</v>
      </c>
      <c r="AB494" t="str" cm="1">
        <f t="array" ref="AB494">_xlfn.IFS(cleaned_data[[#This Row],[YearsAtCompany]]&lt;=5, "0-5",cleaned_data[[#This Row],[YearsAtCompany]]&lt;=10,"6-10",TRUE,"10+")</f>
        <v>0-5</v>
      </c>
    </row>
    <row r="495" spans="1:28" x14ac:dyDescent="0.3">
      <c r="A495" s="2">
        <v>44</v>
      </c>
      <c r="B495" t="s">
        <v>43</v>
      </c>
      <c r="C495">
        <v>0</v>
      </c>
      <c r="D495" t="s">
        <v>36</v>
      </c>
      <c r="E495" t="s">
        <v>61</v>
      </c>
      <c r="F495">
        <v>1</v>
      </c>
      <c r="G495" t="s">
        <v>38</v>
      </c>
      <c r="H495" t="s">
        <v>565</v>
      </c>
      <c r="I495">
        <v>1</v>
      </c>
      <c r="J495" t="s">
        <v>39</v>
      </c>
      <c r="K495">
        <v>2</v>
      </c>
      <c r="L495">
        <v>2</v>
      </c>
      <c r="M495" t="s">
        <v>61</v>
      </c>
      <c r="N495">
        <v>3</v>
      </c>
      <c r="O495" t="s">
        <v>41</v>
      </c>
      <c r="P495" s="1">
        <v>5985</v>
      </c>
      <c r="Q495" t="s">
        <v>67</v>
      </c>
      <c r="R495" t="s">
        <v>43</v>
      </c>
      <c r="S495">
        <v>3</v>
      </c>
      <c r="T495">
        <v>10</v>
      </c>
      <c r="U495">
        <v>4</v>
      </c>
      <c r="V495">
        <v>2</v>
      </c>
      <c r="W495">
        <v>2</v>
      </c>
      <c r="X495">
        <v>0</v>
      </c>
      <c r="Y495">
        <v>2</v>
      </c>
      <c r="Z495" t="s">
        <v>1550</v>
      </c>
      <c r="AA495" t="s">
        <v>69</v>
      </c>
      <c r="AB495" t="str" cm="1">
        <f t="array" ref="AB495">_xlfn.IFS(cleaned_data[[#This Row],[YearsAtCompany]]&lt;=5, "0-5",cleaned_data[[#This Row],[YearsAtCompany]]&lt;=10,"6-10",TRUE,"10+")</f>
        <v>0-5</v>
      </c>
    </row>
    <row r="496" spans="1:28" x14ac:dyDescent="0.3">
      <c r="A496" s="2">
        <v>34</v>
      </c>
      <c r="B496" t="s">
        <v>43</v>
      </c>
      <c r="C496">
        <v>0</v>
      </c>
      <c r="D496" t="s">
        <v>36</v>
      </c>
      <c r="E496" t="s">
        <v>37</v>
      </c>
      <c r="F496">
        <v>14</v>
      </c>
      <c r="G496" t="s">
        <v>60</v>
      </c>
      <c r="H496" t="s">
        <v>566</v>
      </c>
      <c r="I496">
        <v>3</v>
      </c>
      <c r="J496" t="s">
        <v>39</v>
      </c>
      <c r="K496">
        <v>3</v>
      </c>
      <c r="L496">
        <v>1</v>
      </c>
      <c r="M496" t="s">
        <v>57</v>
      </c>
      <c r="N496">
        <v>3</v>
      </c>
      <c r="O496" t="s">
        <v>52</v>
      </c>
      <c r="P496" s="1">
        <v>2579</v>
      </c>
      <c r="Q496" t="s">
        <v>72</v>
      </c>
      <c r="R496" t="s">
        <v>35</v>
      </c>
      <c r="S496">
        <v>3</v>
      </c>
      <c r="T496">
        <v>8</v>
      </c>
      <c r="U496">
        <v>3</v>
      </c>
      <c r="V496">
        <v>8</v>
      </c>
      <c r="W496">
        <v>2</v>
      </c>
      <c r="X496">
        <v>0</v>
      </c>
      <c r="Y496">
        <v>6</v>
      </c>
      <c r="Z496" t="s">
        <v>1551</v>
      </c>
      <c r="AA496" t="s">
        <v>69</v>
      </c>
      <c r="AB496" t="str" cm="1">
        <f t="array" ref="AB496">_xlfn.IFS(cleaned_data[[#This Row],[YearsAtCompany]]&lt;=5, "0-5",cleaned_data[[#This Row],[YearsAtCompany]]&lt;=10,"6-10",TRUE,"10+")</f>
        <v>6-10</v>
      </c>
    </row>
    <row r="497" spans="1:28" x14ac:dyDescent="0.3">
      <c r="A497" s="2">
        <v>27</v>
      </c>
      <c r="B497" t="s">
        <v>35</v>
      </c>
      <c r="C497">
        <v>1</v>
      </c>
      <c r="D497" t="s">
        <v>36</v>
      </c>
      <c r="E497" t="s">
        <v>37</v>
      </c>
      <c r="F497">
        <v>2</v>
      </c>
      <c r="G497" t="s">
        <v>59</v>
      </c>
      <c r="H497" t="s">
        <v>567</v>
      </c>
      <c r="I497">
        <v>3</v>
      </c>
      <c r="J497" t="s">
        <v>46</v>
      </c>
      <c r="K497">
        <v>3</v>
      </c>
      <c r="L497">
        <v>1</v>
      </c>
      <c r="M497" t="s">
        <v>57</v>
      </c>
      <c r="N497">
        <v>1</v>
      </c>
      <c r="O497" t="s">
        <v>52</v>
      </c>
      <c r="P497" s="6">
        <v>3041</v>
      </c>
      <c r="Q497" t="s">
        <v>72</v>
      </c>
      <c r="R497" t="s">
        <v>43</v>
      </c>
      <c r="S497">
        <v>3</v>
      </c>
      <c r="T497">
        <v>5</v>
      </c>
      <c r="U497">
        <v>3</v>
      </c>
      <c r="V497">
        <v>4</v>
      </c>
      <c r="W497">
        <v>3</v>
      </c>
      <c r="X497">
        <v>0</v>
      </c>
      <c r="Y497">
        <v>2</v>
      </c>
      <c r="Z497" t="s">
        <v>1551</v>
      </c>
      <c r="AA497" t="s">
        <v>78</v>
      </c>
      <c r="AB497" t="str" cm="1">
        <f t="array" ref="AB497">_xlfn.IFS(cleaned_data[[#This Row],[YearsAtCompany]]&lt;=5, "0-5",cleaned_data[[#This Row],[YearsAtCompany]]&lt;=10,"6-10",TRUE,"10+")</f>
        <v>0-5</v>
      </c>
    </row>
    <row r="498" spans="1:28" x14ac:dyDescent="0.3">
      <c r="A498" s="2">
        <v>21</v>
      </c>
      <c r="B498" t="s">
        <v>43</v>
      </c>
      <c r="C498">
        <v>0</v>
      </c>
      <c r="D498" t="s">
        <v>36</v>
      </c>
      <c r="E498" t="s">
        <v>37</v>
      </c>
      <c r="F498">
        <v>22</v>
      </c>
      <c r="G498" t="s">
        <v>60</v>
      </c>
      <c r="H498" t="s">
        <v>568</v>
      </c>
      <c r="I498">
        <v>3</v>
      </c>
      <c r="J498" t="s">
        <v>46</v>
      </c>
      <c r="K498">
        <v>3</v>
      </c>
      <c r="L498">
        <v>1</v>
      </c>
      <c r="M498" t="s">
        <v>57</v>
      </c>
      <c r="N498">
        <v>3</v>
      </c>
      <c r="O498" t="s">
        <v>41</v>
      </c>
      <c r="P498" s="1">
        <v>3447</v>
      </c>
      <c r="Q498" t="s">
        <v>72</v>
      </c>
      <c r="R498" t="s">
        <v>43</v>
      </c>
      <c r="S498">
        <v>3</v>
      </c>
      <c r="T498">
        <v>3</v>
      </c>
      <c r="U498">
        <v>3</v>
      </c>
      <c r="V498">
        <v>3</v>
      </c>
      <c r="W498">
        <v>2</v>
      </c>
      <c r="X498">
        <v>1</v>
      </c>
      <c r="Y498">
        <v>2</v>
      </c>
      <c r="Z498" t="s">
        <v>68</v>
      </c>
      <c r="AA498" t="s">
        <v>78</v>
      </c>
      <c r="AB498" t="str" cm="1">
        <f t="array" ref="AB498">_xlfn.IFS(cleaned_data[[#This Row],[YearsAtCompany]]&lt;=5, "0-5",cleaned_data[[#This Row],[YearsAtCompany]]&lt;=10,"6-10",TRUE,"10+")</f>
        <v>0-5</v>
      </c>
    </row>
    <row r="499" spans="1:28" x14ac:dyDescent="0.3">
      <c r="A499" s="2">
        <v>44</v>
      </c>
      <c r="B499" t="s">
        <v>43</v>
      </c>
      <c r="C499">
        <v>0</v>
      </c>
      <c r="D499" t="s">
        <v>36</v>
      </c>
      <c r="E499" t="s">
        <v>45</v>
      </c>
      <c r="F499">
        <v>3</v>
      </c>
      <c r="G499" t="s">
        <v>49</v>
      </c>
      <c r="H499" t="s">
        <v>569</v>
      </c>
      <c r="I499">
        <v>4</v>
      </c>
      <c r="J499" t="s">
        <v>46</v>
      </c>
      <c r="K499">
        <v>3</v>
      </c>
      <c r="L499">
        <v>5</v>
      </c>
      <c r="M499" t="s">
        <v>56</v>
      </c>
      <c r="N499">
        <v>4</v>
      </c>
      <c r="O499" t="s">
        <v>48</v>
      </c>
      <c r="P499" s="1">
        <v>19513</v>
      </c>
      <c r="Q499" t="s">
        <v>90</v>
      </c>
      <c r="R499" t="s">
        <v>35</v>
      </c>
      <c r="S499">
        <v>3</v>
      </c>
      <c r="T499">
        <v>26</v>
      </c>
      <c r="U499">
        <v>4</v>
      </c>
      <c r="V499">
        <v>2</v>
      </c>
      <c r="W499">
        <v>2</v>
      </c>
      <c r="X499">
        <v>0</v>
      </c>
      <c r="Y499">
        <v>1</v>
      </c>
      <c r="Z499" t="s">
        <v>1550</v>
      </c>
      <c r="AA499" t="s">
        <v>82</v>
      </c>
      <c r="AB499" t="str" cm="1">
        <f t="array" ref="AB499">_xlfn.IFS(cleaned_data[[#This Row],[YearsAtCompany]]&lt;=5, "0-5",cleaned_data[[#This Row],[YearsAtCompany]]&lt;=10,"6-10",TRUE,"10+")</f>
        <v>0-5</v>
      </c>
    </row>
    <row r="500" spans="1:28" x14ac:dyDescent="0.3">
      <c r="A500" s="2">
        <v>22</v>
      </c>
      <c r="B500" t="s">
        <v>43</v>
      </c>
      <c r="C500">
        <v>0</v>
      </c>
      <c r="D500" t="s">
        <v>36</v>
      </c>
      <c r="E500" t="s">
        <v>45</v>
      </c>
      <c r="F500">
        <v>6</v>
      </c>
      <c r="G500" t="s">
        <v>51</v>
      </c>
      <c r="H500" t="s">
        <v>570</v>
      </c>
      <c r="I500">
        <v>1</v>
      </c>
      <c r="J500" t="s">
        <v>46</v>
      </c>
      <c r="K500">
        <v>3</v>
      </c>
      <c r="L500">
        <v>1</v>
      </c>
      <c r="M500" t="s">
        <v>47</v>
      </c>
      <c r="N500">
        <v>3</v>
      </c>
      <c r="O500" t="s">
        <v>48</v>
      </c>
      <c r="P500" s="1">
        <v>2773</v>
      </c>
      <c r="Q500" t="s">
        <v>72</v>
      </c>
      <c r="R500" t="s">
        <v>43</v>
      </c>
      <c r="S500">
        <v>4</v>
      </c>
      <c r="T500">
        <v>3</v>
      </c>
      <c r="U500">
        <v>3</v>
      </c>
      <c r="V500">
        <v>2</v>
      </c>
      <c r="W500">
        <v>2</v>
      </c>
      <c r="X500">
        <v>2</v>
      </c>
      <c r="Y500">
        <v>2</v>
      </c>
      <c r="Z500" t="s">
        <v>68</v>
      </c>
      <c r="AA500" t="s">
        <v>78</v>
      </c>
      <c r="AB500" t="str" cm="1">
        <f t="array" ref="AB500">_xlfn.IFS(cleaned_data[[#This Row],[YearsAtCompany]]&lt;=5, "0-5",cleaned_data[[#This Row],[YearsAtCompany]]&lt;=10,"6-10",TRUE,"10+")</f>
        <v>0-5</v>
      </c>
    </row>
    <row r="501" spans="1:28" x14ac:dyDescent="0.3">
      <c r="A501" s="2">
        <v>33</v>
      </c>
      <c r="B501" t="s">
        <v>43</v>
      </c>
      <c r="C501">
        <v>0</v>
      </c>
      <c r="D501" t="s">
        <v>36</v>
      </c>
      <c r="E501" t="s">
        <v>37</v>
      </c>
      <c r="F501">
        <v>8</v>
      </c>
      <c r="G501" t="s">
        <v>59</v>
      </c>
      <c r="H501" t="s">
        <v>571</v>
      </c>
      <c r="I501">
        <v>3</v>
      </c>
      <c r="J501" t="s">
        <v>46</v>
      </c>
      <c r="K501">
        <v>3</v>
      </c>
      <c r="L501">
        <v>2</v>
      </c>
      <c r="M501" t="s">
        <v>40</v>
      </c>
      <c r="N501">
        <v>3</v>
      </c>
      <c r="O501" t="s">
        <v>52</v>
      </c>
      <c r="P501" s="1">
        <v>7104</v>
      </c>
      <c r="Q501" t="s">
        <v>67</v>
      </c>
      <c r="R501" t="s">
        <v>43</v>
      </c>
      <c r="S501">
        <v>3</v>
      </c>
      <c r="T501">
        <v>6</v>
      </c>
      <c r="U501">
        <v>3</v>
      </c>
      <c r="V501">
        <v>5</v>
      </c>
      <c r="W501">
        <v>0</v>
      </c>
      <c r="X501">
        <v>1</v>
      </c>
      <c r="Y501">
        <v>2</v>
      </c>
      <c r="Z501" t="s">
        <v>1551</v>
      </c>
      <c r="AA501" t="s">
        <v>69</v>
      </c>
      <c r="AB501" t="str" cm="1">
        <f t="array" ref="AB501">_xlfn.IFS(cleaned_data[[#This Row],[YearsAtCompany]]&lt;=5, "0-5",cleaned_data[[#This Row],[YearsAtCompany]]&lt;=10,"6-10",TRUE,"10+")</f>
        <v>0-5</v>
      </c>
    </row>
    <row r="502" spans="1:28" x14ac:dyDescent="0.3">
      <c r="A502" s="2">
        <v>32</v>
      </c>
      <c r="B502" t="s">
        <v>43</v>
      </c>
      <c r="C502">
        <v>0</v>
      </c>
      <c r="D502" t="s">
        <v>36</v>
      </c>
      <c r="E502" t="s">
        <v>45</v>
      </c>
      <c r="F502">
        <v>9</v>
      </c>
      <c r="G502" t="s">
        <v>38</v>
      </c>
      <c r="H502" t="s">
        <v>572</v>
      </c>
      <c r="I502">
        <v>1</v>
      </c>
      <c r="J502" t="s">
        <v>39</v>
      </c>
      <c r="K502">
        <v>3</v>
      </c>
      <c r="L502">
        <v>2</v>
      </c>
      <c r="M502" t="s">
        <v>47</v>
      </c>
      <c r="N502">
        <v>4</v>
      </c>
      <c r="O502" t="s">
        <v>48</v>
      </c>
      <c r="P502" s="1">
        <v>6322</v>
      </c>
      <c r="Q502" t="s">
        <v>67</v>
      </c>
      <c r="R502" t="s">
        <v>35</v>
      </c>
      <c r="S502">
        <v>3</v>
      </c>
      <c r="T502">
        <v>6</v>
      </c>
      <c r="U502">
        <v>2</v>
      </c>
      <c r="V502">
        <v>6</v>
      </c>
      <c r="W502">
        <v>4</v>
      </c>
      <c r="X502">
        <v>0</v>
      </c>
      <c r="Y502">
        <v>5</v>
      </c>
      <c r="Z502" t="s">
        <v>1551</v>
      </c>
      <c r="AA502" t="s">
        <v>69</v>
      </c>
      <c r="AB502" t="str" cm="1">
        <f t="array" ref="AB502">_xlfn.IFS(cleaned_data[[#This Row],[YearsAtCompany]]&lt;=5, "0-5",cleaned_data[[#This Row],[YearsAtCompany]]&lt;=10,"6-10",TRUE,"10+")</f>
        <v>6-10</v>
      </c>
    </row>
    <row r="503" spans="1:28" x14ac:dyDescent="0.3">
      <c r="A503" s="2">
        <v>30</v>
      </c>
      <c r="B503" t="s">
        <v>43</v>
      </c>
      <c r="C503">
        <v>0</v>
      </c>
      <c r="D503" t="s">
        <v>44</v>
      </c>
      <c r="E503" t="s">
        <v>45</v>
      </c>
      <c r="F503">
        <v>3</v>
      </c>
      <c r="G503" t="s">
        <v>51</v>
      </c>
      <c r="H503" t="s">
        <v>573</v>
      </c>
      <c r="I503">
        <v>3</v>
      </c>
      <c r="J503" t="s">
        <v>39</v>
      </c>
      <c r="K503">
        <v>3</v>
      </c>
      <c r="L503">
        <v>1</v>
      </c>
      <c r="M503" t="s">
        <v>47</v>
      </c>
      <c r="N503">
        <v>3</v>
      </c>
      <c r="O503" t="s">
        <v>52</v>
      </c>
      <c r="P503" s="1">
        <v>2083</v>
      </c>
      <c r="Q503" t="s">
        <v>72</v>
      </c>
      <c r="R503" t="s">
        <v>43</v>
      </c>
      <c r="S503">
        <v>4</v>
      </c>
      <c r="T503">
        <v>1</v>
      </c>
      <c r="U503">
        <v>3</v>
      </c>
      <c r="V503">
        <v>1</v>
      </c>
      <c r="W503">
        <v>0</v>
      </c>
      <c r="X503">
        <v>0</v>
      </c>
      <c r="Y503">
        <v>0</v>
      </c>
      <c r="Z503" t="s">
        <v>1551</v>
      </c>
      <c r="AA503" t="s">
        <v>78</v>
      </c>
      <c r="AB503" t="str" cm="1">
        <f t="array" ref="AB503">_xlfn.IFS(cleaned_data[[#This Row],[YearsAtCompany]]&lt;=5, "0-5",cleaned_data[[#This Row],[YearsAtCompany]]&lt;=10,"6-10",TRUE,"10+")</f>
        <v>0-5</v>
      </c>
    </row>
    <row r="504" spans="1:28" x14ac:dyDescent="0.3">
      <c r="A504" s="2">
        <v>53</v>
      </c>
      <c r="B504" t="s">
        <v>43</v>
      </c>
      <c r="C504">
        <v>0</v>
      </c>
      <c r="D504" t="s">
        <v>36</v>
      </c>
      <c r="E504" t="s">
        <v>37</v>
      </c>
      <c r="F504">
        <v>1</v>
      </c>
      <c r="G504" t="s">
        <v>51</v>
      </c>
      <c r="H504" t="s">
        <v>574</v>
      </c>
      <c r="I504">
        <v>4</v>
      </c>
      <c r="J504" t="s">
        <v>39</v>
      </c>
      <c r="K504">
        <v>3</v>
      </c>
      <c r="L504">
        <v>2</v>
      </c>
      <c r="M504" t="s">
        <v>40</v>
      </c>
      <c r="N504">
        <v>1</v>
      </c>
      <c r="O504" t="s">
        <v>41</v>
      </c>
      <c r="P504" s="6">
        <v>8381</v>
      </c>
      <c r="Q504" t="s">
        <v>67</v>
      </c>
      <c r="R504" t="s">
        <v>43</v>
      </c>
      <c r="S504">
        <v>4</v>
      </c>
      <c r="T504">
        <v>18</v>
      </c>
      <c r="U504">
        <v>4</v>
      </c>
      <c r="V504">
        <v>14</v>
      </c>
      <c r="W504">
        <v>7</v>
      </c>
      <c r="X504">
        <v>8</v>
      </c>
      <c r="Y504">
        <v>10</v>
      </c>
      <c r="Z504" t="s">
        <v>106</v>
      </c>
      <c r="AA504" t="s">
        <v>82</v>
      </c>
      <c r="AB504" t="str" cm="1">
        <f t="array" ref="AB504">_xlfn.IFS(cleaned_data[[#This Row],[YearsAtCompany]]&lt;=5, "0-5",cleaned_data[[#This Row],[YearsAtCompany]]&lt;=10,"6-10",TRUE,"10+")</f>
        <v>10+</v>
      </c>
    </row>
    <row r="505" spans="1:28" x14ac:dyDescent="0.3">
      <c r="A505" s="2">
        <v>34</v>
      </c>
      <c r="B505" t="s">
        <v>43</v>
      </c>
      <c r="C505">
        <v>0</v>
      </c>
      <c r="D505" t="s">
        <v>36</v>
      </c>
      <c r="E505" t="s">
        <v>45</v>
      </c>
      <c r="F505">
        <v>1</v>
      </c>
      <c r="G505" t="s">
        <v>38</v>
      </c>
      <c r="H505" t="s">
        <v>575</v>
      </c>
      <c r="I505">
        <v>2</v>
      </c>
      <c r="J505" t="s">
        <v>46</v>
      </c>
      <c r="K505">
        <v>3</v>
      </c>
      <c r="L505">
        <v>1</v>
      </c>
      <c r="M505" t="s">
        <v>47</v>
      </c>
      <c r="N505">
        <v>4</v>
      </c>
      <c r="O505" t="s">
        <v>48</v>
      </c>
      <c r="P505" s="1">
        <v>2691</v>
      </c>
      <c r="Q505" t="s">
        <v>72</v>
      </c>
      <c r="R505" t="s">
        <v>43</v>
      </c>
      <c r="S505">
        <v>3</v>
      </c>
      <c r="T505">
        <v>10</v>
      </c>
      <c r="U505">
        <v>2</v>
      </c>
      <c r="V505">
        <v>10</v>
      </c>
      <c r="W505">
        <v>9</v>
      </c>
      <c r="X505">
        <v>8</v>
      </c>
      <c r="Y505">
        <v>8</v>
      </c>
      <c r="Z505" t="s">
        <v>1551</v>
      </c>
      <c r="AA505" t="s">
        <v>69</v>
      </c>
      <c r="AB505" t="str" cm="1">
        <f t="array" ref="AB505">_xlfn.IFS(cleaned_data[[#This Row],[YearsAtCompany]]&lt;=5, "0-5",cleaned_data[[#This Row],[YearsAtCompany]]&lt;=10,"6-10",TRUE,"10+")</f>
        <v>6-10</v>
      </c>
    </row>
    <row r="506" spans="1:28" x14ac:dyDescent="0.3">
      <c r="A506" s="2">
        <v>45</v>
      </c>
      <c r="B506" t="s">
        <v>35</v>
      </c>
      <c r="C506">
        <v>1</v>
      </c>
      <c r="D506" t="s">
        <v>44</v>
      </c>
      <c r="E506" t="s">
        <v>37</v>
      </c>
      <c r="F506">
        <v>26</v>
      </c>
      <c r="G506" t="s">
        <v>38</v>
      </c>
      <c r="H506" t="s">
        <v>576</v>
      </c>
      <c r="I506">
        <v>1</v>
      </c>
      <c r="J506" t="s">
        <v>39</v>
      </c>
      <c r="K506">
        <v>3</v>
      </c>
      <c r="L506">
        <v>2</v>
      </c>
      <c r="M506" t="s">
        <v>40</v>
      </c>
      <c r="N506">
        <v>1</v>
      </c>
      <c r="O506" t="s">
        <v>48</v>
      </c>
      <c r="P506" s="6">
        <v>4286</v>
      </c>
      <c r="Q506" t="s">
        <v>72</v>
      </c>
      <c r="R506" t="s">
        <v>43</v>
      </c>
      <c r="S506">
        <v>3</v>
      </c>
      <c r="T506">
        <v>5</v>
      </c>
      <c r="U506">
        <v>3</v>
      </c>
      <c r="V506">
        <v>1</v>
      </c>
      <c r="W506">
        <v>1</v>
      </c>
      <c r="X506">
        <v>0</v>
      </c>
      <c r="Y506">
        <v>0</v>
      </c>
      <c r="Z506" t="s">
        <v>1550</v>
      </c>
      <c r="AA506" t="s">
        <v>78</v>
      </c>
      <c r="AB506" t="str" cm="1">
        <f t="array" ref="AB506">_xlfn.IFS(cleaned_data[[#This Row],[YearsAtCompany]]&lt;=5, "0-5",cleaned_data[[#This Row],[YearsAtCompany]]&lt;=10,"6-10",TRUE,"10+")</f>
        <v>0-5</v>
      </c>
    </row>
    <row r="507" spans="1:28" x14ac:dyDescent="0.3">
      <c r="A507" s="2">
        <v>26</v>
      </c>
      <c r="B507" t="s">
        <v>43</v>
      </c>
      <c r="C507">
        <v>0</v>
      </c>
      <c r="D507" t="s">
        <v>36</v>
      </c>
      <c r="E507" t="s">
        <v>45</v>
      </c>
      <c r="F507">
        <v>6</v>
      </c>
      <c r="G507" t="s">
        <v>38</v>
      </c>
      <c r="H507" t="s">
        <v>577</v>
      </c>
      <c r="I507">
        <v>3</v>
      </c>
      <c r="J507" t="s">
        <v>39</v>
      </c>
      <c r="K507">
        <v>3</v>
      </c>
      <c r="L507">
        <v>1</v>
      </c>
      <c r="M507" t="s">
        <v>50</v>
      </c>
      <c r="N507">
        <v>4</v>
      </c>
      <c r="O507" t="s">
        <v>48</v>
      </c>
      <c r="P507" s="1">
        <v>2659</v>
      </c>
      <c r="Q507" t="s">
        <v>72</v>
      </c>
      <c r="R507" t="s">
        <v>35</v>
      </c>
      <c r="S507">
        <v>3</v>
      </c>
      <c r="T507">
        <v>3</v>
      </c>
      <c r="U507">
        <v>3</v>
      </c>
      <c r="V507">
        <v>3</v>
      </c>
      <c r="W507">
        <v>2</v>
      </c>
      <c r="X507">
        <v>0</v>
      </c>
      <c r="Y507">
        <v>2</v>
      </c>
      <c r="Z507" t="s">
        <v>1551</v>
      </c>
      <c r="AA507" t="s">
        <v>78</v>
      </c>
      <c r="AB507" t="str" cm="1">
        <f t="array" ref="AB507">_xlfn.IFS(cleaned_data[[#This Row],[YearsAtCompany]]&lt;=5, "0-5",cleaned_data[[#This Row],[YearsAtCompany]]&lt;=10,"6-10",TRUE,"10+")</f>
        <v>0-5</v>
      </c>
    </row>
    <row r="508" spans="1:28" x14ac:dyDescent="0.3">
      <c r="A508" s="2">
        <v>37</v>
      </c>
      <c r="B508" t="s">
        <v>43</v>
      </c>
      <c r="C508">
        <v>0</v>
      </c>
      <c r="D508" t="s">
        <v>36</v>
      </c>
      <c r="E508" t="s">
        <v>45</v>
      </c>
      <c r="F508">
        <v>3</v>
      </c>
      <c r="G508" t="s">
        <v>49</v>
      </c>
      <c r="H508" t="s">
        <v>578</v>
      </c>
      <c r="I508">
        <v>3</v>
      </c>
      <c r="J508" t="s">
        <v>46</v>
      </c>
      <c r="K508">
        <v>3</v>
      </c>
      <c r="L508">
        <v>3</v>
      </c>
      <c r="M508" t="s">
        <v>53</v>
      </c>
      <c r="N508">
        <v>3</v>
      </c>
      <c r="O508" t="s">
        <v>48</v>
      </c>
      <c r="P508" s="1">
        <v>9434</v>
      </c>
      <c r="Q508" t="s">
        <v>67</v>
      </c>
      <c r="R508" t="s">
        <v>43</v>
      </c>
      <c r="S508">
        <v>3</v>
      </c>
      <c r="T508">
        <v>10</v>
      </c>
      <c r="U508">
        <v>3</v>
      </c>
      <c r="V508">
        <v>10</v>
      </c>
      <c r="W508">
        <v>7</v>
      </c>
      <c r="X508">
        <v>7</v>
      </c>
      <c r="Y508">
        <v>8</v>
      </c>
      <c r="Z508" t="s">
        <v>1550</v>
      </c>
      <c r="AA508" t="s">
        <v>69</v>
      </c>
      <c r="AB508" t="str" cm="1">
        <f t="array" ref="AB508">_xlfn.IFS(cleaned_data[[#This Row],[YearsAtCompany]]&lt;=5, "0-5",cleaned_data[[#This Row],[YearsAtCompany]]&lt;=10,"6-10",TRUE,"10+")</f>
        <v>6-10</v>
      </c>
    </row>
    <row r="509" spans="1:28" x14ac:dyDescent="0.3">
      <c r="A509" s="2">
        <v>29</v>
      </c>
      <c r="B509" t="s">
        <v>43</v>
      </c>
      <c r="C509">
        <v>0</v>
      </c>
      <c r="D509" t="s">
        <v>36</v>
      </c>
      <c r="E509" t="s">
        <v>37</v>
      </c>
      <c r="F509">
        <v>3</v>
      </c>
      <c r="G509" t="s">
        <v>51</v>
      </c>
      <c r="H509" t="s">
        <v>579</v>
      </c>
      <c r="I509">
        <v>2</v>
      </c>
      <c r="J509" t="s">
        <v>39</v>
      </c>
      <c r="K509">
        <v>3</v>
      </c>
      <c r="L509">
        <v>2</v>
      </c>
      <c r="M509" t="s">
        <v>40</v>
      </c>
      <c r="N509">
        <v>3</v>
      </c>
      <c r="O509" t="s">
        <v>48</v>
      </c>
      <c r="P509" s="1">
        <v>5561</v>
      </c>
      <c r="Q509" t="s">
        <v>67</v>
      </c>
      <c r="R509" t="s">
        <v>43</v>
      </c>
      <c r="S509">
        <v>3</v>
      </c>
      <c r="T509">
        <v>6</v>
      </c>
      <c r="U509">
        <v>2</v>
      </c>
      <c r="V509">
        <v>6</v>
      </c>
      <c r="W509">
        <v>0</v>
      </c>
      <c r="X509">
        <v>1</v>
      </c>
      <c r="Y509">
        <v>2</v>
      </c>
      <c r="Z509" t="s">
        <v>1551</v>
      </c>
      <c r="AA509" t="s">
        <v>69</v>
      </c>
      <c r="AB509" t="str" cm="1">
        <f t="array" ref="AB509">_xlfn.IFS(cleaned_data[[#This Row],[YearsAtCompany]]&lt;=5, "0-5",cleaned_data[[#This Row],[YearsAtCompany]]&lt;=10,"6-10",TRUE,"10+")</f>
        <v>6-10</v>
      </c>
    </row>
    <row r="510" spans="1:28" x14ac:dyDescent="0.3">
      <c r="A510" s="2">
        <v>35</v>
      </c>
      <c r="B510" t="s">
        <v>43</v>
      </c>
      <c r="C510">
        <v>0</v>
      </c>
      <c r="D510" t="s">
        <v>36</v>
      </c>
      <c r="E510" t="s">
        <v>45</v>
      </c>
      <c r="F510">
        <v>6</v>
      </c>
      <c r="G510" t="s">
        <v>38</v>
      </c>
      <c r="H510" t="s">
        <v>580</v>
      </c>
      <c r="I510">
        <v>2</v>
      </c>
      <c r="J510" t="s">
        <v>46</v>
      </c>
      <c r="K510">
        <v>1</v>
      </c>
      <c r="L510">
        <v>2</v>
      </c>
      <c r="M510" t="s">
        <v>47</v>
      </c>
      <c r="N510">
        <v>4</v>
      </c>
      <c r="O510" t="s">
        <v>41</v>
      </c>
      <c r="P510" s="1">
        <v>6646</v>
      </c>
      <c r="Q510" t="s">
        <v>67</v>
      </c>
      <c r="R510" t="s">
        <v>43</v>
      </c>
      <c r="S510">
        <v>3</v>
      </c>
      <c r="T510">
        <v>17</v>
      </c>
      <c r="U510">
        <v>3</v>
      </c>
      <c r="V510">
        <v>17</v>
      </c>
      <c r="W510">
        <v>11</v>
      </c>
      <c r="X510">
        <v>11</v>
      </c>
      <c r="Y510">
        <v>8</v>
      </c>
      <c r="Z510" t="s">
        <v>1551</v>
      </c>
      <c r="AA510" t="s">
        <v>82</v>
      </c>
      <c r="AB510" t="str" cm="1">
        <f t="array" ref="AB510">_xlfn.IFS(cleaned_data[[#This Row],[YearsAtCompany]]&lt;=5, "0-5",cleaned_data[[#This Row],[YearsAtCompany]]&lt;=10,"6-10",TRUE,"10+")</f>
        <v>10+</v>
      </c>
    </row>
    <row r="511" spans="1:28" x14ac:dyDescent="0.3">
      <c r="A511" s="2">
        <v>33</v>
      </c>
      <c r="B511" t="s">
        <v>43</v>
      </c>
      <c r="C511">
        <v>0</v>
      </c>
      <c r="D511" t="s">
        <v>44</v>
      </c>
      <c r="E511" t="s">
        <v>45</v>
      </c>
      <c r="F511">
        <v>6</v>
      </c>
      <c r="G511" t="s">
        <v>38</v>
      </c>
      <c r="H511" t="s">
        <v>581</v>
      </c>
      <c r="I511">
        <v>3</v>
      </c>
      <c r="J511" t="s">
        <v>46</v>
      </c>
      <c r="K511">
        <v>3</v>
      </c>
      <c r="L511">
        <v>2</v>
      </c>
      <c r="M511" t="s">
        <v>54</v>
      </c>
      <c r="N511">
        <v>4</v>
      </c>
      <c r="O511" t="s">
        <v>52</v>
      </c>
      <c r="P511" s="1">
        <v>7725</v>
      </c>
      <c r="Q511" t="s">
        <v>67</v>
      </c>
      <c r="R511" t="s">
        <v>43</v>
      </c>
      <c r="S511">
        <v>4</v>
      </c>
      <c r="T511">
        <v>15</v>
      </c>
      <c r="U511">
        <v>1</v>
      </c>
      <c r="V511">
        <v>13</v>
      </c>
      <c r="W511">
        <v>11</v>
      </c>
      <c r="X511">
        <v>4</v>
      </c>
      <c r="Y511">
        <v>7</v>
      </c>
      <c r="Z511" t="s">
        <v>1551</v>
      </c>
      <c r="AA511" t="s">
        <v>69</v>
      </c>
      <c r="AB511" t="str" cm="1">
        <f t="array" ref="AB511">_xlfn.IFS(cleaned_data[[#This Row],[YearsAtCompany]]&lt;=5, "0-5",cleaned_data[[#This Row],[YearsAtCompany]]&lt;=10,"6-10",TRUE,"10+")</f>
        <v>10+</v>
      </c>
    </row>
    <row r="512" spans="1:28" x14ac:dyDescent="0.3">
      <c r="A512" s="2">
        <v>54</v>
      </c>
      <c r="B512" t="s">
        <v>43</v>
      </c>
      <c r="C512">
        <v>0</v>
      </c>
      <c r="D512" t="s">
        <v>36</v>
      </c>
      <c r="E512" t="s">
        <v>61</v>
      </c>
      <c r="F512">
        <v>19</v>
      </c>
      <c r="G512" t="s">
        <v>51</v>
      </c>
      <c r="H512" t="s">
        <v>582</v>
      </c>
      <c r="I512">
        <v>3</v>
      </c>
      <c r="J512" t="s">
        <v>46</v>
      </c>
      <c r="K512">
        <v>3</v>
      </c>
      <c r="L512">
        <v>3</v>
      </c>
      <c r="M512" t="s">
        <v>61</v>
      </c>
      <c r="N512">
        <v>2</v>
      </c>
      <c r="O512" t="s">
        <v>48</v>
      </c>
      <c r="P512" s="1">
        <v>10725</v>
      </c>
      <c r="Q512" t="s">
        <v>67</v>
      </c>
      <c r="R512" t="s">
        <v>43</v>
      </c>
      <c r="S512">
        <v>3</v>
      </c>
      <c r="T512">
        <v>16</v>
      </c>
      <c r="U512">
        <v>4</v>
      </c>
      <c r="V512">
        <v>9</v>
      </c>
      <c r="W512">
        <v>7</v>
      </c>
      <c r="X512">
        <v>7</v>
      </c>
      <c r="Y512">
        <v>1</v>
      </c>
      <c r="Z512" t="s">
        <v>106</v>
      </c>
      <c r="AA512" t="s">
        <v>82</v>
      </c>
      <c r="AB512" t="str" cm="1">
        <f t="array" ref="AB512">_xlfn.IFS(cleaned_data[[#This Row],[YearsAtCompany]]&lt;=5, "0-5",cleaned_data[[#This Row],[YearsAtCompany]]&lt;=10,"6-10",TRUE,"10+")</f>
        <v>6-10</v>
      </c>
    </row>
    <row r="513" spans="1:28" x14ac:dyDescent="0.3">
      <c r="A513" s="2">
        <v>36</v>
      </c>
      <c r="B513" t="s">
        <v>43</v>
      </c>
      <c r="C513">
        <v>0</v>
      </c>
      <c r="D513" t="s">
        <v>36</v>
      </c>
      <c r="E513" t="s">
        <v>45</v>
      </c>
      <c r="F513">
        <v>9</v>
      </c>
      <c r="G513" t="s">
        <v>51</v>
      </c>
      <c r="H513" t="s">
        <v>583</v>
      </c>
      <c r="I513">
        <v>2</v>
      </c>
      <c r="J513" t="s">
        <v>46</v>
      </c>
      <c r="K513">
        <v>2</v>
      </c>
      <c r="L513">
        <v>2</v>
      </c>
      <c r="M513" t="s">
        <v>53</v>
      </c>
      <c r="N513">
        <v>2</v>
      </c>
      <c r="O513" t="s">
        <v>52</v>
      </c>
      <c r="P513" s="1">
        <v>8847</v>
      </c>
      <c r="Q513" t="s">
        <v>67</v>
      </c>
      <c r="R513" t="s">
        <v>35</v>
      </c>
      <c r="S513">
        <v>3</v>
      </c>
      <c r="T513">
        <v>13</v>
      </c>
      <c r="U513">
        <v>3</v>
      </c>
      <c r="V513">
        <v>3</v>
      </c>
      <c r="W513">
        <v>2</v>
      </c>
      <c r="X513">
        <v>0</v>
      </c>
      <c r="Y513">
        <v>2</v>
      </c>
      <c r="Z513" t="s">
        <v>1550</v>
      </c>
      <c r="AA513" t="s">
        <v>69</v>
      </c>
      <c r="AB513" t="str" cm="1">
        <f t="array" ref="AB513">_xlfn.IFS(cleaned_data[[#This Row],[YearsAtCompany]]&lt;=5, "0-5",cleaned_data[[#This Row],[YearsAtCompany]]&lt;=10,"6-10",TRUE,"10+")</f>
        <v>0-5</v>
      </c>
    </row>
    <row r="514" spans="1:28" x14ac:dyDescent="0.3">
      <c r="A514" s="2">
        <v>27</v>
      </c>
      <c r="B514" t="s">
        <v>43</v>
      </c>
      <c r="C514">
        <v>0</v>
      </c>
      <c r="D514" t="s">
        <v>36</v>
      </c>
      <c r="E514" t="s">
        <v>45</v>
      </c>
      <c r="F514">
        <v>3</v>
      </c>
      <c r="G514" t="s">
        <v>51</v>
      </c>
      <c r="H514" t="s">
        <v>584</v>
      </c>
      <c r="I514">
        <v>1</v>
      </c>
      <c r="J514" t="s">
        <v>46</v>
      </c>
      <c r="K514">
        <v>2</v>
      </c>
      <c r="L514">
        <v>1</v>
      </c>
      <c r="M514" t="s">
        <v>47</v>
      </c>
      <c r="N514">
        <v>4</v>
      </c>
      <c r="O514" t="s">
        <v>41</v>
      </c>
      <c r="P514" s="1">
        <v>2045</v>
      </c>
      <c r="Q514" t="s">
        <v>72</v>
      </c>
      <c r="R514" t="s">
        <v>43</v>
      </c>
      <c r="S514">
        <v>3</v>
      </c>
      <c r="T514">
        <v>5</v>
      </c>
      <c r="U514">
        <v>3</v>
      </c>
      <c r="V514">
        <v>4</v>
      </c>
      <c r="W514">
        <v>2</v>
      </c>
      <c r="X514">
        <v>1</v>
      </c>
      <c r="Y514">
        <v>1</v>
      </c>
      <c r="Z514" t="s">
        <v>1551</v>
      </c>
      <c r="AA514" t="s">
        <v>78</v>
      </c>
      <c r="AB514" t="str" cm="1">
        <f t="array" ref="AB514">_xlfn.IFS(cleaned_data[[#This Row],[YearsAtCompany]]&lt;=5, "0-5",cleaned_data[[#This Row],[YearsAtCompany]]&lt;=10,"6-10",TRUE,"10+")</f>
        <v>0-5</v>
      </c>
    </row>
    <row r="515" spans="1:28" x14ac:dyDescent="0.3">
      <c r="A515" s="2">
        <v>20</v>
      </c>
      <c r="B515" t="s">
        <v>35</v>
      </c>
      <c r="C515">
        <v>1</v>
      </c>
      <c r="D515" t="s">
        <v>36</v>
      </c>
      <c r="E515" t="s">
        <v>45</v>
      </c>
      <c r="F515">
        <v>10</v>
      </c>
      <c r="G515" t="s">
        <v>51</v>
      </c>
      <c r="H515" t="s">
        <v>585</v>
      </c>
      <c r="I515">
        <v>4</v>
      </c>
      <c r="J515" t="s">
        <v>46</v>
      </c>
      <c r="K515">
        <v>3</v>
      </c>
      <c r="L515">
        <v>1</v>
      </c>
      <c r="M515" t="s">
        <v>47</v>
      </c>
      <c r="N515">
        <v>3</v>
      </c>
      <c r="O515" t="s">
        <v>41</v>
      </c>
      <c r="P515" s="1">
        <v>1009</v>
      </c>
      <c r="Q515" t="s">
        <v>72</v>
      </c>
      <c r="R515" t="s">
        <v>35</v>
      </c>
      <c r="S515">
        <v>3</v>
      </c>
      <c r="T515">
        <v>1</v>
      </c>
      <c r="U515">
        <v>3</v>
      </c>
      <c r="V515">
        <v>1</v>
      </c>
      <c r="W515">
        <v>0</v>
      </c>
      <c r="X515">
        <v>1</v>
      </c>
      <c r="Y515">
        <v>1</v>
      </c>
      <c r="Z515" t="s">
        <v>68</v>
      </c>
      <c r="AA515" t="s">
        <v>78</v>
      </c>
      <c r="AB515" t="str" cm="1">
        <f t="array" ref="AB515">_xlfn.IFS(cleaned_data[[#This Row],[YearsAtCompany]]&lt;=5, "0-5",cleaned_data[[#This Row],[YearsAtCompany]]&lt;=10,"6-10",TRUE,"10+")</f>
        <v>0-5</v>
      </c>
    </row>
    <row r="516" spans="1:28" x14ac:dyDescent="0.3">
      <c r="A516" s="2">
        <v>33</v>
      </c>
      <c r="B516" t="s">
        <v>35</v>
      </c>
      <c r="C516">
        <v>1</v>
      </c>
      <c r="D516" t="s">
        <v>44</v>
      </c>
      <c r="E516" t="s">
        <v>45</v>
      </c>
      <c r="F516">
        <v>3</v>
      </c>
      <c r="G516" t="s">
        <v>38</v>
      </c>
      <c r="H516" t="s">
        <v>586</v>
      </c>
      <c r="I516">
        <v>1</v>
      </c>
      <c r="J516" t="s">
        <v>46</v>
      </c>
      <c r="K516">
        <v>3</v>
      </c>
      <c r="L516">
        <v>1</v>
      </c>
      <c r="M516" t="s">
        <v>47</v>
      </c>
      <c r="N516">
        <v>1</v>
      </c>
      <c r="O516" t="s">
        <v>41</v>
      </c>
      <c r="P516" s="6">
        <v>3348</v>
      </c>
      <c r="Q516" t="s">
        <v>72</v>
      </c>
      <c r="R516" t="s">
        <v>35</v>
      </c>
      <c r="S516">
        <v>3</v>
      </c>
      <c r="T516">
        <v>10</v>
      </c>
      <c r="U516">
        <v>3</v>
      </c>
      <c r="V516">
        <v>10</v>
      </c>
      <c r="W516">
        <v>8</v>
      </c>
      <c r="X516">
        <v>9</v>
      </c>
      <c r="Y516">
        <v>7</v>
      </c>
      <c r="Z516" t="s">
        <v>1551</v>
      </c>
      <c r="AA516" t="s">
        <v>69</v>
      </c>
      <c r="AB516" t="str" cm="1">
        <f t="array" ref="AB516">_xlfn.IFS(cleaned_data[[#This Row],[YearsAtCompany]]&lt;=5, "0-5",cleaned_data[[#This Row],[YearsAtCompany]]&lt;=10,"6-10",TRUE,"10+")</f>
        <v>6-10</v>
      </c>
    </row>
    <row r="517" spans="1:28" x14ac:dyDescent="0.3">
      <c r="A517" s="2">
        <v>35</v>
      </c>
      <c r="B517" t="s">
        <v>43</v>
      </c>
      <c r="C517">
        <v>0</v>
      </c>
      <c r="D517" t="s">
        <v>55</v>
      </c>
      <c r="E517" t="s">
        <v>45</v>
      </c>
      <c r="F517">
        <v>3</v>
      </c>
      <c r="G517" t="s">
        <v>38</v>
      </c>
      <c r="H517" t="s">
        <v>587</v>
      </c>
      <c r="I517">
        <v>3</v>
      </c>
      <c r="J517" t="s">
        <v>46</v>
      </c>
      <c r="K517">
        <v>2</v>
      </c>
      <c r="L517">
        <v>1</v>
      </c>
      <c r="M517" t="s">
        <v>50</v>
      </c>
      <c r="N517">
        <v>3</v>
      </c>
      <c r="O517" t="s">
        <v>48</v>
      </c>
      <c r="P517" s="1">
        <v>1281</v>
      </c>
      <c r="Q517" t="s">
        <v>72</v>
      </c>
      <c r="R517" t="s">
        <v>43</v>
      </c>
      <c r="S517">
        <v>3</v>
      </c>
      <c r="T517">
        <v>1</v>
      </c>
      <c r="U517">
        <v>3</v>
      </c>
      <c r="V517">
        <v>1</v>
      </c>
      <c r="W517">
        <v>0</v>
      </c>
      <c r="X517">
        <v>0</v>
      </c>
      <c r="Y517">
        <v>0</v>
      </c>
      <c r="Z517" t="s">
        <v>1551</v>
      </c>
      <c r="AA517" t="s">
        <v>78</v>
      </c>
      <c r="AB517" t="str" cm="1">
        <f t="array" ref="AB517">_xlfn.IFS(cleaned_data[[#This Row],[YearsAtCompany]]&lt;=5, "0-5",cleaned_data[[#This Row],[YearsAtCompany]]&lt;=10,"6-10",TRUE,"10+")</f>
        <v>0-5</v>
      </c>
    </row>
    <row r="518" spans="1:28" x14ac:dyDescent="0.3">
      <c r="A518" s="2">
        <v>23</v>
      </c>
      <c r="B518" t="s">
        <v>43</v>
      </c>
      <c r="C518">
        <v>0</v>
      </c>
      <c r="D518" t="s">
        <v>36</v>
      </c>
      <c r="E518" t="s">
        <v>45</v>
      </c>
      <c r="F518">
        <v>4</v>
      </c>
      <c r="G518" t="s">
        <v>51</v>
      </c>
      <c r="H518" t="s">
        <v>588</v>
      </c>
      <c r="I518">
        <v>1</v>
      </c>
      <c r="J518" t="s">
        <v>46</v>
      </c>
      <c r="K518">
        <v>4</v>
      </c>
      <c r="L518">
        <v>1</v>
      </c>
      <c r="M518" t="s">
        <v>47</v>
      </c>
      <c r="N518">
        <v>1</v>
      </c>
      <c r="O518" t="s">
        <v>48</v>
      </c>
      <c r="P518" s="6">
        <v>2819</v>
      </c>
      <c r="Q518" t="s">
        <v>72</v>
      </c>
      <c r="R518" t="s">
        <v>43</v>
      </c>
      <c r="S518">
        <v>3</v>
      </c>
      <c r="T518">
        <v>5</v>
      </c>
      <c r="U518">
        <v>4</v>
      </c>
      <c r="V518">
        <v>3</v>
      </c>
      <c r="W518">
        <v>2</v>
      </c>
      <c r="X518">
        <v>0</v>
      </c>
      <c r="Y518">
        <v>2</v>
      </c>
      <c r="Z518" t="s">
        <v>68</v>
      </c>
      <c r="AA518" t="s">
        <v>78</v>
      </c>
      <c r="AB518" t="str" cm="1">
        <f t="array" ref="AB518">_xlfn.IFS(cleaned_data[[#This Row],[YearsAtCompany]]&lt;=5, "0-5",cleaned_data[[#This Row],[YearsAtCompany]]&lt;=10,"6-10",TRUE,"10+")</f>
        <v>0-5</v>
      </c>
    </row>
    <row r="519" spans="1:28" x14ac:dyDescent="0.3">
      <c r="A519" s="2">
        <v>25</v>
      </c>
      <c r="B519" t="s">
        <v>43</v>
      </c>
      <c r="C519">
        <v>0</v>
      </c>
      <c r="D519" t="s">
        <v>36</v>
      </c>
      <c r="E519" t="s">
        <v>37</v>
      </c>
      <c r="F519">
        <v>8</v>
      </c>
      <c r="G519" t="s">
        <v>38</v>
      </c>
      <c r="H519" t="s">
        <v>589</v>
      </c>
      <c r="I519">
        <v>4</v>
      </c>
      <c r="J519" t="s">
        <v>46</v>
      </c>
      <c r="K519">
        <v>4</v>
      </c>
      <c r="L519">
        <v>2</v>
      </c>
      <c r="M519" t="s">
        <v>40</v>
      </c>
      <c r="N519">
        <v>2</v>
      </c>
      <c r="O519" t="s">
        <v>48</v>
      </c>
      <c r="P519" s="1">
        <v>4851</v>
      </c>
      <c r="Q519" t="s">
        <v>72</v>
      </c>
      <c r="R519" t="s">
        <v>43</v>
      </c>
      <c r="S519">
        <v>4</v>
      </c>
      <c r="T519">
        <v>4</v>
      </c>
      <c r="U519">
        <v>3</v>
      </c>
      <c r="V519">
        <v>3</v>
      </c>
      <c r="W519">
        <v>2</v>
      </c>
      <c r="X519">
        <v>1</v>
      </c>
      <c r="Y519">
        <v>2</v>
      </c>
      <c r="Z519" t="s">
        <v>68</v>
      </c>
      <c r="AA519" t="s">
        <v>78</v>
      </c>
      <c r="AB519" t="str" cm="1">
        <f t="array" ref="AB519">_xlfn.IFS(cleaned_data[[#This Row],[YearsAtCompany]]&lt;=5, "0-5",cleaned_data[[#This Row],[YearsAtCompany]]&lt;=10,"6-10",TRUE,"10+")</f>
        <v>0-5</v>
      </c>
    </row>
    <row r="520" spans="1:28" x14ac:dyDescent="0.3">
      <c r="A520" s="2">
        <v>38</v>
      </c>
      <c r="B520" t="s">
        <v>43</v>
      </c>
      <c r="C520">
        <v>0</v>
      </c>
      <c r="D520" t="s">
        <v>36</v>
      </c>
      <c r="E520" t="s">
        <v>37</v>
      </c>
      <c r="F520">
        <v>7</v>
      </c>
      <c r="G520" t="s">
        <v>59</v>
      </c>
      <c r="H520" t="s">
        <v>590</v>
      </c>
      <c r="I520">
        <v>4</v>
      </c>
      <c r="J520" t="s">
        <v>39</v>
      </c>
      <c r="K520">
        <v>2</v>
      </c>
      <c r="L520">
        <v>2</v>
      </c>
      <c r="M520" t="s">
        <v>40</v>
      </c>
      <c r="N520">
        <v>4</v>
      </c>
      <c r="O520" t="s">
        <v>41</v>
      </c>
      <c r="P520" s="1">
        <v>4028</v>
      </c>
      <c r="Q520" t="s">
        <v>72</v>
      </c>
      <c r="R520" t="s">
        <v>43</v>
      </c>
      <c r="S520">
        <v>4</v>
      </c>
      <c r="T520">
        <v>8</v>
      </c>
      <c r="U520">
        <v>3</v>
      </c>
      <c r="V520">
        <v>7</v>
      </c>
      <c r="W520">
        <v>7</v>
      </c>
      <c r="X520">
        <v>0</v>
      </c>
      <c r="Y520">
        <v>5</v>
      </c>
      <c r="Z520" t="s">
        <v>1550</v>
      </c>
      <c r="AA520" t="s">
        <v>69</v>
      </c>
      <c r="AB520" t="str" cm="1">
        <f t="array" ref="AB520">_xlfn.IFS(cleaned_data[[#This Row],[YearsAtCompany]]&lt;=5, "0-5",cleaned_data[[#This Row],[YearsAtCompany]]&lt;=10,"6-10",TRUE,"10+")</f>
        <v>6-10</v>
      </c>
    </row>
    <row r="521" spans="1:28" x14ac:dyDescent="0.3">
      <c r="A521" s="2">
        <v>29</v>
      </c>
      <c r="B521" t="s">
        <v>43</v>
      </c>
      <c r="C521">
        <v>0</v>
      </c>
      <c r="D521" t="s">
        <v>44</v>
      </c>
      <c r="E521" t="s">
        <v>45</v>
      </c>
      <c r="F521">
        <v>1</v>
      </c>
      <c r="G521" t="s">
        <v>38</v>
      </c>
      <c r="H521" t="s">
        <v>591</v>
      </c>
      <c r="I521">
        <v>2</v>
      </c>
      <c r="J521" t="s">
        <v>46</v>
      </c>
      <c r="K521">
        <v>1</v>
      </c>
      <c r="L521">
        <v>1</v>
      </c>
      <c r="M521" t="s">
        <v>47</v>
      </c>
      <c r="N521">
        <v>4</v>
      </c>
      <c r="O521" t="s">
        <v>52</v>
      </c>
      <c r="P521" s="1">
        <v>2720</v>
      </c>
      <c r="Q521" t="s">
        <v>72</v>
      </c>
      <c r="R521" t="s">
        <v>43</v>
      </c>
      <c r="S521">
        <v>3</v>
      </c>
      <c r="T521">
        <v>10</v>
      </c>
      <c r="U521">
        <v>3</v>
      </c>
      <c r="V521">
        <v>10</v>
      </c>
      <c r="W521">
        <v>7</v>
      </c>
      <c r="X521">
        <v>2</v>
      </c>
      <c r="Y521">
        <v>8</v>
      </c>
      <c r="Z521" t="s">
        <v>1551</v>
      </c>
      <c r="AA521" t="s">
        <v>69</v>
      </c>
      <c r="AB521" t="str" cm="1">
        <f t="array" ref="AB521">_xlfn.IFS(cleaned_data[[#This Row],[YearsAtCompany]]&lt;=5, "0-5",cleaned_data[[#This Row],[YearsAtCompany]]&lt;=10,"6-10",TRUE,"10+")</f>
        <v>6-10</v>
      </c>
    </row>
    <row r="522" spans="1:28" x14ac:dyDescent="0.3">
      <c r="A522" s="2">
        <v>48</v>
      </c>
      <c r="B522" t="s">
        <v>43</v>
      </c>
      <c r="C522">
        <v>0</v>
      </c>
      <c r="D522" t="s">
        <v>36</v>
      </c>
      <c r="E522" t="s">
        <v>37</v>
      </c>
      <c r="F522">
        <v>2</v>
      </c>
      <c r="G522" t="s">
        <v>59</v>
      </c>
      <c r="H522" t="s">
        <v>592</v>
      </c>
      <c r="I522">
        <v>2</v>
      </c>
      <c r="J522" t="s">
        <v>46</v>
      </c>
      <c r="K522">
        <v>4</v>
      </c>
      <c r="L522">
        <v>2</v>
      </c>
      <c r="M522" t="s">
        <v>40</v>
      </c>
      <c r="N522">
        <v>2</v>
      </c>
      <c r="O522" t="s">
        <v>48</v>
      </c>
      <c r="P522" s="1">
        <v>8120</v>
      </c>
      <c r="Q522" t="s">
        <v>67</v>
      </c>
      <c r="R522" t="s">
        <v>43</v>
      </c>
      <c r="S522">
        <v>3</v>
      </c>
      <c r="T522">
        <v>12</v>
      </c>
      <c r="U522">
        <v>3</v>
      </c>
      <c r="V522">
        <v>2</v>
      </c>
      <c r="W522">
        <v>2</v>
      </c>
      <c r="X522">
        <v>2</v>
      </c>
      <c r="Y522">
        <v>2</v>
      </c>
      <c r="Z522" t="s">
        <v>106</v>
      </c>
      <c r="AA522" t="s">
        <v>69</v>
      </c>
      <c r="AB522" t="str" cm="1">
        <f t="array" ref="AB522">_xlfn.IFS(cleaned_data[[#This Row],[YearsAtCompany]]&lt;=5, "0-5",cleaned_data[[#This Row],[YearsAtCompany]]&lt;=10,"6-10",TRUE,"10+")</f>
        <v>0-5</v>
      </c>
    </row>
    <row r="523" spans="1:28" x14ac:dyDescent="0.3">
      <c r="A523" s="2">
        <v>27</v>
      </c>
      <c r="B523" t="s">
        <v>43</v>
      </c>
      <c r="C523">
        <v>0</v>
      </c>
      <c r="D523" t="s">
        <v>44</v>
      </c>
      <c r="E523" t="s">
        <v>37</v>
      </c>
      <c r="F523">
        <v>3</v>
      </c>
      <c r="G523" t="s">
        <v>51</v>
      </c>
      <c r="H523" t="s">
        <v>593</v>
      </c>
      <c r="I523">
        <v>4</v>
      </c>
      <c r="J523" t="s">
        <v>39</v>
      </c>
      <c r="K523">
        <v>4</v>
      </c>
      <c r="L523">
        <v>2</v>
      </c>
      <c r="M523" t="s">
        <v>40</v>
      </c>
      <c r="N523">
        <v>4</v>
      </c>
      <c r="O523" t="s">
        <v>52</v>
      </c>
      <c r="P523" s="1">
        <v>4647</v>
      </c>
      <c r="Q523" t="s">
        <v>72</v>
      </c>
      <c r="R523" t="s">
        <v>35</v>
      </c>
      <c r="S523">
        <v>4</v>
      </c>
      <c r="T523">
        <v>6</v>
      </c>
      <c r="U523">
        <v>3</v>
      </c>
      <c r="V523">
        <v>6</v>
      </c>
      <c r="W523">
        <v>5</v>
      </c>
      <c r="X523">
        <v>0</v>
      </c>
      <c r="Y523">
        <v>4</v>
      </c>
      <c r="Z523" t="s">
        <v>1551</v>
      </c>
      <c r="AA523" t="s">
        <v>69</v>
      </c>
      <c r="AB523" t="str" cm="1">
        <f t="array" ref="AB523">_xlfn.IFS(cleaned_data[[#This Row],[YearsAtCompany]]&lt;=5, "0-5",cleaned_data[[#This Row],[YearsAtCompany]]&lt;=10,"6-10",TRUE,"10+")</f>
        <v>6-10</v>
      </c>
    </row>
    <row r="524" spans="1:28" x14ac:dyDescent="0.3">
      <c r="A524" s="2">
        <v>37</v>
      </c>
      <c r="B524" t="s">
        <v>43</v>
      </c>
      <c r="C524">
        <v>0</v>
      </c>
      <c r="D524" t="s">
        <v>36</v>
      </c>
      <c r="E524" t="s">
        <v>45</v>
      </c>
      <c r="F524">
        <v>10</v>
      </c>
      <c r="G524" t="s">
        <v>38</v>
      </c>
      <c r="H524" t="s">
        <v>594</v>
      </c>
      <c r="I524">
        <v>4</v>
      </c>
      <c r="J524" t="s">
        <v>46</v>
      </c>
      <c r="K524">
        <v>4</v>
      </c>
      <c r="L524">
        <v>1</v>
      </c>
      <c r="M524" t="s">
        <v>47</v>
      </c>
      <c r="N524">
        <v>4</v>
      </c>
      <c r="O524" t="s">
        <v>41</v>
      </c>
      <c r="P524" s="1">
        <v>4680</v>
      </c>
      <c r="Q524" t="s">
        <v>72</v>
      </c>
      <c r="R524" t="s">
        <v>43</v>
      </c>
      <c r="S524">
        <v>3</v>
      </c>
      <c r="T524">
        <v>4</v>
      </c>
      <c r="U524">
        <v>3</v>
      </c>
      <c r="V524">
        <v>1</v>
      </c>
      <c r="W524">
        <v>0</v>
      </c>
      <c r="X524">
        <v>0</v>
      </c>
      <c r="Y524">
        <v>0</v>
      </c>
      <c r="Z524" t="s">
        <v>1550</v>
      </c>
      <c r="AA524" t="s">
        <v>78</v>
      </c>
      <c r="AB524" t="str" cm="1">
        <f t="array" ref="AB524">_xlfn.IFS(cleaned_data[[#This Row],[YearsAtCompany]]&lt;=5, "0-5",cleaned_data[[#This Row],[YearsAtCompany]]&lt;=10,"6-10",TRUE,"10+")</f>
        <v>0-5</v>
      </c>
    </row>
    <row r="525" spans="1:28" x14ac:dyDescent="0.3">
      <c r="A525" s="2">
        <v>50</v>
      </c>
      <c r="B525" t="s">
        <v>43</v>
      </c>
      <c r="C525">
        <v>0</v>
      </c>
      <c r="D525" t="s">
        <v>36</v>
      </c>
      <c r="E525" t="s">
        <v>45</v>
      </c>
      <c r="F525">
        <v>28</v>
      </c>
      <c r="G525" t="s">
        <v>51</v>
      </c>
      <c r="H525" t="s">
        <v>595</v>
      </c>
      <c r="I525">
        <v>4</v>
      </c>
      <c r="J525" t="s">
        <v>46</v>
      </c>
      <c r="K525">
        <v>4</v>
      </c>
      <c r="L525">
        <v>1</v>
      </c>
      <c r="M525" t="s">
        <v>50</v>
      </c>
      <c r="N525">
        <v>3</v>
      </c>
      <c r="O525" t="s">
        <v>48</v>
      </c>
      <c r="P525" s="1">
        <v>3221</v>
      </c>
      <c r="Q525" t="s">
        <v>72</v>
      </c>
      <c r="R525" t="s">
        <v>35</v>
      </c>
      <c r="S525">
        <v>3</v>
      </c>
      <c r="T525">
        <v>20</v>
      </c>
      <c r="U525">
        <v>3</v>
      </c>
      <c r="V525">
        <v>20</v>
      </c>
      <c r="W525">
        <v>8</v>
      </c>
      <c r="X525">
        <v>3</v>
      </c>
      <c r="Y525">
        <v>8</v>
      </c>
      <c r="Z525" t="s">
        <v>106</v>
      </c>
      <c r="AA525" t="s">
        <v>82</v>
      </c>
      <c r="AB525" t="str" cm="1">
        <f t="array" ref="AB525">_xlfn.IFS(cleaned_data[[#This Row],[YearsAtCompany]]&lt;=5, "0-5",cleaned_data[[#This Row],[YearsAtCompany]]&lt;=10,"6-10",TRUE,"10+")</f>
        <v>10+</v>
      </c>
    </row>
    <row r="526" spans="1:28" x14ac:dyDescent="0.3">
      <c r="A526" s="2">
        <v>34</v>
      </c>
      <c r="B526" t="s">
        <v>43</v>
      </c>
      <c r="C526">
        <v>0</v>
      </c>
      <c r="D526" t="s">
        <v>36</v>
      </c>
      <c r="E526" t="s">
        <v>45</v>
      </c>
      <c r="F526">
        <v>9</v>
      </c>
      <c r="G526" t="s">
        <v>51</v>
      </c>
      <c r="H526" t="s">
        <v>596</v>
      </c>
      <c r="I526">
        <v>4</v>
      </c>
      <c r="J526" t="s">
        <v>39</v>
      </c>
      <c r="K526">
        <v>2</v>
      </c>
      <c r="L526">
        <v>3</v>
      </c>
      <c r="M526" t="s">
        <v>54</v>
      </c>
      <c r="N526">
        <v>2</v>
      </c>
      <c r="O526" t="s">
        <v>41</v>
      </c>
      <c r="P526" s="1">
        <v>8621</v>
      </c>
      <c r="Q526" t="s">
        <v>67</v>
      </c>
      <c r="R526" t="s">
        <v>43</v>
      </c>
      <c r="S526">
        <v>3</v>
      </c>
      <c r="T526">
        <v>9</v>
      </c>
      <c r="U526">
        <v>4</v>
      </c>
      <c r="V526">
        <v>8</v>
      </c>
      <c r="W526">
        <v>7</v>
      </c>
      <c r="X526">
        <v>7</v>
      </c>
      <c r="Y526">
        <v>7</v>
      </c>
      <c r="Z526" t="s">
        <v>1551</v>
      </c>
      <c r="AA526" t="s">
        <v>69</v>
      </c>
      <c r="AB526" t="str" cm="1">
        <f t="array" ref="AB526">_xlfn.IFS(cleaned_data[[#This Row],[YearsAtCompany]]&lt;=5, "0-5",cleaned_data[[#This Row],[YearsAtCompany]]&lt;=10,"6-10",TRUE,"10+")</f>
        <v>6-10</v>
      </c>
    </row>
    <row r="527" spans="1:28" x14ac:dyDescent="0.3">
      <c r="A527" s="2">
        <v>24</v>
      </c>
      <c r="B527" t="s">
        <v>35</v>
      </c>
      <c r="C527">
        <v>1</v>
      </c>
      <c r="D527" t="s">
        <v>36</v>
      </c>
      <c r="E527" t="s">
        <v>37</v>
      </c>
      <c r="F527">
        <v>3</v>
      </c>
      <c r="G527" t="s">
        <v>38</v>
      </c>
      <c r="H527" t="s">
        <v>597</v>
      </c>
      <c r="I527">
        <v>1</v>
      </c>
      <c r="J527" t="s">
        <v>39</v>
      </c>
      <c r="K527">
        <v>3</v>
      </c>
      <c r="L527">
        <v>2</v>
      </c>
      <c r="M527" t="s">
        <v>40</v>
      </c>
      <c r="N527">
        <v>3</v>
      </c>
      <c r="O527" t="s">
        <v>41</v>
      </c>
      <c r="P527" s="1">
        <v>4577</v>
      </c>
      <c r="Q527" t="s">
        <v>72</v>
      </c>
      <c r="R527" t="s">
        <v>43</v>
      </c>
      <c r="S527">
        <v>3</v>
      </c>
      <c r="T527">
        <v>4</v>
      </c>
      <c r="U527">
        <v>3</v>
      </c>
      <c r="V527">
        <v>2</v>
      </c>
      <c r="W527">
        <v>2</v>
      </c>
      <c r="X527">
        <v>2</v>
      </c>
      <c r="Y527">
        <v>0</v>
      </c>
      <c r="Z527" t="s">
        <v>68</v>
      </c>
      <c r="AA527" t="s">
        <v>78</v>
      </c>
      <c r="AB527" t="str" cm="1">
        <f t="array" ref="AB527">_xlfn.IFS(cleaned_data[[#This Row],[YearsAtCompany]]&lt;=5, "0-5",cleaned_data[[#This Row],[YearsAtCompany]]&lt;=10,"6-10",TRUE,"10+")</f>
        <v>0-5</v>
      </c>
    </row>
    <row r="528" spans="1:28" x14ac:dyDescent="0.3">
      <c r="A528" s="2">
        <v>39</v>
      </c>
      <c r="B528" t="s">
        <v>43</v>
      </c>
      <c r="C528">
        <v>0</v>
      </c>
      <c r="D528" t="s">
        <v>36</v>
      </c>
      <c r="E528" t="s">
        <v>45</v>
      </c>
      <c r="F528">
        <v>2</v>
      </c>
      <c r="G528" t="s">
        <v>60</v>
      </c>
      <c r="H528" t="s">
        <v>598</v>
      </c>
      <c r="I528">
        <v>4</v>
      </c>
      <c r="J528" t="s">
        <v>39</v>
      </c>
      <c r="K528">
        <v>2</v>
      </c>
      <c r="L528">
        <v>2</v>
      </c>
      <c r="M528" t="s">
        <v>54</v>
      </c>
      <c r="N528">
        <v>3</v>
      </c>
      <c r="O528" t="s">
        <v>41</v>
      </c>
      <c r="P528" s="1">
        <v>4553</v>
      </c>
      <c r="Q528" t="s">
        <v>72</v>
      </c>
      <c r="R528" t="s">
        <v>43</v>
      </c>
      <c r="S528">
        <v>3</v>
      </c>
      <c r="T528">
        <v>20</v>
      </c>
      <c r="U528">
        <v>3</v>
      </c>
      <c r="V528">
        <v>20</v>
      </c>
      <c r="W528">
        <v>7</v>
      </c>
      <c r="X528">
        <v>11</v>
      </c>
      <c r="Y528">
        <v>10</v>
      </c>
      <c r="Z528" t="s">
        <v>1550</v>
      </c>
      <c r="AA528" t="s">
        <v>82</v>
      </c>
      <c r="AB528" t="str" cm="1">
        <f t="array" ref="AB528">_xlfn.IFS(cleaned_data[[#This Row],[YearsAtCompany]]&lt;=5, "0-5",cleaned_data[[#This Row],[YearsAtCompany]]&lt;=10,"6-10",TRUE,"10+")</f>
        <v>10+</v>
      </c>
    </row>
    <row r="529" spans="1:28" x14ac:dyDescent="0.3">
      <c r="A529" s="2">
        <v>32</v>
      </c>
      <c r="B529" t="s">
        <v>43</v>
      </c>
      <c r="C529">
        <v>0</v>
      </c>
      <c r="D529" t="s">
        <v>36</v>
      </c>
      <c r="E529" t="s">
        <v>37</v>
      </c>
      <c r="F529">
        <v>10</v>
      </c>
      <c r="G529" t="s">
        <v>59</v>
      </c>
      <c r="H529" t="s">
        <v>599</v>
      </c>
      <c r="I529">
        <v>4</v>
      </c>
      <c r="J529" t="s">
        <v>46</v>
      </c>
      <c r="K529">
        <v>3</v>
      </c>
      <c r="L529">
        <v>2</v>
      </c>
      <c r="M529" t="s">
        <v>40</v>
      </c>
      <c r="N529">
        <v>4</v>
      </c>
      <c r="O529" t="s">
        <v>41</v>
      </c>
      <c r="P529" s="1">
        <v>5396</v>
      </c>
      <c r="Q529" t="s">
        <v>67</v>
      </c>
      <c r="R529" t="s">
        <v>43</v>
      </c>
      <c r="S529">
        <v>3</v>
      </c>
      <c r="T529">
        <v>10</v>
      </c>
      <c r="U529">
        <v>2</v>
      </c>
      <c r="V529">
        <v>10</v>
      </c>
      <c r="W529">
        <v>7</v>
      </c>
      <c r="X529">
        <v>0</v>
      </c>
      <c r="Y529">
        <v>8</v>
      </c>
      <c r="Z529" t="s">
        <v>1551</v>
      </c>
      <c r="AA529" t="s">
        <v>69</v>
      </c>
      <c r="AB529" t="str" cm="1">
        <f t="array" ref="AB529">_xlfn.IFS(cleaned_data[[#This Row],[YearsAtCompany]]&lt;=5, "0-5",cleaned_data[[#This Row],[YearsAtCompany]]&lt;=10,"6-10",TRUE,"10+")</f>
        <v>6-10</v>
      </c>
    </row>
    <row r="530" spans="1:28" x14ac:dyDescent="0.3">
      <c r="A530" s="2">
        <v>50</v>
      </c>
      <c r="B530" t="s">
        <v>35</v>
      </c>
      <c r="C530">
        <v>1</v>
      </c>
      <c r="D530" t="s">
        <v>44</v>
      </c>
      <c r="E530" t="s">
        <v>37</v>
      </c>
      <c r="F530">
        <v>8</v>
      </c>
      <c r="G530" t="s">
        <v>60</v>
      </c>
      <c r="H530" t="s">
        <v>600</v>
      </c>
      <c r="I530">
        <v>2</v>
      </c>
      <c r="J530" t="s">
        <v>46</v>
      </c>
      <c r="K530">
        <v>3</v>
      </c>
      <c r="L530">
        <v>2</v>
      </c>
      <c r="M530" t="s">
        <v>40</v>
      </c>
      <c r="N530">
        <v>3</v>
      </c>
      <c r="O530" t="s">
        <v>48</v>
      </c>
      <c r="P530" s="1">
        <v>6796</v>
      </c>
      <c r="Q530" t="s">
        <v>67</v>
      </c>
      <c r="R530" t="s">
        <v>35</v>
      </c>
      <c r="S530">
        <v>3</v>
      </c>
      <c r="T530">
        <v>18</v>
      </c>
      <c r="U530">
        <v>3</v>
      </c>
      <c r="V530">
        <v>4</v>
      </c>
      <c r="W530">
        <v>3</v>
      </c>
      <c r="X530">
        <v>1</v>
      </c>
      <c r="Y530">
        <v>3</v>
      </c>
      <c r="Z530" t="s">
        <v>106</v>
      </c>
      <c r="AA530" t="s">
        <v>82</v>
      </c>
      <c r="AB530" t="str" cm="1">
        <f t="array" ref="AB530">_xlfn.IFS(cleaned_data[[#This Row],[YearsAtCompany]]&lt;=5, "0-5",cleaned_data[[#This Row],[YearsAtCompany]]&lt;=10,"6-10",TRUE,"10+")</f>
        <v>0-5</v>
      </c>
    </row>
    <row r="531" spans="1:28" x14ac:dyDescent="0.3">
      <c r="A531" s="2">
        <v>38</v>
      </c>
      <c r="B531" t="s">
        <v>43</v>
      </c>
      <c r="C531">
        <v>0</v>
      </c>
      <c r="D531" t="s">
        <v>36</v>
      </c>
      <c r="E531" t="s">
        <v>45</v>
      </c>
      <c r="F531">
        <v>1</v>
      </c>
      <c r="G531" t="s">
        <v>38</v>
      </c>
      <c r="H531" t="s">
        <v>601</v>
      </c>
      <c r="I531">
        <v>2</v>
      </c>
      <c r="J531" t="s">
        <v>39</v>
      </c>
      <c r="K531">
        <v>4</v>
      </c>
      <c r="L531">
        <v>2</v>
      </c>
      <c r="M531" t="s">
        <v>54</v>
      </c>
      <c r="N531">
        <v>4</v>
      </c>
      <c r="O531" t="s">
        <v>41</v>
      </c>
      <c r="P531" s="1">
        <v>7625</v>
      </c>
      <c r="Q531" t="s">
        <v>67</v>
      </c>
      <c r="R531" t="s">
        <v>43</v>
      </c>
      <c r="S531">
        <v>3</v>
      </c>
      <c r="T531">
        <v>10</v>
      </c>
      <c r="U531">
        <v>2</v>
      </c>
      <c r="V531">
        <v>9</v>
      </c>
      <c r="W531">
        <v>7</v>
      </c>
      <c r="X531">
        <v>1</v>
      </c>
      <c r="Y531">
        <v>8</v>
      </c>
      <c r="Z531" t="s">
        <v>1550</v>
      </c>
      <c r="AA531" t="s">
        <v>69</v>
      </c>
      <c r="AB531" t="str" cm="1">
        <f t="array" ref="AB531">_xlfn.IFS(cleaned_data[[#This Row],[YearsAtCompany]]&lt;=5, "0-5",cleaned_data[[#This Row],[YearsAtCompany]]&lt;=10,"6-10",TRUE,"10+")</f>
        <v>6-10</v>
      </c>
    </row>
    <row r="532" spans="1:28" x14ac:dyDescent="0.3">
      <c r="A532" s="2">
        <v>27</v>
      </c>
      <c r="B532" t="s">
        <v>43</v>
      </c>
      <c r="C532">
        <v>0</v>
      </c>
      <c r="D532" t="s">
        <v>36</v>
      </c>
      <c r="E532" t="s">
        <v>45</v>
      </c>
      <c r="F532">
        <v>1</v>
      </c>
      <c r="G532" t="s">
        <v>38</v>
      </c>
      <c r="H532" t="s">
        <v>602</v>
      </c>
      <c r="I532">
        <v>3</v>
      </c>
      <c r="J532" t="s">
        <v>39</v>
      </c>
      <c r="K532">
        <v>3</v>
      </c>
      <c r="L532">
        <v>3</v>
      </c>
      <c r="M532" t="s">
        <v>53</v>
      </c>
      <c r="N532">
        <v>1</v>
      </c>
      <c r="O532" t="s">
        <v>48</v>
      </c>
      <c r="P532" s="6">
        <v>7412</v>
      </c>
      <c r="Q532" t="s">
        <v>67</v>
      </c>
      <c r="R532" t="s">
        <v>43</v>
      </c>
      <c r="S532">
        <v>3</v>
      </c>
      <c r="T532">
        <v>9</v>
      </c>
      <c r="U532">
        <v>3</v>
      </c>
      <c r="V532">
        <v>9</v>
      </c>
      <c r="W532">
        <v>7</v>
      </c>
      <c r="X532">
        <v>0</v>
      </c>
      <c r="Y532">
        <v>7</v>
      </c>
      <c r="Z532" t="s">
        <v>1551</v>
      </c>
      <c r="AA532" t="s">
        <v>69</v>
      </c>
      <c r="AB532" t="str" cm="1">
        <f t="array" ref="AB532">_xlfn.IFS(cleaned_data[[#This Row],[YearsAtCompany]]&lt;=5, "0-5",cleaned_data[[#This Row],[YearsAtCompany]]&lt;=10,"6-10",TRUE,"10+")</f>
        <v>6-10</v>
      </c>
    </row>
    <row r="533" spans="1:28" x14ac:dyDescent="0.3">
      <c r="A533" s="2">
        <v>32</v>
      </c>
      <c r="B533" t="s">
        <v>43</v>
      </c>
      <c r="C533">
        <v>0</v>
      </c>
      <c r="D533" t="s">
        <v>36</v>
      </c>
      <c r="E533" t="s">
        <v>45</v>
      </c>
      <c r="F533">
        <v>3</v>
      </c>
      <c r="G533" t="s">
        <v>38</v>
      </c>
      <c r="H533" t="s">
        <v>603</v>
      </c>
      <c r="I533">
        <v>3</v>
      </c>
      <c r="J533" t="s">
        <v>39</v>
      </c>
      <c r="K533">
        <v>3</v>
      </c>
      <c r="L533">
        <v>3</v>
      </c>
      <c r="M533" t="s">
        <v>58</v>
      </c>
      <c r="N533">
        <v>4</v>
      </c>
      <c r="O533" t="s">
        <v>41</v>
      </c>
      <c r="P533" s="1">
        <v>11159</v>
      </c>
      <c r="Q533" t="s">
        <v>67</v>
      </c>
      <c r="R533" t="s">
        <v>43</v>
      </c>
      <c r="S533">
        <v>3</v>
      </c>
      <c r="T533">
        <v>10</v>
      </c>
      <c r="U533">
        <v>3</v>
      </c>
      <c r="V533">
        <v>7</v>
      </c>
      <c r="W533">
        <v>7</v>
      </c>
      <c r="X533">
        <v>7</v>
      </c>
      <c r="Y533">
        <v>7</v>
      </c>
      <c r="Z533" t="s">
        <v>1551</v>
      </c>
      <c r="AA533" t="s">
        <v>69</v>
      </c>
      <c r="AB533" t="str" cm="1">
        <f t="array" ref="AB533">_xlfn.IFS(cleaned_data[[#This Row],[YearsAtCompany]]&lt;=5, "0-5",cleaned_data[[#This Row],[YearsAtCompany]]&lt;=10,"6-10",TRUE,"10+")</f>
        <v>6-10</v>
      </c>
    </row>
    <row r="534" spans="1:28" x14ac:dyDescent="0.3">
      <c r="A534" s="2">
        <v>47</v>
      </c>
      <c r="B534" t="s">
        <v>43</v>
      </c>
      <c r="C534">
        <v>0</v>
      </c>
      <c r="D534" t="s">
        <v>36</v>
      </c>
      <c r="E534" t="s">
        <v>37</v>
      </c>
      <c r="F534">
        <v>14</v>
      </c>
      <c r="G534" t="s">
        <v>59</v>
      </c>
      <c r="H534" t="s">
        <v>604</v>
      </c>
      <c r="I534">
        <v>4</v>
      </c>
      <c r="J534" t="s">
        <v>46</v>
      </c>
      <c r="K534">
        <v>3</v>
      </c>
      <c r="L534">
        <v>2</v>
      </c>
      <c r="M534" t="s">
        <v>40</v>
      </c>
      <c r="N534">
        <v>1</v>
      </c>
      <c r="O534" t="s">
        <v>41</v>
      </c>
      <c r="P534" s="6">
        <v>4960</v>
      </c>
      <c r="Q534" t="s">
        <v>72</v>
      </c>
      <c r="R534" t="s">
        <v>43</v>
      </c>
      <c r="S534">
        <v>3</v>
      </c>
      <c r="T534">
        <v>20</v>
      </c>
      <c r="U534">
        <v>3</v>
      </c>
      <c r="V534">
        <v>7</v>
      </c>
      <c r="W534">
        <v>7</v>
      </c>
      <c r="X534">
        <v>1</v>
      </c>
      <c r="Y534">
        <v>7</v>
      </c>
      <c r="Z534" t="s">
        <v>106</v>
      </c>
      <c r="AA534" t="s">
        <v>82</v>
      </c>
      <c r="AB534" t="str" cm="1">
        <f t="array" ref="AB534">_xlfn.IFS(cleaned_data[[#This Row],[YearsAtCompany]]&lt;=5, "0-5",cleaned_data[[#This Row],[YearsAtCompany]]&lt;=10,"6-10",TRUE,"10+")</f>
        <v>6-10</v>
      </c>
    </row>
    <row r="535" spans="1:28" x14ac:dyDescent="0.3">
      <c r="A535" s="2">
        <v>40</v>
      </c>
      <c r="B535" t="s">
        <v>43</v>
      </c>
      <c r="C535">
        <v>0</v>
      </c>
      <c r="D535" t="s">
        <v>44</v>
      </c>
      <c r="E535" t="s">
        <v>37</v>
      </c>
      <c r="F535">
        <v>5</v>
      </c>
      <c r="G535" t="s">
        <v>38</v>
      </c>
      <c r="H535" t="s">
        <v>605</v>
      </c>
      <c r="I535">
        <v>4</v>
      </c>
      <c r="J535" t="s">
        <v>46</v>
      </c>
      <c r="K535">
        <v>2</v>
      </c>
      <c r="L535">
        <v>3</v>
      </c>
      <c r="M535" t="s">
        <v>40</v>
      </c>
      <c r="N535">
        <v>1</v>
      </c>
      <c r="O535" t="s">
        <v>48</v>
      </c>
      <c r="P535" s="6">
        <v>10475</v>
      </c>
      <c r="Q535" t="s">
        <v>67</v>
      </c>
      <c r="R535" t="s">
        <v>35</v>
      </c>
      <c r="S535">
        <v>4</v>
      </c>
      <c r="T535">
        <v>20</v>
      </c>
      <c r="U535">
        <v>3</v>
      </c>
      <c r="V535">
        <v>18</v>
      </c>
      <c r="W535">
        <v>13</v>
      </c>
      <c r="X535">
        <v>1</v>
      </c>
      <c r="Y535">
        <v>12</v>
      </c>
      <c r="Z535" t="s">
        <v>1550</v>
      </c>
      <c r="AA535" t="s">
        <v>82</v>
      </c>
      <c r="AB535" t="str" cm="1">
        <f t="array" ref="AB535">_xlfn.IFS(cleaned_data[[#This Row],[YearsAtCompany]]&lt;=5, "0-5",cleaned_data[[#This Row],[YearsAtCompany]]&lt;=10,"6-10",TRUE,"10+")</f>
        <v>10+</v>
      </c>
    </row>
    <row r="536" spans="1:28" x14ac:dyDescent="0.3">
      <c r="A536" s="2">
        <v>53</v>
      </c>
      <c r="B536" t="s">
        <v>43</v>
      </c>
      <c r="C536">
        <v>0</v>
      </c>
      <c r="D536" t="s">
        <v>36</v>
      </c>
      <c r="E536" t="s">
        <v>45</v>
      </c>
      <c r="F536">
        <v>7</v>
      </c>
      <c r="G536" t="s">
        <v>38</v>
      </c>
      <c r="H536" t="s">
        <v>606</v>
      </c>
      <c r="I536">
        <v>3</v>
      </c>
      <c r="J536" t="s">
        <v>46</v>
      </c>
      <c r="K536">
        <v>4</v>
      </c>
      <c r="L536">
        <v>4</v>
      </c>
      <c r="M536" t="s">
        <v>58</v>
      </c>
      <c r="N536">
        <v>3</v>
      </c>
      <c r="O536" t="s">
        <v>48</v>
      </c>
      <c r="P536" s="1">
        <v>14814</v>
      </c>
      <c r="Q536" t="s">
        <v>90</v>
      </c>
      <c r="R536" t="s">
        <v>43</v>
      </c>
      <c r="S536">
        <v>3</v>
      </c>
      <c r="T536">
        <v>32</v>
      </c>
      <c r="U536">
        <v>3</v>
      </c>
      <c r="V536">
        <v>5</v>
      </c>
      <c r="W536">
        <v>1</v>
      </c>
      <c r="X536">
        <v>1</v>
      </c>
      <c r="Y536">
        <v>3</v>
      </c>
      <c r="Z536" t="s">
        <v>106</v>
      </c>
      <c r="AA536" t="s">
        <v>82</v>
      </c>
      <c r="AB536" t="str" cm="1">
        <f t="array" ref="AB536">_xlfn.IFS(cleaned_data[[#This Row],[YearsAtCompany]]&lt;=5, "0-5",cleaned_data[[#This Row],[YearsAtCompany]]&lt;=10,"6-10",TRUE,"10+")</f>
        <v>0-5</v>
      </c>
    </row>
    <row r="537" spans="1:28" x14ac:dyDescent="0.3">
      <c r="A537" s="2">
        <v>41</v>
      </c>
      <c r="B537" t="s">
        <v>43</v>
      </c>
      <c r="C537">
        <v>0</v>
      </c>
      <c r="D537" t="s">
        <v>36</v>
      </c>
      <c r="E537" t="s">
        <v>61</v>
      </c>
      <c r="F537">
        <v>10</v>
      </c>
      <c r="G537" t="s">
        <v>61</v>
      </c>
      <c r="H537" t="s">
        <v>607</v>
      </c>
      <c r="I537">
        <v>2</v>
      </c>
      <c r="J537" t="s">
        <v>46</v>
      </c>
      <c r="K537">
        <v>2</v>
      </c>
      <c r="L537">
        <v>5</v>
      </c>
      <c r="M537" t="s">
        <v>56</v>
      </c>
      <c r="N537">
        <v>4</v>
      </c>
      <c r="O537" t="s">
        <v>52</v>
      </c>
      <c r="P537" s="1">
        <v>19141</v>
      </c>
      <c r="Q537" t="s">
        <v>90</v>
      </c>
      <c r="R537" t="s">
        <v>43</v>
      </c>
      <c r="S537">
        <v>3</v>
      </c>
      <c r="T537">
        <v>23</v>
      </c>
      <c r="U537">
        <v>2</v>
      </c>
      <c r="V537">
        <v>21</v>
      </c>
      <c r="W537">
        <v>6</v>
      </c>
      <c r="X537">
        <v>12</v>
      </c>
      <c r="Y537">
        <v>6</v>
      </c>
      <c r="Z537" t="s">
        <v>1550</v>
      </c>
      <c r="AA537" t="s">
        <v>82</v>
      </c>
      <c r="AB537" t="str" cm="1">
        <f t="array" ref="AB537">_xlfn.IFS(cleaned_data[[#This Row],[YearsAtCompany]]&lt;=5, "0-5",cleaned_data[[#This Row],[YearsAtCompany]]&lt;=10,"6-10",TRUE,"10+")</f>
        <v>10+</v>
      </c>
    </row>
    <row r="538" spans="1:28" x14ac:dyDescent="0.3">
      <c r="A538" s="2">
        <v>60</v>
      </c>
      <c r="B538" t="s">
        <v>43</v>
      </c>
      <c r="C538">
        <v>0</v>
      </c>
      <c r="D538" t="s">
        <v>36</v>
      </c>
      <c r="E538" t="s">
        <v>37</v>
      </c>
      <c r="F538">
        <v>16</v>
      </c>
      <c r="G538" t="s">
        <v>59</v>
      </c>
      <c r="H538" t="s">
        <v>608</v>
      </c>
      <c r="I538">
        <v>1</v>
      </c>
      <c r="J538" t="s">
        <v>46</v>
      </c>
      <c r="K538">
        <v>3</v>
      </c>
      <c r="L538">
        <v>2</v>
      </c>
      <c r="M538" t="s">
        <v>40</v>
      </c>
      <c r="N538">
        <v>1</v>
      </c>
      <c r="O538" t="s">
        <v>41</v>
      </c>
      <c r="P538" s="6">
        <v>5405</v>
      </c>
      <c r="Q538" t="s">
        <v>67</v>
      </c>
      <c r="R538" t="s">
        <v>43</v>
      </c>
      <c r="S538">
        <v>3</v>
      </c>
      <c r="T538">
        <v>10</v>
      </c>
      <c r="U538">
        <v>3</v>
      </c>
      <c r="V538">
        <v>2</v>
      </c>
      <c r="W538">
        <v>2</v>
      </c>
      <c r="X538">
        <v>2</v>
      </c>
      <c r="Y538">
        <v>2</v>
      </c>
      <c r="Z538" t="s">
        <v>106</v>
      </c>
      <c r="AA538" t="s">
        <v>69</v>
      </c>
      <c r="AB538" t="str" cm="1">
        <f t="array" ref="AB538">_xlfn.IFS(cleaned_data[[#This Row],[YearsAtCompany]]&lt;=5, "0-5",cleaned_data[[#This Row],[YearsAtCompany]]&lt;=10,"6-10",TRUE,"10+")</f>
        <v>0-5</v>
      </c>
    </row>
    <row r="539" spans="1:28" x14ac:dyDescent="0.3">
      <c r="A539" s="2">
        <v>27</v>
      </c>
      <c r="B539" t="s">
        <v>43</v>
      </c>
      <c r="C539">
        <v>0</v>
      </c>
      <c r="D539" t="s">
        <v>44</v>
      </c>
      <c r="E539" t="s">
        <v>45</v>
      </c>
      <c r="F539">
        <v>10</v>
      </c>
      <c r="G539" t="s">
        <v>38</v>
      </c>
      <c r="H539" t="s">
        <v>609</v>
      </c>
      <c r="I539">
        <v>4</v>
      </c>
      <c r="J539" t="s">
        <v>46</v>
      </c>
      <c r="K539">
        <v>3</v>
      </c>
      <c r="L539">
        <v>3</v>
      </c>
      <c r="M539" t="s">
        <v>53</v>
      </c>
      <c r="N539">
        <v>1</v>
      </c>
      <c r="O539" t="s">
        <v>52</v>
      </c>
      <c r="P539" s="6">
        <v>8793</v>
      </c>
      <c r="Q539" t="s">
        <v>67</v>
      </c>
      <c r="R539" t="s">
        <v>43</v>
      </c>
      <c r="S539">
        <v>4</v>
      </c>
      <c r="T539">
        <v>9</v>
      </c>
      <c r="U539">
        <v>2</v>
      </c>
      <c r="V539">
        <v>9</v>
      </c>
      <c r="W539">
        <v>7</v>
      </c>
      <c r="X539">
        <v>1</v>
      </c>
      <c r="Y539">
        <v>7</v>
      </c>
      <c r="Z539" t="s">
        <v>1551</v>
      </c>
      <c r="AA539" t="s">
        <v>69</v>
      </c>
      <c r="AB539" t="str" cm="1">
        <f t="array" ref="AB539">_xlfn.IFS(cleaned_data[[#This Row],[YearsAtCompany]]&lt;=5, "0-5",cleaned_data[[#This Row],[YearsAtCompany]]&lt;=10,"6-10",TRUE,"10+")</f>
        <v>6-10</v>
      </c>
    </row>
    <row r="540" spans="1:28" x14ac:dyDescent="0.3">
      <c r="A540" s="2">
        <v>41</v>
      </c>
      <c r="B540" t="s">
        <v>43</v>
      </c>
      <c r="C540">
        <v>0</v>
      </c>
      <c r="D540" t="s">
        <v>36</v>
      </c>
      <c r="E540" t="s">
        <v>61</v>
      </c>
      <c r="F540">
        <v>1</v>
      </c>
      <c r="G540" t="s">
        <v>61</v>
      </c>
      <c r="H540" t="s">
        <v>610</v>
      </c>
      <c r="I540">
        <v>4</v>
      </c>
      <c r="J540" t="s">
        <v>46</v>
      </c>
      <c r="K540">
        <v>2</v>
      </c>
      <c r="L540">
        <v>5</v>
      </c>
      <c r="M540" t="s">
        <v>56</v>
      </c>
      <c r="N540">
        <v>3</v>
      </c>
      <c r="O540" t="s">
        <v>48</v>
      </c>
      <c r="P540" s="1">
        <v>19189</v>
      </c>
      <c r="Q540" t="s">
        <v>90</v>
      </c>
      <c r="R540" t="s">
        <v>43</v>
      </c>
      <c r="S540">
        <v>3</v>
      </c>
      <c r="T540">
        <v>22</v>
      </c>
      <c r="U540">
        <v>3</v>
      </c>
      <c r="V540">
        <v>22</v>
      </c>
      <c r="W540">
        <v>7</v>
      </c>
      <c r="X540">
        <v>2</v>
      </c>
      <c r="Y540">
        <v>10</v>
      </c>
      <c r="Z540" t="s">
        <v>1550</v>
      </c>
      <c r="AA540" t="s">
        <v>82</v>
      </c>
      <c r="AB540" t="str" cm="1">
        <f t="array" ref="AB540">_xlfn.IFS(cleaned_data[[#This Row],[YearsAtCompany]]&lt;=5, "0-5",cleaned_data[[#This Row],[YearsAtCompany]]&lt;=10,"6-10",TRUE,"10+")</f>
        <v>10+</v>
      </c>
    </row>
    <row r="541" spans="1:28" x14ac:dyDescent="0.3">
      <c r="A541" s="2">
        <v>50</v>
      </c>
      <c r="B541" t="s">
        <v>43</v>
      </c>
      <c r="C541">
        <v>0</v>
      </c>
      <c r="D541" t="s">
        <v>36</v>
      </c>
      <c r="E541" t="s">
        <v>37</v>
      </c>
      <c r="F541">
        <v>8</v>
      </c>
      <c r="G541" t="s">
        <v>59</v>
      </c>
      <c r="H541" t="s">
        <v>611</v>
      </c>
      <c r="I541">
        <v>4</v>
      </c>
      <c r="J541" t="s">
        <v>46</v>
      </c>
      <c r="K541">
        <v>3</v>
      </c>
      <c r="L541">
        <v>1</v>
      </c>
      <c r="M541" t="s">
        <v>57</v>
      </c>
      <c r="N541">
        <v>2</v>
      </c>
      <c r="O541" t="s">
        <v>48</v>
      </c>
      <c r="P541" s="1">
        <v>3875</v>
      </c>
      <c r="Q541" t="s">
        <v>72</v>
      </c>
      <c r="R541" t="s">
        <v>43</v>
      </c>
      <c r="S541">
        <v>3</v>
      </c>
      <c r="T541">
        <v>4</v>
      </c>
      <c r="U541">
        <v>3</v>
      </c>
      <c r="V541">
        <v>2</v>
      </c>
      <c r="W541">
        <v>2</v>
      </c>
      <c r="X541">
        <v>2</v>
      </c>
      <c r="Y541">
        <v>2</v>
      </c>
      <c r="Z541" t="s">
        <v>106</v>
      </c>
      <c r="AA541" t="s">
        <v>78</v>
      </c>
      <c r="AB541" t="str" cm="1">
        <f t="array" ref="AB541">_xlfn.IFS(cleaned_data[[#This Row],[YearsAtCompany]]&lt;=5, "0-5",cleaned_data[[#This Row],[YearsAtCompany]]&lt;=10,"6-10",TRUE,"10+")</f>
        <v>0-5</v>
      </c>
    </row>
    <row r="542" spans="1:28" x14ac:dyDescent="0.3">
      <c r="A542" s="2">
        <v>28</v>
      </c>
      <c r="B542" t="s">
        <v>35</v>
      </c>
      <c r="C542">
        <v>1</v>
      </c>
      <c r="D542" t="s">
        <v>36</v>
      </c>
      <c r="E542" t="s">
        <v>45</v>
      </c>
      <c r="F542">
        <v>1</v>
      </c>
      <c r="G542" t="s">
        <v>38</v>
      </c>
      <c r="H542" t="s">
        <v>612</v>
      </c>
      <c r="I542">
        <v>1</v>
      </c>
      <c r="J542" t="s">
        <v>39</v>
      </c>
      <c r="K542">
        <v>1</v>
      </c>
      <c r="L542">
        <v>1</v>
      </c>
      <c r="M542" t="s">
        <v>47</v>
      </c>
      <c r="N542">
        <v>2</v>
      </c>
      <c r="O542" t="s">
        <v>41</v>
      </c>
      <c r="P542" s="1">
        <v>2216</v>
      </c>
      <c r="Q542" t="s">
        <v>72</v>
      </c>
      <c r="R542" t="s">
        <v>35</v>
      </c>
      <c r="S542">
        <v>3</v>
      </c>
      <c r="T542">
        <v>10</v>
      </c>
      <c r="U542">
        <v>3</v>
      </c>
      <c r="V542">
        <v>7</v>
      </c>
      <c r="W542">
        <v>7</v>
      </c>
      <c r="X542">
        <v>3</v>
      </c>
      <c r="Y542">
        <v>7</v>
      </c>
      <c r="Z542" t="s">
        <v>1551</v>
      </c>
      <c r="AA542" t="s">
        <v>69</v>
      </c>
      <c r="AB542" t="str" cm="1">
        <f t="array" ref="AB542">_xlfn.IFS(cleaned_data[[#This Row],[YearsAtCompany]]&lt;=5, "0-5",cleaned_data[[#This Row],[YearsAtCompany]]&lt;=10,"6-10",TRUE,"10+")</f>
        <v>6-10</v>
      </c>
    </row>
    <row r="543" spans="1:28" x14ac:dyDescent="0.3">
      <c r="A543" s="2">
        <v>36</v>
      </c>
      <c r="B543" t="s">
        <v>43</v>
      </c>
      <c r="C543">
        <v>0</v>
      </c>
      <c r="D543" t="s">
        <v>55</v>
      </c>
      <c r="E543" t="s">
        <v>45</v>
      </c>
      <c r="F543">
        <v>8</v>
      </c>
      <c r="G543" t="s">
        <v>38</v>
      </c>
      <c r="H543" t="s">
        <v>613</v>
      </c>
      <c r="I543">
        <v>1</v>
      </c>
      <c r="J543" t="s">
        <v>39</v>
      </c>
      <c r="K543">
        <v>4</v>
      </c>
      <c r="L543">
        <v>3</v>
      </c>
      <c r="M543" t="s">
        <v>58</v>
      </c>
      <c r="N543">
        <v>1</v>
      </c>
      <c r="O543" t="s">
        <v>48</v>
      </c>
      <c r="P543" s="6">
        <v>11713</v>
      </c>
      <c r="Q543" t="s">
        <v>67</v>
      </c>
      <c r="R543" t="s">
        <v>43</v>
      </c>
      <c r="S543">
        <v>3</v>
      </c>
      <c r="T543">
        <v>10</v>
      </c>
      <c r="U543">
        <v>3</v>
      </c>
      <c r="V543">
        <v>8</v>
      </c>
      <c r="W543">
        <v>7</v>
      </c>
      <c r="X543">
        <v>0</v>
      </c>
      <c r="Y543">
        <v>5</v>
      </c>
      <c r="Z543" t="s">
        <v>1550</v>
      </c>
      <c r="AA543" t="s">
        <v>69</v>
      </c>
      <c r="AB543" t="str" cm="1">
        <f t="array" ref="AB543">_xlfn.IFS(cleaned_data[[#This Row],[YearsAtCompany]]&lt;=5, "0-5",cleaned_data[[#This Row],[YearsAtCompany]]&lt;=10,"6-10",TRUE,"10+")</f>
        <v>6-10</v>
      </c>
    </row>
    <row r="544" spans="1:28" x14ac:dyDescent="0.3">
      <c r="A544" s="2">
        <v>38</v>
      </c>
      <c r="B544" t="s">
        <v>43</v>
      </c>
      <c r="C544">
        <v>0</v>
      </c>
      <c r="D544" t="s">
        <v>36</v>
      </c>
      <c r="E544" t="s">
        <v>45</v>
      </c>
      <c r="F544">
        <v>1</v>
      </c>
      <c r="G544" t="s">
        <v>38</v>
      </c>
      <c r="H544" t="s">
        <v>614</v>
      </c>
      <c r="I544">
        <v>3</v>
      </c>
      <c r="J544" t="s">
        <v>39</v>
      </c>
      <c r="K544">
        <v>3</v>
      </c>
      <c r="L544">
        <v>3</v>
      </c>
      <c r="M544" t="s">
        <v>53</v>
      </c>
      <c r="N544">
        <v>3</v>
      </c>
      <c r="O544" t="s">
        <v>41</v>
      </c>
      <c r="P544" s="1">
        <v>7861</v>
      </c>
      <c r="Q544" t="s">
        <v>67</v>
      </c>
      <c r="R544" t="s">
        <v>35</v>
      </c>
      <c r="S544">
        <v>3</v>
      </c>
      <c r="T544">
        <v>10</v>
      </c>
      <c r="U544">
        <v>4</v>
      </c>
      <c r="V544">
        <v>1</v>
      </c>
      <c r="W544">
        <v>0</v>
      </c>
      <c r="X544">
        <v>0</v>
      </c>
      <c r="Y544">
        <v>0</v>
      </c>
      <c r="Z544" t="s">
        <v>1550</v>
      </c>
      <c r="AA544" t="s">
        <v>69</v>
      </c>
      <c r="AB544" t="str" cm="1">
        <f t="array" ref="AB544">_xlfn.IFS(cleaned_data[[#This Row],[YearsAtCompany]]&lt;=5, "0-5",cleaned_data[[#This Row],[YearsAtCompany]]&lt;=10,"6-10",TRUE,"10+")</f>
        <v>0-5</v>
      </c>
    </row>
    <row r="545" spans="1:28" x14ac:dyDescent="0.3">
      <c r="A545" s="2">
        <v>44</v>
      </c>
      <c r="B545" t="s">
        <v>43</v>
      </c>
      <c r="C545">
        <v>0</v>
      </c>
      <c r="D545" t="s">
        <v>55</v>
      </c>
      <c r="E545" t="s">
        <v>45</v>
      </c>
      <c r="F545">
        <v>24</v>
      </c>
      <c r="G545" t="s">
        <v>51</v>
      </c>
      <c r="H545" t="s">
        <v>615</v>
      </c>
      <c r="I545">
        <v>1</v>
      </c>
      <c r="J545" t="s">
        <v>46</v>
      </c>
      <c r="K545">
        <v>1</v>
      </c>
      <c r="L545">
        <v>1</v>
      </c>
      <c r="M545" t="s">
        <v>50</v>
      </c>
      <c r="N545">
        <v>3</v>
      </c>
      <c r="O545" t="s">
        <v>41</v>
      </c>
      <c r="P545" s="1">
        <v>3708</v>
      </c>
      <c r="Q545" t="s">
        <v>72</v>
      </c>
      <c r="R545" t="s">
        <v>43</v>
      </c>
      <c r="S545">
        <v>3</v>
      </c>
      <c r="T545">
        <v>9</v>
      </c>
      <c r="U545">
        <v>3</v>
      </c>
      <c r="V545">
        <v>5</v>
      </c>
      <c r="W545">
        <v>2</v>
      </c>
      <c r="X545">
        <v>1</v>
      </c>
      <c r="Y545">
        <v>4</v>
      </c>
      <c r="Z545" t="s">
        <v>1550</v>
      </c>
      <c r="AA545" t="s">
        <v>69</v>
      </c>
      <c r="AB545" t="str" cm="1">
        <f t="array" ref="AB545">_xlfn.IFS(cleaned_data[[#This Row],[YearsAtCompany]]&lt;=5, "0-5",cleaned_data[[#This Row],[YearsAtCompany]]&lt;=10,"6-10",TRUE,"10+")</f>
        <v>0-5</v>
      </c>
    </row>
    <row r="546" spans="1:28" x14ac:dyDescent="0.3">
      <c r="A546" s="2">
        <v>47</v>
      </c>
      <c r="B546" t="s">
        <v>43</v>
      </c>
      <c r="C546">
        <v>0</v>
      </c>
      <c r="D546" t="s">
        <v>44</v>
      </c>
      <c r="E546" t="s">
        <v>37</v>
      </c>
      <c r="F546">
        <v>3</v>
      </c>
      <c r="G546" t="s">
        <v>51</v>
      </c>
      <c r="H546" t="s">
        <v>616</v>
      </c>
      <c r="I546">
        <v>4</v>
      </c>
      <c r="J546" t="s">
        <v>39</v>
      </c>
      <c r="K546">
        <v>3</v>
      </c>
      <c r="L546">
        <v>4</v>
      </c>
      <c r="M546" t="s">
        <v>40</v>
      </c>
      <c r="N546">
        <v>3</v>
      </c>
      <c r="O546" t="s">
        <v>52</v>
      </c>
      <c r="P546" s="1">
        <v>13770</v>
      </c>
      <c r="Q546" t="s">
        <v>90</v>
      </c>
      <c r="R546" t="s">
        <v>35</v>
      </c>
      <c r="S546">
        <v>3</v>
      </c>
      <c r="T546">
        <v>28</v>
      </c>
      <c r="U546">
        <v>2</v>
      </c>
      <c r="V546">
        <v>22</v>
      </c>
      <c r="W546">
        <v>2</v>
      </c>
      <c r="X546">
        <v>11</v>
      </c>
      <c r="Y546">
        <v>13</v>
      </c>
      <c r="Z546" t="s">
        <v>106</v>
      </c>
      <c r="AA546" t="s">
        <v>82</v>
      </c>
      <c r="AB546" t="str" cm="1">
        <f t="array" ref="AB546">_xlfn.IFS(cleaned_data[[#This Row],[YearsAtCompany]]&lt;=5, "0-5",cleaned_data[[#This Row],[YearsAtCompany]]&lt;=10,"6-10",TRUE,"10+")</f>
        <v>10+</v>
      </c>
    </row>
    <row r="547" spans="1:28" x14ac:dyDescent="0.3">
      <c r="A547" s="2">
        <v>30</v>
      </c>
      <c r="B547" t="s">
        <v>43</v>
      </c>
      <c r="C547">
        <v>0</v>
      </c>
      <c r="D547" t="s">
        <v>36</v>
      </c>
      <c r="E547" t="s">
        <v>37</v>
      </c>
      <c r="F547">
        <v>27</v>
      </c>
      <c r="G547" t="s">
        <v>59</v>
      </c>
      <c r="H547" t="s">
        <v>617</v>
      </c>
      <c r="I547">
        <v>3</v>
      </c>
      <c r="J547" t="s">
        <v>46</v>
      </c>
      <c r="K547">
        <v>3</v>
      </c>
      <c r="L547">
        <v>2</v>
      </c>
      <c r="M547" t="s">
        <v>40</v>
      </c>
      <c r="N547">
        <v>4</v>
      </c>
      <c r="O547" t="s">
        <v>52</v>
      </c>
      <c r="P547" s="1">
        <v>5304</v>
      </c>
      <c r="Q547" t="s">
        <v>67</v>
      </c>
      <c r="R547" t="s">
        <v>43</v>
      </c>
      <c r="S547">
        <v>4</v>
      </c>
      <c r="T547">
        <v>10</v>
      </c>
      <c r="U547">
        <v>2</v>
      </c>
      <c r="V547">
        <v>8</v>
      </c>
      <c r="W547">
        <v>7</v>
      </c>
      <c r="X547">
        <v>7</v>
      </c>
      <c r="Y547">
        <v>7</v>
      </c>
      <c r="Z547" t="s">
        <v>1551</v>
      </c>
      <c r="AA547" t="s">
        <v>69</v>
      </c>
      <c r="AB547" t="str" cm="1">
        <f t="array" ref="AB547">_xlfn.IFS(cleaned_data[[#This Row],[YearsAtCompany]]&lt;=5, "0-5",cleaned_data[[#This Row],[YearsAtCompany]]&lt;=10,"6-10",TRUE,"10+")</f>
        <v>6-10</v>
      </c>
    </row>
    <row r="548" spans="1:28" x14ac:dyDescent="0.3">
      <c r="A548" s="2">
        <v>29</v>
      </c>
      <c r="B548" t="s">
        <v>43</v>
      </c>
      <c r="C548">
        <v>0</v>
      </c>
      <c r="D548" t="s">
        <v>36</v>
      </c>
      <c r="E548" t="s">
        <v>37</v>
      </c>
      <c r="F548">
        <v>10</v>
      </c>
      <c r="G548" t="s">
        <v>38</v>
      </c>
      <c r="H548" t="s">
        <v>618</v>
      </c>
      <c r="I548">
        <v>3</v>
      </c>
      <c r="J548" t="s">
        <v>46</v>
      </c>
      <c r="K548">
        <v>3</v>
      </c>
      <c r="L548">
        <v>1</v>
      </c>
      <c r="M548" t="s">
        <v>57</v>
      </c>
      <c r="N548">
        <v>3</v>
      </c>
      <c r="O548" t="s">
        <v>41</v>
      </c>
      <c r="P548" s="1">
        <v>2642</v>
      </c>
      <c r="Q548" t="s">
        <v>72</v>
      </c>
      <c r="R548" t="s">
        <v>43</v>
      </c>
      <c r="S548">
        <v>3</v>
      </c>
      <c r="T548">
        <v>1</v>
      </c>
      <c r="U548">
        <v>3</v>
      </c>
      <c r="V548">
        <v>1</v>
      </c>
      <c r="W548">
        <v>0</v>
      </c>
      <c r="X548">
        <v>0</v>
      </c>
      <c r="Y548">
        <v>0</v>
      </c>
      <c r="Z548" t="s">
        <v>1551</v>
      </c>
      <c r="AA548" t="s">
        <v>78</v>
      </c>
      <c r="AB548" t="str" cm="1">
        <f t="array" ref="AB548">_xlfn.IFS(cleaned_data[[#This Row],[YearsAtCompany]]&lt;=5, "0-5",cleaned_data[[#This Row],[YearsAtCompany]]&lt;=10,"6-10",TRUE,"10+")</f>
        <v>0-5</v>
      </c>
    </row>
    <row r="549" spans="1:28" x14ac:dyDescent="0.3">
      <c r="A549" s="2">
        <v>42</v>
      </c>
      <c r="B549" t="s">
        <v>35</v>
      </c>
      <c r="C549">
        <v>1</v>
      </c>
      <c r="D549" t="s">
        <v>44</v>
      </c>
      <c r="E549" t="s">
        <v>45</v>
      </c>
      <c r="F549">
        <v>19</v>
      </c>
      <c r="G549" t="s">
        <v>51</v>
      </c>
      <c r="H549" t="s">
        <v>619</v>
      </c>
      <c r="I549">
        <v>3</v>
      </c>
      <c r="J549" t="s">
        <v>46</v>
      </c>
      <c r="K549">
        <v>4</v>
      </c>
      <c r="L549">
        <v>1</v>
      </c>
      <c r="M549" t="s">
        <v>47</v>
      </c>
      <c r="N549">
        <v>3</v>
      </c>
      <c r="O549" t="s">
        <v>52</v>
      </c>
      <c r="P549" s="1">
        <v>2759</v>
      </c>
      <c r="Q549" t="s">
        <v>72</v>
      </c>
      <c r="R549" t="s">
        <v>35</v>
      </c>
      <c r="S549">
        <v>3</v>
      </c>
      <c r="T549">
        <v>7</v>
      </c>
      <c r="U549">
        <v>3</v>
      </c>
      <c r="V549">
        <v>2</v>
      </c>
      <c r="W549">
        <v>2</v>
      </c>
      <c r="X549">
        <v>2</v>
      </c>
      <c r="Y549">
        <v>2</v>
      </c>
      <c r="Z549" t="s">
        <v>1550</v>
      </c>
      <c r="AA549" t="s">
        <v>69</v>
      </c>
      <c r="AB549" t="str" cm="1">
        <f t="array" ref="AB549">_xlfn.IFS(cleaned_data[[#This Row],[YearsAtCompany]]&lt;=5, "0-5",cleaned_data[[#This Row],[YearsAtCompany]]&lt;=10,"6-10",TRUE,"10+")</f>
        <v>0-5</v>
      </c>
    </row>
    <row r="550" spans="1:28" x14ac:dyDescent="0.3">
      <c r="A550" s="2">
        <v>43</v>
      </c>
      <c r="B550" t="s">
        <v>43</v>
      </c>
      <c r="C550">
        <v>0</v>
      </c>
      <c r="D550" t="s">
        <v>44</v>
      </c>
      <c r="E550" t="s">
        <v>37</v>
      </c>
      <c r="F550">
        <v>15</v>
      </c>
      <c r="G550" t="s">
        <v>38</v>
      </c>
      <c r="H550" t="s">
        <v>620</v>
      </c>
      <c r="I550">
        <v>4</v>
      </c>
      <c r="J550" t="s">
        <v>46</v>
      </c>
      <c r="K550">
        <v>2</v>
      </c>
      <c r="L550">
        <v>2</v>
      </c>
      <c r="M550" t="s">
        <v>40</v>
      </c>
      <c r="N550">
        <v>4</v>
      </c>
      <c r="O550" t="s">
        <v>48</v>
      </c>
      <c r="P550" s="1">
        <v>6804</v>
      </c>
      <c r="Q550" t="s">
        <v>67</v>
      </c>
      <c r="R550" t="s">
        <v>43</v>
      </c>
      <c r="S550">
        <v>3</v>
      </c>
      <c r="T550">
        <v>7</v>
      </c>
      <c r="U550">
        <v>3</v>
      </c>
      <c r="V550">
        <v>2</v>
      </c>
      <c r="W550">
        <v>2</v>
      </c>
      <c r="X550">
        <v>2</v>
      </c>
      <c r="Y550">
        <v>2</v>
      </c>
      <c r="Z550" t="s">
        <v>1550</v>
      </c>
      <c r="AA550" t="s">
        <v>69</v>
      </c>
      <c r="AB550" t="str" cm="1">
        <f t="array" ref="AB550">_xlfn.IFS(cleaned_data[[#This Row],[YearsAtCompany]]&lt;=5, "0-5",cleaned_data[[#This Row],[YearsAtCompany]]&lt;=10,"6-10",TRUE,"10+")</f>
        <v>0-5</v>
      </c>
    </row>
    <row r="551" spans="1:28" x14ac:dyDescent="0.3">
      <c r="A551" s="2">
        <v>34</v>
      </c>
      <c r="B551" t="s">
        <v>43</v>
      </c>
      <c r="C551">
        <v>0</v>
      </c>
      <c r="D551" t="s">
        <v>36</v>
      </c>
      <c r="E551" t="s">
        <v>45</v>
      </c>
      <c r="F551">
        <v>8</v>
      </c>
      <c r="G551" t="s">
        <v>51</v>
      </c>
      <c r="H551" t="s">
        <v>621</v>
      </c>
      <c r="I551">
        <v>2</v>
      </c>
      <c r="J551" t="s">
        <v>39</v>
      </c>
      <c r="K551">
        <v>3</v>
      </c>
      <c r="L551">
        <v>2</v>
      </c>
      <c r="M551" t="s">
        <v>54</v>
      </c>
      <c r="N551">
        <v>3</v>
      </c>
      <c r="O551" t="s">
        <v>41</v>
      </c>
      <c r="P551" s="1">
        <v>6142</v>
      </c>
      <c r="Q551" t="s">
        <v>67</v>
      </c>
      <c r="R551" t="s">
        <v>43</v>
      </c>
      <c r="S551">
        <v>3</v>
      </c>
      <c r="T551">
        <v>10</v>
      </c>
      <c r="U551">
        <v>3</v>
      </c>
      <c r="V551">
        <v>5</v>
      </c>
      <c r="W551">
        <v>1</v>
      </c>
      <c r="X551">
        <v>4</v>
      </c>
      <c r="Y551">
        <v>3</v>
      </c>
      <c r="Z551" t="s">
        <v>1551</v>
      </c>
      <c r="AA551" t="s">
        <v>69</v>
      </c>
      <c r="AB551" t="str" cm="1">
        <f t="array" ref="AB551">_xlfn.IFS(cleaned_data[[#This Row],[YearsAtCompany]]&lt;=5, "0-5",cleaned_data[[#This Row],[YearsAtCompany]]&lt;=10,"6-10",TRUE,"10+")</f>
        <v>0-5</v>
      </c>
    </row>
    <row r="552" spans="1:28" x14ac:dyDescent="0.3">
      <c r="A552" s="2">
        <v>23</v>
      </c>
      <c r="B552" t="s">
        <v>43</v>
      </c>
      <c r="C552">
        <v>0</v>
      </c>
      <c r="D552" t="s">
        <v>36</v>
      </c>
      <c r="E552" t="s">
        <v>45</v>
      </c>
      <c r="F552">
        <v>9</v>
      </c>
      <c r="G552" t="s">
        <v>51</v>
      </c>
      <c r="H552" t="s">
        <v>622</v>
      </c>
      <c r="I552">
        <v>2</v>
      </c>
      <c r="J552" t="s">
        <v>46</v>
      </c>
      <c r="K552">
        <v>3</v>
      </c>
      <c r="L552">
        <v>1</v>
      </c>
      <c r="M552" t="s">
        <v>50</v>
      </c>
      <c r="N552">
        <v>1</v>
      </c>
      <c r="O552" t="s">
        <v>48</v>
      </c>
      <c r="P552" s="6">
        <v>2500</v>
      </c>
      <c r="Q552" t="s">
        <v>72</v>
      </c>
      <c r="R552" t="s">
        <v>43</v>
      </c>
      <c r="S552">
        <v>3</v>
      </c>
      <c r="T552">
        <v>5</v>
      </c>
      <c r="U552">
        <v>4</v>
      </c>
      <c r="V552">
        <v>4</v>
      </c>
      <c r="W552">
        <v>3</v>
      </c>
      <c r="X552">
        <v>0</v>
      </c>
      <c r="Y552">
        <v>2</v>
      </c>
      <c r="Z552" t="s">
        <v>68</v>
      </c>
      <c r="AA552" t="s">
        <v>78</v>
      </c>
      <c r="AB552" t="str" cm="1">
        <f t="array" ref="AB552">_xlfn.IFS(cleaned_data[[#This Row],[YearsAtCompany]]&lt;=5, "0-5",cleaned_data[[#This Row],[YearsAtCompany]]&lt;=10,"6-10",TRUE,"10+")</f>
        <v>0-5</v>
      </c>
    </row>
    <row r="553" spans="1:28" x14ac:dyDescent="0.3">
      <c r="A553" s="2">
        <v>39</v>
      </c>
      <c r="B553" t="s">
        <v>43</v>
      </c>
      <c r="C553">
        <v>0</v>
      </c>
      <c r="D553" t="s">
        <v>36</v>
      </c>
      <c r="E553" t="s">
        <v>61</v>
      </c>
      <c r="F553">
        <v>3</v>
      </c>
      <c r="G553" t="s">
        <v>61</v>
      </c>
      <c r="H553" t="s">
        <v>623</v>
      </c>
      <c r="I553">
        <v>3</v>
      </c>
      <c r="J553" t="s">
        <v>39</v>
      </c>
      <c r="K553">
        <v>4</v>
      </c>
      <c r="L553">
        <v>2</v>
      </c>
      <c r="M553" t="s">
        <v>61</v>
      </c>
      <c r="N553">
        <v>2</v>
      </c>
      <c r="O553" t="s">
        <v>48</v>
      </c>
      <c r="P553" s="1">
        <v>6389</v>
      </c>
      <c r="Q553" t="s">
        <v>67</v>
      </c>
      <c r="R553" t="s">
        <v>43</v>
      </c>
      <c r="S553">
        <v>3</v>
      </c>
      <c r="T553">
        <v>12</v>
      </c>
      <c r="U553">
        <v>1</v>
      </c>
      <c r="V553">
        <v>8</v>
      </c>
      <c r="W553">
        <v>3</v>
      </c>
      <c r="X553">
        <v>3</v>
      </c>
      <c r="Y553">
        <v>6</v>
      </c>
      <c r="Z553" t="s">
        <v>1550</v>
      </c>
      <c r="AA553" t="s">
        <v>69</v>
      </c>
      <c r="AB553" t="str" cm="1">
        <f t="array" ref="AB553">_xlfn.IFS(cleaned_data[[#This Row],[YearsAtCompany]]&lt;=5, "0-5",cleaned_data[[#This Row],[YearsAtCompany]]&lt;=10,"6-10",TRUE,"10+")</f>
        <v>6-10</v>
      </c>
    </row>
    <row r="554" spans="1:28" x14ac:dyDescent="0.3">
      <c r="A554" s="2">
        <v>56</v>
      </c>
      <c r="B554" t="s">
        <v>43</v>
      </c>
      <c r="C554">
        <v>0</v>
      </c>
      <c r="D554" t="s">
        <v>36</v>
      </c>
      <c r="E554" t="s">
        <v>45</v>
      </c>
      <c r="F554">
        <v>9</v>
      </c>
      <c r="G554" t="s">
        <v>51</v>
      </c>
      <c r="H554" t="s">
        <v>624</v>
      </c>
      <c r="I554">
        <v>3</v>
      </c>
      <c r="J554" t="s">
        <v>46</v>
      </c>
      <c r="K554">
        <v>3</v>
      </c>
      <c r="L554">
        <v>4</v>
      </c>
      <c r="M554" t="s">
        <v>54</v>
      </c>
      <c r="N554">
        <v>4</v>
      </c>
      <c r="O554" t="s">
        <v>48</v>
      </c>
      <c r="P554" s="1">
        <v>11103</v>
      </c>
      <c r="Q554" t="s">
        <v>67</v>
      </c>
      <c r="R554" t="s">
        <v>43</v>
      </c>
      <c r="S554">
        <v>3</v>
      </c>
      <c r="T554">
        <v>30</v>
      </c>
      <c r="U554">
        <v>2</v>
      </c>
      <c r="V554">
        <v>10</v>
      </c>
      <c r="W554">
        <v>7</v>
      </c>
      <c r="X554">
        <v>1</v>
      </c>
      <c r="Y554">
        <v>1</v>
      </c>
      <c r="Z554" t="s">
        <v>106</v>
      </c>
      <c r="AA554" t="s">
        <v>82</v>
      </c>
      <c r="AB554" t="str" cm="1">
        <f t="array" ref="AB554">_xlfn.IFS(cleaned_data[[#This Row],[YearsAtCompany]]&lt;=5, "0-5",cleaned_data[[#This Row],[YearsAtCompany]]&lt;=10,"6-10",TRUE,"10+")</f>
        <v>6-10</v>
      </c>
    </row>
    <row r="555" spans="1:28" x14ac:dyDescent="0.3">
      <c r="A555" s="2">
        <v>40</v>
      </c>
      <c r="B555" t="s">
        <v>43</v>
      </c>
      <c r="C555">
        <v>0</v>
      </c>
      <c r="D555" t="s">
        <v>36</v>
      </c>
      <c r="E555" t="s">
        <v>45</v>
      </c>
      <c r="F555">
        <v>2</v>
      </c>
      <c r="G555" t="s">
        <v>51</v>
      </c>
      <c r="H555" t="s">
        <v>625</v>
      </c>
      <c r="I555">
        <v>4</v>
      </c>
      <c r="J555" t="s">
        <v>39</v>
      </c>
      <c r="K555">
        <v>2</v>
      </c>
      <c r="L555">
        <v>1</v>
      </c>
      <c r="M555" t="s">
        <v>47</v>
      </c>
      <c r="N555">
        <v>4</v>
      </c>
      <c r="O555" t="s">
        <v>41</v>
      </c>
      <c r="P555" s="1">
        <v>2342</v>
      </c>
      <c r="Q555" t="s">
        <v>72</v>
      </c>
      <c r="R555" t="s">
        <v>35</v>
      </c>
      <c r="S555">
        <v>4</v>
      </c>
      <c r="T555">
        <v>5</v>
      </c>
      <c r="U555">
        <v>2</v>
      </c>
      <c r="V555">
        <v>4</v>
      </c>
      <c r="W555">
        <v>2</v>
      </c>
      <c r="X555">
        <v>2</v>
      </c>
      <c r="Y555">
        <v>3</v>
      </c>
      <c r="Z555" t="s">
        <v>1550</v>
      </c>
      <c r="AA555" t="s">
        <v>78</v>
      </c>
      <c r="AB555" t="str" cm="1">
        <f t="array" ref="AB555">_xlfn.IFS(cleaned_data[[#This Row],[YearsAtCompany]]&lt;=5, "0-5",cleaned_data[[#This Row],[YearsAtCompany]]&lt;=10,"6-10",TRUE,"10+")</f>
        <v>0-5</v>
      </c>
    </row>
    <row r="556" spans="1:28" x14ac:dyDescent="0.3">
      <c r="A556" s="2">
        <v>27</v>
      </c>
      <c r="B556" t="s">
        <v>43</v>
      </c>
      <c r="C556">
        <v>0</v>
      </c>
      <c r="D556" t="s">
        <v>36</v>
      </c>
      <c r="E556" t="s">
        <v>45</v>
      </c>
      <c r="F556">
        <v>7</v>
      </c>
      <c r="G556" t="s">
        <v>51</v>
      </c>
      <c r="H556" t="s">
        <v>626</v>
      </c>
      <c r="I556">
        <v>4</v>
      </c>
      <c r="J556" t="s">
        <v>39</v>
      </c>
      <c r="K556">
        <v>2</v>
      </c>
      <c r="L556">
        <v>2</v>
      </c>
      <c r="M556" t="s">
        <v>54</v>
      </c>
      <c r="N556">
        <v>1</v>
      </c>
      <c r="O556" t="s">
        <v>41</v>
      </c>
      <c r="P556" s="6">
        <v>6811</v>
      </c>
      <c r="Q556" t="s">
        <v>67</v>
      </c>
      <c r="R556" t="s">
        <v>43</v>
      </c>
      <c r="S556">
        <v>3</v>
      </c>
      <c r="T556">
        <v>9</v>
      </c>
      <c r="U556">
        <v>1</v>
      </c>
      <c r="V556">
        <v>7</v>
      </c>
      <c r="W556">
        <v>6</v>
      </c>
      <c r="X556">
        <v>0</v>
      </c>
      <c r="Y556">
        <v>7</v>
      </c>
      <c r="Z556" t="s">
        <v>1551</v>
      </c>
      <c r="AA556" t="s">
        <v>69</v>
      </c>
      <c r="AB556" t="str" cm="1">
        <f t="array" ref="AB556">_xlfn.IFS(cleaned_data[[#This Row],[YearsAtCompany]]&lt;=5, "0-5",cleaned_data[[#This Row],[YearsAtCompany]]&lt;=10,"6-10",TRUE,"10+")</f>
        <v>6-10</v>
      </c>
    </row>
    <row r="557" spans="1:28" x14ac:dyDescent="0.3">
      <c r="A557" s="2">
        <v>29</v>
      </c>
      <c r="B557" t="s">
        <v>43</v>
      </c>
      <c r="C557">
        <v>0</v>
      </c>
      <c r="D557" t="s">
        <v>36</v>
      </c>
      <c r="E557" t="s">
        <v>37</v>
      </c>
      <c r="F557">
        <v>10</v>
      </c>
      <c r="G557" t="s">
        <v>59</v>
      </c>
      <c r="H557" t="s">
        <v>627</v>
      </c>
      <c r="I557">
        <v>4</v>
      </c>
      <c r="J557" t="s">
        <v>46</v>
      </c>
      <c r="K557">
        <v>3</v>
      </c>
      <c r="L557">
        <v>1</v>
      </c>
      <c r="M557" t="s">
        <v>57</v>
      </c>
      <c r="N557">
        <v>2</v>
      </c>
      <c r="O557" t="s">
        <v>52</v>
      </c>
      <c r="P557" s="1">
        <v>2297</v>
      </c>
      <c r="Q557" t="s">
        <v>72</v>
      </c>
      <c r="R557" t="s">
        <v>43</v>
      </c>
      <c r="S557">
        <v>3</v>
      </c>
      <c r="T557">
        <v>2</v>
      </c>
      <c r="U557">
        <v>3</v>
      </c>
      <c r="V557">
        <v>2</v>
      </c>
      <c r="W557">
        <v>2</v>
      </c>
      <c r="X557">
        <v>2</v>
      </c>
      <c r="Y557">
        <v>2</v>
      </c>
      <c r="Z557" t="s">
        <v>1551</v>
      </c>
      <c r="AA557" t="s">
        <v>78</v>
      </c>
      <c r="AB557" t="str" cm="1">
        <f t="array" ref="AB557">_xlfn.IFS(cleaned_data[[#This Row],[YearsAtCompany]]&lt;=5, "0-5",cleaned_data[[#This Row],[YearsAtCompany]]&lt;=10,"6-10",TRUE,"10+")</f>
        <v>0-5</v>
      </c>
    </row>
    <row r="558" spans="1:28" x14ac:dyDescent="0.3">
      <c r="A558" s="2">
        <v>53</v>
      </c>
      <c r="B558" t="s">
        <v>43</v>
      </c>
      <c r="C558">
        <v>0</v>
      </c>
      <c r="D558" t="s">
        <v>36</v>
      </c>
      <c r="E558" t="s">
        <v>45</v>
      </c>
      <c r="F558">
        <v>6</v>
      </c>
      <c r="G558" t="s">
        <v>38</v>
      </c>
      <c r="H558" t="s">
        <v>628</v>
      </c>
      <c r="I558">
        <v>4</v>
      </c>
      <c r="J558" t="s">
        <v>46</v>
      </c>
      <c r="K558">
        <v>3</v>
      </c>
      <c r="L558">
        <v>2</v>
      </c>
      <c r="M558" t="s">
        <v>50</v>
      </c>
      <c r="N558">
        <v>4</v>
      </c>
      <c r="O558" t="s">
        <v>41</v>
      </c>
      <c r="P558" s="1">
        <v>2450</v>
      </c>
      <c r="Q558" t="s">
        <v>72</v>
      </c>
      <c r="R558" t="s">
        <v>43</v>
      </c>
      <c r="S558">
        <v>3</v>
      </c>
      <c r="T558">
        <v>19</v>
      </c>
      <c r="U558">
        <v>3</v>
      </c>
      <c r="V558">
        <v>2</v>
      </c>
      <c r="W558">
        <v>2</v>
      </c>
      <c r="X558">
        <v>2</v>
      </c>
      <c r="Y558">
        <v>2</v>
      </c>
      <c r="Z558" t="s">
        <v>106</v>
      </c>
      <c r="AA558" t="s">
        <v>82</v>
      </c>
      <c r="AB558" t="str" cm="1">
        <f t="array" ref="AB558">_xlfn.IFS(cleaned_data[[#This Row],[YearsAtCompany]]&lt;=5, "0-5",cleaned_data[[#This Row],[YearsAtCompany]]&lt;=10,"6-10",TRUE,"10+")</f>
        <v>0-5</v>
      </c>
    </row>
    <row r="559" spans="1:28" x14ac:dyDescent="0.3">
      <c r="A559" s="2">
        <v>35</v>
      </c>
      <c r="B559" t="s">
        <v>43</v>
      </c>
      <c r="C559">
        <v>0</v>
      </c>
      <c r="D559" t="s">
        <v>55</v>
      </c>
      <c r="E559" t="s">
        <v>45</v>
      </c>
      <c r="F559">
        <v>2</v>
      </c>
      <c r="G559" t="s">
        <v>38</v>
      </c>
      <c r="H559" t="s">
        <v>629</v>
      </c>
      <c r="I559">
        <v>4</v>
      </c>
      <c r="J559" t="s">
        <v>39</v>
      </c>
      <c r="K559">
        <v>3</v>
      </c>
      <c r="L559">
        <v>2</v>
      </c>
      <c r="M559" t="s">
        <v>54</v>
      </c>
      <c r="N559">
        <v>1</v>
      </c>
      <c r="O559" t="s">
        <v>52</v>
      </c>
      <c r="P559" s="6">
        <v>5093</v>
      </c>
      <c r="Q559" t="s">
        <v>67</v>
      </c>
      <c r="R559" t="s">
        <v>43</v>
      </c>
      <c r="S559">
        <v>3</v>
      </c>
      <c r="T559">
        <v>16</v>
      </c>
      <c r="U559">
        <v>4</v>
      </c>
      <c r="V559">
        <v>1</v>
      </c>
      <c r="W559">
        <v>0</v>
      </c>
      <c r="X559">
        <v>0</v>
      </c>
      <c r="Y559">
        <v>0</v>
      </c>
      <c r="Z559" t="s">
        <v>1551</v>
      </c>
      <c r="AA559" t="s">
        <v>82</v>
      </c>
      <c r="AB559" t="str" cm="1">
        <f t="array" ref="AB559">_xlfn.IFS(cleaned_data[[#This Row],[YearsAtCompany]]&lt;=5, "0-5",cleaned_data[[#This Row],[YearsAtCompany]]&lt;=10,"6-10",TRUE,"10+")</f>
        <v>0-5</v>
      </c>
    </row>
    <row r="560" spans="1:28" x14ac:dyDescent="0.3">
      <c r="A560" s="2">
        <v>32</v>
      </c>
      <c r="B560" t="s">
        <v>43</v>
      </c>
      <c r="C560">
        <v>0</v>
      </c>
      <c r="D560" t="s">
        <v>44</v>
      </c>
      <c r="E560" t="s">
        <v>45</v>
      </c>
      <c r="F560">
        <v>24</v>
      </c>
      <c r="G560" t="s">
        <v>38</v>
      </c>
      <c r="H560" t="s">
        <v>630</v>
      </c>
      <c r="I560">
        <v>1</v>
      </c>
      <c r="J560" t="s">
        <v>46</v>
      </c>
      <c r="K560">
        <v>3</v>
      </c>
      <c r="L560">
        <v>2</v>
      </c>
      <c r="M560" t="s">
        <v>50</v>
      </c>
      <c r="N560">
        <v>4</v>
      </c>
      <c r="O560" t="s">
        <v>48</v>
      </c>
      <c r="P560" s="1">
        <v>5309</v>
      </c>
      <c r="Q560" t="s">
        <v>67</v>
      </c>
      <c r="R560" t="s">
        <v>43</v>
      </c>
      <c r="S560">
        <v>3</v>
      </c>
      <c r="T560">
        <v>10</v>
      </c>
      <c r="U560">
        <v>3</v>
      </c>
      <c r="V560">
        <v>10</v>
      </c>
      <c r="W560">
        <v>8</v>
      </c>
      <c r="X560">
        <v>4</v>
      </c>
      <c r="Y560">
        <v>7</v>
      </c>
      <c r="Z560" t="s">
        <v>1551</v>
      </c>
      <c r="AA560" t="s">
        <v>69</v>
      </c>
      <c r="AB560" t="str" cm="1">
        <f t="array" ref="AB560">_xlfn.IFS(cleaned_data[[#This Row],[YearsAtCompany]]&lt;=5, "0-5",cleaned_data[[#This Row],[YearsAtCompany]]&lt;=10,"6-10",TRUE,"10+")</f>
        <v>6-10</v>
      </c>
    </row>
    <row r="561" spans="1:28" x14ac:dyDescent="0.3">
      <c r="A561" s="2">
        <v>38</v>
      </c>
      <c r="B561" t="s">
        <v>43</v>
      </c>
      <c r="C561">
        <v>0</v>
      </c>
      <c r="D561" t="s">
        <v>36</v>
      </c>
      <c r="E561" t="s">
        <v>45</v>
      </c>
      <c r="F561">
        <v>2</v>
      </c>
      <c r="G561" t="s">
        <v>51</v>
      </c>
      <c r="H561" t="s">
        <v>631</v>
      </c>
      <c r="I561">
        <v>4</v>
      </c>
      <c r="J561" t="s">
        <v>46</v>
      </c>
      <c r="K561">
        <v>3</v>
      </c>
      <c r="L561">
        <v>1</v>
      </c>
      <c r="M561" t="s">
        <v>47</v>
      </c>
      <c r="N561">
        <v>3</v>
      </c>
      <c r="O561" t="s">
        <v>48</v>
      </c>
      <c r="P561" s="1">
        <v>3057</v>
      </c>
      <c r="Q561" t="s">
        <v>72</v>
      </c>
      <c r="R561" t="s">
        <v>35</v>
      </c>
      <c r="S561">
        <v>3</v>
      </c>
      <c r="T561">
        <v>6</v>
      </c>
      <c r="U561">
        <v>1</v>
      </c>
      <c r="V561">
        <v>1</v>
      </c>
      <c r="W561">
        <v>0</v>
      </c>
      <c r="X561">
        <v>0</v>
      </c>
      <c r="Y561">
        <v>1</v>
      </c>
      <c r="Z561" t="s">
        <v>1550</v>
      </c>
      <c r="AA561" t="s">
        <v>69</v>
      </c>
      <c r="AB561" t="str" cm="1">
        <f t="array" ref="AB561">_xlfn.IFS(cleaned_data[[#This Row],[YearsAtCompany]]&lt;=5, "0-5",cleaned_data[[#This Row],[YearsAtCompany]]&lt;=10,"6-10",TRUE,"10+")</f>
        <v>0-5</v>
      </c>
    </row>
    <row r="562" spans="1:28" x14ac:dyDescent="0.3">
      <c r="A562" s="2">
        <v>34</v>
      </c>
      <c r="B562" t="s">
        <v>43</v>
      </c>
      <c r="C562">
        <v>0</v>
      </c>
      <c r="D562" t="s">
        <v>36</v>
      </c>
      <c r="E562" t="s">
        <v>45</v>
      </c>
      <c r="F562">
        <v>8</v>
      </c>
      <c r="G562" t="s">
        <v>38</v>
      </c>
      <c r="H562" t="s">
        <v>632</v>
      </c>
      <c r="I562">
        <v>2</v>
      </c>
      <c r="J562" t="s">
        <v>39</v>
      </c>
      <c r="K562">
        <v>3</v>
      </c>
      <c r="L562">
        <v>2</v>
      </c>
      <c r="M562" t="s">
        <v>53</v>
      </c>
      <c r="N562">
        <v>1</v>
      </c>
      <c r="O562" t="s">
        <v>52</v>
      </c>
      <c r="P562" s="6">
        <v>5121</v>
      </c>
      <c r="Q562" t="s">
        <v>67</v>
      </c>
      <c r="R562" t="s">
        <v>43</v>
      </c>
      <c r="S562">
        <v>3</v>
      </c>
      <c r="T562">
        <v>7</v>
      </c>
      <c r="U562">
        <v>3</v>
      </c>
      <c r="V562">
        <v>0</v>
      </c>
      <c r="W562">
        <v>0</v>
      </c>
      <c r="X562">
        <v>0</v>
      </c>
      <c r="Y562">
        <v>0</v>
      </c>
      <c r="Z562" t="s">
        <v>1551</v>
      </c>
      <c r="AA562" t="s">
        <v>69</v>
      </c>
      <c r="AB562" t="str" cm="1">
        <f t="array" ref="AB562">_xlfn.IFS(cleaned_data[[#This Row],[YearsAtCompany]]&lt;=5, "0-5",cleaned_data[[#This Row],[YearsAtCompany]]&lt;=10,"6-10",TRUE,"10+")</f>
        <v>0-5</v>
      </c>
    </row>
    <row r="563" spans="1:28" x14ac:dyDescent="0.3">
      <c r="A563" s="2">
        <v>52</v>
      </c>
      <c r="B563" t="s">
        <v>43</v>
      </c>
      <c r="C563">
        <v>0</v>
      </c>
      <c r="D563" t="s">
        <v>36</v>
      </c>
      <c r="E563" t="s">
        <v>37</v>
      </c>
      <c r="F563">
        <v>3</v>
      </c>
      <c r="G563" t="s">
        <v>59</v>
      </c>
      <c r="H563" t="s">
        <v>633</v>
      </c>
      <c r="I563">
        <v>3</v>
      </c>
      <c r="J563" t="s">
        <v>46</v>
      </c>
      <c r="K563">
        <v>2</v>
      </c>
      <c r="L563">
        <v>4</v>
      </c>
      <c r="M563" t="s">
        <v>56</v>
      </c>
      <c r="N563">
        <v>1</v>
      </c>
      <c r="O563" t="s">
        <v>48</v>
      </c>
      <c r="P563" s="6">
        <v>16856</v>
      </c>
      <c r="Q563" t="s">
        <v>90</v>
      </c>
      <c r="R563" t="s">
        <v>43</v>
      </c>
      <c r="S563">
        <v>3</v>
      </c>
      <c r="T563">
        <v>34</v>
      </c>
      <c r="U563">
        <v>4</v>
      </c>
      <c r="V563">
        <v>34</v>
      </c>
      <c r="W563">
        <v>6</v>
      </c>
      <c r="X563">
        <v>1</v>
      </c>
      <c r="Y563">
        <v>16</v>
      </c>
      <c r="Z563" t="s">
        <v>106</v>
      </c>
      <c r="AA563" t="s">
        <v>82</v>
      </c>
      <c r="AB563" t="str" cm="1">
        <f t="array" ref="AB563">_xlfn.IFS(cleaned_data[[#This Row],[YearsAtCompany]]&lt;=5, "0-5",cleaned_data[[#This Row],[YearsAtCompany]]&lt;=10,"6-10",TRUE,"10+")</f>
        <v>10+</v>
      </c>
    </row>
    <row r="564" spans="1:28" x14ac:dyDescent="0.3">
      <c r="A564" s="2">
        <v>33</v>
      </c>
      <c r="B564" t="s">
        <v>35</v>
      </c>
      <c r="C564">
        <v>1</v>
      </c>
      <c r="D564" t="s">
        <v>36</v>
      </c>
      <c r="E564" t="s">
        <v>45</v>
      </c>
      <c r="F564">
        <v>1</v>
      </c>
      <c r="G564" t="s">
        <v>49</v>
      </c>
      <c r="H564" t="s">
        <v>634</v>
      </c>
      <c r="I564">
        <v>4</v>
      </c>
      <c r="J564" t="s">
        <v>46</v>
      </c>
      <c r="K564">
        <v>3</v>
      </c>
      <c r="L564">
        <v>1</v>
      </c>
      <c r="M564" t="s">
        <v>47</v>
      </c>
      <c r="N564">
        <v>4</v>
      </c>
      <c r="O564" t="s">
        <v>41</v>
      </c>
      <c r="P564" s="1">
        <v>2686</v>
      </c>
      <c r="Q564" t="s">
        <v>72</v>
      </c>
      <c r="R564" t="s">
        <v>35</v>
      </c>
      <c r="S564">
        <v>3</v>
      </c>
      <c r="T564">
        <v>10</v>
      </c>
      <c r="U564">
        <v>2</v>
      </c>
      <c r="V564">
        <v>10</v>
      </c>
      <c r="W564">
        <v>9</v>
      </c>
      <c r="X564">
        <v>7</v>
      </c>
      <c r="Y564">
        <v>8</v>
      </c>
      <c r="Z564" t="s">
        <v>1551</v>
      </c>
      <c r="AA564" t="s">
        <v>69</v>
      </c>
      <c r="AB564" t="str" cm="1">
        <f t="array" ref="AB564">_xlfn.IFS(cleaned_data[[#This Row],[YearsAtCompany]]&lt;=5, "0-5",cleaned_data[[#This Row],[YearsAtCompany]]&lt;=10,"6-10",TRUE,"10+")</f>
        <v>6-10</v>
      </c>
    </row>
    <row r="565" spans="1:28" x14ac:dyDescent="0.3">
      <c r="A565" s="2">
        <v>25</v>
      </c>
      <c r="B565" t="s">
        <v>43</v>
      </c>
      <c r="C565">
        <v>0</v>
      </c>
      <c r="D565" t="s">
        <v>36</v>
      </c>
      <c r="E565" t="s">
        <v>37</v>
      </c>
      <c r="F565">
        <v>26</v>
      </c>
      <c r="G565" t="s">
        <v>51</v>
      </c>
      <c r="H565" t="s">
        <v>635</v>
      </c>
      <c r="I565">
        <v>3</v>
      </c>
      <c r="J565" t="s">
        <v>39</v>
      </c>
      <c r="K565">
        <v>3</v>
      </c>
      <c r="L565">
        <v>2</v>
      </c>
      <c r="M565" t="s">
        <v>40</v>
      </c>
      <c r="N565">
        <v>4</v>
      </c>
      <c r="O565" t="s">
        <v>41</v>
      </c>
      <c r="P565" s="1">
        <v>6180</v>
      </c>
      <c r="Q565" t="s">
        <v>67</v>
      </c>
      <c r="R565" t="s">
        <v>43</v>
      </c>
      <c r="S565">
        <v>4</v>
      </c>
      <c r="T565">
        <v>6</v>
      </c>
      <c r="U565">
        <v>2</v>
      </c>
      <c r="V565">
        <v>6</v>
      </c>
      <c r="W565">
        <v>5</v>
      </c>
      <c r="X565">
        <v>1</v>
      </c>
      <c r="Y565">
        <v>4</v>
      </c>
      <c r="Z565" t="s">
        <v>68</v>
      </c>
      <c r="AA565" t="s">
        <v>69</v>
      </c>
      <c r="AB565" t="str" cm="1">
        <f t="array" ref="AB565">_xlfn.IFS(cleaned_data[[#This Row],[YearsAtCompany]]&lt;=5, "0-5",cleaned_data[[#This Row],[YearsAtCompany]]&lt;=10,"6-10",TRUE,"10+")</f>
        <v>6-10</v>
      </c>
    </row>
    <row r="566" spans="1:28" x14ac:dyDescent="0.3">
      <c r="A566" s="2">
        <v>45</v>
      </c>
      <c r="B566" t="s">
        <v>43</v>
      </c>
      <c r="C566">
        <v>0</v>
      </c>
      <c r="D566" t="s">
        <v>36</v>
      </c>
      <c r="E566" t="s">
        <v>37</v>
      </c>
      <c r="F566">
        <v>2</v>
      </c>
      <c r="G566" t="s">
        <v>60</v>
      </c>
      <c r="H566" t="s">
        <v>636</v>
      </c>
      <c r="I566">
        <v>2</v>
      </c>
      <c r="J566" t="s">
        <v>46</v>
      </c>
      <c r="K566">
        <v>1</v>
      </c>
      <c r="L566">
        <v>2</v>
      </c>
      <c r="M566" t="s">
        <v>57</v>
      </c>
      <c r="N566">
        <v>3</v>
      </c>
      <c r="O566" t="s">
        <v>41</v>
      </c>
      <c r="P566" s="1">
        <v>6632</v>
      </c>
      <c r="Q566" t="s">
        <v>67</v>
      </c>
      <c r="R566" t="s">
        <v>43</v>
      </c>
      <c r="S566">
        <v>3</v>
      </c>
      <c r="T566">
        <v>9</v>
      </c>
      <c r="U566">
        <v>3</v>
      </c>
      <c r="V566">
        <v>8</v>
      </c>
      <c r="W566">
        <v>7</v>
      </c>
      <c r="X566">
        <v>3</v>
      </c>
      <c r="Y566">
        <v>1</v>
      </c>
      <c r="Z566" t="s">
        <v>1550</v>
      </c>
      <c r="AA566" t="s">
        <v>69</v>
      </c>
      <c r="AB566" t="str" cm="1">
        <f t="array" ref="AB566">_xlfn.IFS(cleaned_data[[#This Row],[YearsAtCompany]]&lt;=5, "0-5",cleaned_data[[#This Row],[YearsAtCompany]]&lt;=10,"6-10",TRUE,"10+")</f>
        <v>6-10</v>
      </c>
    </row>
    <row r="567" spans="1:28" x14ac:dyDescent="0.3">
      <c r="A567" s="2">
        <v>23</v>
      </c>
      <c r="B567" t="s">
        <v>43</v>
      </c>
      <c r="C567">
        <v>0</v>
      </c>
      <c r="D567" t="s">
        <v>36</v>
      </c>
      <c r="E567" t="s">
        <v>45</v>
      </c>
      <c r="F567">
        <v>10</v>
      </c>
      <c r="G567" t="s">
        <v>51</v>
      </c>
      <c r="H567" t="s">
        <v>637</v>
      </c>
      <c r="I567">
        <v>1</v>
      </c>
      <c r="J567" t="s">
        <v>46</v>
      </c>
      <c r="K567">
        <v>4</v>
      </c>
      <c r="L567">
        <v>1</v>
      </c>
      <c r="M567" t="s">
        <v>47</v>
      </c>
      <c r="N567">
        <v>3</v>
      </c>
      <c r="O567" t="s">
        <v>41</v>
      </c>
      <c r="P567" s="1">
        <v>3505</v>
      </c>
      <c r="Q567" t="s">
        <v>72</v>
      </c>
      <c r="R567" t="s">
        <v>43</v>
      </c>
      <c r="S567">
        <v>3</v>
      </c>
      <c r="T567">
        <v>2</v>
      </c>
      <c r="U567">
        <v>3</v>
      </c>
      <c r="V567">
        <v>2</v>
      </c>
      <c r="W567">
        <v>2</v>
      </c>
      <c r="X567">
        <v>0</v>
      </c>
      <c r="Y567">
        <v>2</v>
      </c>
      <c r="Z567" t="s">
        <v>68</v>
      </c>
      <c r="AA567" t="s">
        <v>78</v>
      </c>
      <c r="AB567" t="str" cm="1">
        <f t="array" ref="AB567">_xlfn.IFS(cleaned_data[[#This Row],[YearsAtCompany]]&lt;=5, "0-5",cleaned_data[[#This Row],[YearsAtCompany]]&lt;=10,"6-10",TRUE,"10+")</f>
        <v>0-5</v>
      </c>
    </row>
    <row r="568" spans="1:28" x14ac:dyDescent="0.3">
      <c r="A568" s="2">
        <v>47</v>
      </c>
      <c r="B568" t="s">
        <v>35</v>
      </c>
      <c r="C568">
        <v>1</v>
      </c>
      <c r="D568" t="s">
        <v>44</v>
      </c>
      <c r="E568" t="s">
        <v>37</v>
      </c>
      <c r="F568">
        <v>27</v>
      </c>
      <c r="G568" t="s">
        <v>38</v>
      </c>
      <c r="H568" t="s">
        <v>638</v>
      </c>
      <c r="I568">
        <v>2</v>
      </c>
      <c r="J568" t="s">
        <v>39</v>
      </c>
      <c r="K568">
        <v>4</v>
      </c>
      <c r="L568">
        <v>2</v>
      </c>
      <c r="M568" t="s">
        <v>40</v>
      </c>
      <c r="N568">
        <v>3</v>
      </c>
      <c r="O568" t="s">
        <v>41</v>
      </c>
      <c r="P568" s="1">
        <v>6397</v>
      </c>
      <c r="Q568" t="s">
        <v>67</v>
      </c>
      <c r="R568" t="s">
        <v>35</v>
      </c>
      <c r="S568">
        <v>3</v>
      </c>
      <c r="T568">
        <v>8</v>
      </c>
      <c r="U568">
        <v>3</v>
      </c>
      <c r="V568">
        <v>5</v>
      </c>
      <c r="W568">
        <v>4</v>
      </c>
      <c r="X568">
        <v>1</v>
      </c>
      <c r="Y568">
        <v>3</v>
      </c>
      <c r="Z568" t="s">
        <v>106</v>
      </c>
      <c r="AA568" t="s">
        <v>69</v>
      </c>
      <c r="AB568" t="str" cm="1">
        <f t="array" ref="AB568">_xlfn.IFS(cleaned_data[[#This Row],[YearsAtCompany]]&lt;=5, "0-5",cleaned_data[[#This Row],[YearsAtCompany]]&lt;=10,"6-10",TRUE,"10+")</f>
        <v>0-5</v>
      </c>
    </row>
    <row r="569" spans="1:28" x14ac:dyDescent="0.3">
      <c r="A569" s="2">
        <v>34</v>
      </c>
      <c r="B569" t="s">
        <v>43</v>
      </c>
      <c r="C569">
        <v>0</v>
      </c>
      <c r="D569" t="s">
        <v>36</v>
      </c>
      <c r="E569" t="s">
        <v>37</v>
      </c>
      <c r="F569">
        <v>2</v>
      </c>
      <c r="G569" t="s">
        <v>49</v>
      </c>
      <c r="H569" t="s">
        <v>639</v>
      </c>
      <c r="I569">
        <v>4</v>
      </c>
      <c r="J569" t="s">
        <v>46</v>
      </c>
      <c r="K569">
        <v>3</v>
      </c>
      <c r="L569">
        <v>2</v>
      </c>
      <c r="M569" t="s">
        <v>40</v>
      </c>
      <c r="N569">
        <v>4</v>
      </c>
      <c r="O569" t="s">
        <v>41</v>
      </c>
      <c r="P569" s="1">
        <v>6274</v>
      </c>
      <c r="Q569" t="s">
        <v>67</v>
      </c>
      <c r="R569" t="s">
        <v>43</v>
      </c>
      <c r="S569">
        <v>4</v>
      </c>
      <c r="T569">
        <v>6</v>
      </c>
      <c r="U569">
        <v>3</v>
      </c>
      <c r="V569">
        <v>6</v>
      </c>
      <c r="W569">
        <v>5</v>
      </c>
      <c r="X569">
        <v>1</v>
      </c>
      <c r="Y569">
        <v>4</v>
      </c>
      <c r="Z569" t="s">
        <v>1551</v>
      </c>
      <c r="AA569" t="s">
        <v>69</v>
      </c>
      <c r="AB569" t="str" cm="1">
        <f t="array" ref="AB569">_xlfn.IFS(cleaned_data[[#This Row],[YearsAtCompany]]&lt;=5, "0-5",cleaned_data[[#This Row],[YearsAtCompany]]&lt;=10,"6-10",TRUE,"10+")</f>
        <v>6-10</v>
      </c>
    </row>
    <row r="570" spans="1:28" x14ac:dyDescent="0.3">
      <c r="A570" s="2">
        <v>55</v>
      </c>
      <c r="B570" t="s">
        <v>35</v>
      </c>
      <c r="C570">
        <v>1</v>
      </c>
      <c r="D570" t="s">
        <v>36</v>
      </c>
      <c r="E570" t="s">
        <v>45</v>
      </c>
      <c r="F570">
        <v>2</v>
      </c>
      <c r="G570" t="s">
        <v>51</v>
      </c>
      <c r="H570" t="s">
        <v>640</v>
      </c>
      <c r="I570">
        <v>4</v>
      </c>
      <c r="J570" t="s">
        <v>46</v>
      </c>
      <c r="K570">
        <v>3</v>
      </c>
      <c r="L570">
        <v>5</v>
      </c>
      <c r="M570" t="s">
        <v>56</v>
      </c>
      <c r="N570">
        <v>1</v>
      </c>
      <c r="O570" t="s">
        <v>48</v>
      </c>
      <c r="P570" s="6">
        <v>19859</v>
      </c>
      <c r="Q570" t="s">
        <v>90</v>
      </c>
      <c r="R570" t="s">
        <v>35</v>
      </c>
      <c r="S570">
        <v>3</v>
      </c>
      <c r="T570">
        <v>24</v>
      </c>
      <c r="U570">
        <v>3</v>
      </c>
      <c r="V570">
        <v>5</v>
      </c>
      <c r="W570">
        <v>2</v>
      </c>
      <c r="X570">
        <v>1</v>
      </c>
      <c r="Y570">
        <v>4</v>
      </c>
      <c r="Z570" t="s">
        <v>106</v>
      </c>
      <c r="AA570" t="s">
        <v>82</v>
      </c>
      <c r="AB570" t="str" cm="1">
        <f t="array" ref="AB570">_xlfn.IFS(cleaned_data[[#This Row],[YearsAtCompany]]&lt;=5, "0-5",cleaned_data[[#This Row],[YearsAtCompany]]&lt;=10,"6-10",TRUE,"10+")</f>
        <v>0-5</v>
      </c>
    </row>
    <row r="571" spans="1:28" x14ac:dyDescent="0.3">
      <c r="A571" s="2">
        <v>36</v>
      </c>
      <c r="B571" t="s">
        <v>43</v>
      </c>
      <c r="C571">
        <v>0</v>
      </c>
      <c r="D571" t="s">
        <v>55</v>
      </c>
      <c r="E571" t="s">
        <v>37</v>
      </c>
      <c r="F571">
        <v>8</v>
      </c>
      <c r="G571" t="s">
        <v>38</v>
      </c>
      <c r="H571" t="s">
        <v>641</v>
      </c>
      <c r="I571">
        <v>1</v>
      </c>
      <c r="J571" t="s">
        <v>46</v>
      </c>
      <c r="K571">
        <v>2</v>
      </c>
      <c r="L571">
        <v>3</v>
      </c>
      <c r="M571" t="s">
        <v>40</v>
      </c>
      <c r="N571">
        <v>1</v>
      </c>
      <c r="O571" t="s">
        <v>41</v>
      </c>
      <c r="P571" s="6">
        <v>7587</v>
      </c>
      <c r="Q571" t="s">
        <v>67</v>
      </c>
      <c r="R571" t="s">
        <v>43</v>
      </c>
      <c r="S571">
        <v>3</v>
      </c>
      <c r="T571">
        <v>10</v>
      </c>
      <c r="U571">
        <v>3</v>
      </c>
      <c r="V571">
        <v>10</v>
      </c>
      <c r="W571">
        <v>7</v>
      </c>
      <c r="X571">
        <v>0</v>
      </c>
      <c r="Y571">
        <v>9</v>
      </c>
      <c r="Z571" t="s">
        <v>1550</v>
      </c>
      <c r="AA571" t="s">
        <v>69</v>
      </c>
      <c r="AB571" t="str" cm="1">
        <f t="array" ref="AB571">_xlfn.IFS(cleaned_data[[#This Row],[YearsAtCompany]]&lt;=5, "0-5",cleaned_data[[#This Row],[YearsAtCompany]]&lt;=10,"6-10",TRUE,"10+")</f>
        <v>6-10</v>
      </c>
    </row>
    <row r="572" spans="1:28" x14ac:dyDescent="0.3">
      <c r="A572" s="2">
        <v>52</v>
      </c>
      <c r="B572" t="s">
        <v>43</v>
      </c>
      <c r="C572">
        <v>0</v>
      </c>
      <c r="D572" t="s">
        <v>55</v>
      </c>
      <c r="E572" t="s">
        <v>45</v>
      </c>
      <c r="F572">
        <v>19</v>
      </c>
      <c r="G572" t="s">
        <v>51</v>
      </c>
      <c r="H572" t="s">
        <v>642</v>
      </c>
      <c r="I572">
        <v>4</v>
      </c>
      <c r="J572" t="s">
        <v>46</v>
      </c>
      <c r="K572">
        <v>3</v>
      </c>
      <c r="L572">
        <v>1</v>
      </c>
      <c r="M572" t="s">
        <v>47</v>
      </c>
      <c r="N572">
        <v>4</v>
      </c>
      <c r="O572" t="s">
        <v>48</v>
      </c>
      <c r="P572" s="1">
        <v>4258</v>
      </c>
      <c r="Q572" t="s">
        <v>72</v>
      </c>
      <c r="R572" t="s">
        <v>43</v>
      </c>
      <c r="S572">
        <v>3</v>
      </c>
      <c r="T572">
        <v>5</v>
      </c>
      <c r="U572">
        <v>3</v>
      </c>
      <c r="V572">
        <v>4</v>
      </c>
      <c r="W572">
        <v>3</v>
      </c>
      <c r="X572">
        <v>1</v>
      </c>
      <c r="Y572">
        <v>2</v>
      </c>
      <c r="Z572" t="s">
        <v>106</v>
      </c>
      <c r="AA572" t="s">
        <v>78</v>
      </c>
      <c r="AB572" t="str" cm="1">
        <f t="array" ref="AB572">_xlfn.IFS(cleaned_data[[#This Row],[YearsAtCompany]]&lt;=5, "0-5",cleaned_data[[#This Row],[YearsAtCompany]]&lt;=10,"6-10",TRUE,"10+")</f>
        <v>0-5</v>
      </c>
    </row>
    <row r="573" spans="1:28" x14ac:dyDescent="0.3">
      <c r="A573" s="2">
        <v>26</v>
      </c>
      <c r="B573" t="s">
        <v>43</v>
      </c>
      <c r="C573">
        <v>0</v>
      </c>
      <c r="D573" t="s">
        <v>44</v>
      </c>
      <c r="E573" t="s">
        <v>45</v>
      </c>
      <c r="F573">
        <v>1</v>
      </c>
      <c r="G573" t="s">
        <v>38</v>
      </c>
      <c r="H573" t="s">
        <v>643</v>
      </c>
      <c r="I573">
        <v>1</v>
      </c>
      <c r="J573" t="s">
        <v>39</v>
      </c>
      <c r="K573">
        <v>1</v>
      </c>
      <c r="L573">
        <v>1</v>
      </c>
      <c r="M573" t="s">
        <v>50</v>
      </c>
      <c r="N573">
        <v>4</v>
      </c>
      <c r="O573" t="s">
        <v>52</v>
      </c>
      <c r="P573" s="1">
        <v>4364</v>
      </c>
      <c r="Q573" t="s">
        <v>72</v>
      </c>
      <c r="R573" t="s">
        <v>43</v>
      </c>
      <c r="S573">
        <v>3</v>
      </c>
      <c r="T573">
        <v>5</v>
      </c>
      <c r="U573">
        <v>3</v>
      </c>
      <c r="V573">
        <v>2</v>
      </c>
      <c r="W573">
        <v>2</v>
      </c>
      <c r="X573">
        <v>2</v>
      </c>
      <c r="Y573">
        <v>0</v>
      </c>
      <c r="Z573" t="s">
        <v>1551</v>
      </c>
      <c r="AA573" t="s">
        <v>78</v>
      </c>
      <c r="AB573" t="str" cm="1">
        <f t="array" ref="AB573">_xlfn.IFS(cleaned_data[[#This Row],[YearsAtCompany]]&lt;=5, "0-5",cleaned_data[[#This Row],[YearsAtCompany]]&lt;=10,"6-10",TRUE,"10+")</f>
        <v>0-5</v>
      </c>
    </row>
    <row r="574" spans="1:28" x14ac:dyDescent="0.3">
      <c r="A574" s="2">
        <v>29</v>
      </c>
      <c r="B574" t="s">
        <v>43</v>
      </c>
      <c r="C574">
        <v>0</v>
      </c>
      <c r="D574" t="s">
        <v>36</v>
      </c>
      <c r="E574" t="s">
        <v>45</v>
      </c>
      <c r="F574">
        <v>27</v>
      </c>
      <c r="G574" t="s">
        <v>51</v>
      </c>
      <c r="H574" t="s">
        <v>644</v>
      </c>
      <c r="I574">
        <v>2</v>
      </c>
      <c r="J574" t="s">
        <v>39</v>
      </c>
      <c r="K574">
        <v>3</v>
      </c>
      <c r="L574">
        <v>2</v>
      </c>
      <c r="M574" t="s">
        <v>54</v>
      </c>
      <c r="N574">
        <v>3</v>
      </c>
      <c r="O574" t="s">
        <v>48</v>
      </c>
      <c r="P574" s="1">
        <v>4335</v>
      </c>
      <c r="Q574" t="s">
        <v>72</v>
      </c>
      <c r="R574" t="s">
        <v>43</v>
      </c>
      <c r="S574">
        <v>3</v>
      </c>
      <c r="T574">
        <v>11</v>
      </c>
      <c r="U574">
        <v>2</v>
      </c>
      <c r="V574">
        <v>8</v>
      </c>
      <c r="W574">
        <v>7</v>
      </c>
      <c r="X574">
        <v>1</v>
      </c>
      <c r="Y574">
        <v>1</v>
      </c>
      <c r="Z574" t="s">
        <v>1551</v>
      </c>
      <c r="AA574" t="s">
        <v>69</v>
      </c>
      <c r="AB574" t="str" cm="1">
        <f t="array" ref="AB574">_xlfn.IFS(cleaned_data[[#This Row],[YearsAtCompany]]&lt;=5, "0-5",cleaned_data[[#This Row],[YearsAtCompany]]&lt;=10,"6-10",TRUE,"10+")</f>
        <v>6-10</v>
      </c>
    </row>
    <row r="575" spans="1:28" x14ac:dyDescent="0.3">
      <c r="A575" s="2">
        <v>26</v>
      </c>
      <c r="B575" t="s">
        <v>35</v>
      </c>
      <c r="C575">
        <v>1</v>
      </c>
      <c r="D575" t="s">
        <v>36</v>
      </c>
      <c r="E575" t="s">
        <v>37</v>
      </c>
      <c r="F575">
        <v>8</v>
      </c>
      <c r="G575" t="s">
        <v>60</v>
      </c>
      <c r="H575" t="s">
        <v>645</v>
      </c>
      <c r="I575">
        <v>4</v>
      </c>
      <c r="J575" t="s">
        <v>46</v>
      </c>
      <c r="K575">
        <v>2</v>
      </c>
      <c r="L575">
        <v>2</v>
      </c>
      <c r="M575" t="s">
        <v>40</v>
      </c>
      <c r="N575">
        <v>1</v>
      </c>
      <c r="O575" t="s">
        <v>41</v>
      </c>
      <c r="P575" s="6">
        <v>5326</v>
      </c>
      <c r="Q575" t="s">
        <v>67</v>
      </c>
      <c r="R575" t="s">
        <v>43</v>
      </c>
      <c r="S575">
        <v>3</v>
      </c>
      <c r="T575">
        <v>6</v>
      </c>
      <c r="U575">
        <v>2</v>
      </c>
      <c r="V575">
        <v>4</v>
      </c>
      <c r="W575">
        <v>3</v>
      </c>
      <c r="X575">
        <v>1</v>
      </c>
      <c r="Y575">
        <v>2</v>
      </c>
      <c r="Z575" t="s">
        <v>1551</v>
      </c>
      <c r="AA575" t="s">
        <v>69</v>
      </c>
      <c r="AB575" t="str" cm="1">
        <f t="array" ref="AB575">_xlfn.IFS(cleaned_data[[#This Row],[YearsAtCompany]]&lt;=5, "0-5",cleaned_data[[#This Row],[YearsAtCompany]]&lt;=10,"6-10",TRUE,"10+")</f>
        <v>0-5</v>
      </c>
    </row>
    <row r="576" spans="1:28" x14ac:dyDescent="0.3">
      <c r="A576" s="2">
        <v>34</v>
      </c>
      <c r="B576" t="s">
        <v>43</v>
      </c>
      <c r="C576">
        <v>0</v>
      </c>
      <c r="D576" t="s">
        <v>36</v>
      </c>
      <c r="E576" t="s">
        <v>45</v>
      </c>
      <c r="F576">
        <v>1</v>
      </c>
      <c r="G576" t="s">
        <v>38</v>
      </c>
      <c r="H576" t="s">
        <v>646</v>
      </c>
      <c r="I576">
        <v>2</v>
      </c>
      <c r="J576" t="s">
        <v>39</v>
      </c>
      <c r="K576">
        <v>4</v>
      </c>
      <c r="L576">
        <v>1</v>
      </c>
      <c r="M576" t="s">
        <v>47</v>
      </c>
      <c r="N576">
        <v>4</v>
      </c>
      <c r="O576" t="s">
        <v>41</v>
      </c>
      <c r="P576" s="1">
        <v>3280</v>
      </c>
      <c r="Q576" t="s">
        <v>72</v>
      </c>
      <c r="R576" t="s">
        <v>43</v>
      </c>
      <c r="S576">
        <v>3</v>
      </c>
      <c r="T576">
        <v>10</v>
      </c>
      <c r="U576">
        <v>3</v>
      </c>
      <c r="V576">
        <v>4</v>
      </c>
      <c r="W576">
        <v>2</v>
      </c>
      <c r="X576">
        <v>1</v>
      </c>
      <c r="Y576">
        <v>3</v>
      </c>
      <c r="Z576" t="s">
        <v>1551</v>
      </c>
      <c r="AA576" t="s">
        <v>69</v>
      </c>
      <c r="AB576" t="str" cm="1">
        <f t="array" ref="AB576">_xlfn.IFS(cleaned_data[[#This Row],[YearsAtCompany]]&lt;=5, "0-5",cleaned_data[[#This Row],[YearsAtCompany]]&lt;=10,"6-10",TRUE,"10+")</f>
        <v>0-5</v>
      </c>
    </row>
    <row r="577" spans="1:28" x14ac:dyDescent="0.3">
      <c r="A577" s="2">
        <v>54</v>
      </c>
      <c r="B577" t="s">
        <v>43</v>
      </c>
      <c r="C577">
        <v>0</v>
      </c>
      <c r="D577" t="s">
        <v>36</v>
      </c>
      <c r="E577" t="s">
        <v>45</v>
      </c>
      <c r="F577">
        <v>19</v>
      </c>
      <c r="G577" t="s">
        <v>51</v>
      </c>
      <c r="H577" t="s">
        <v>647</v>
      </c>
      <c r="I577">
        <v>4</v>
      </c>
      <c r="J577" t="s">
        <v>39</v>
      </c>
      <c r="K577">
        <v>3</v>
      </c>
      <c r="L577">
        <v>2</v>
      </c>
      <c r="M577" t="s">
        <v>53</v>
      </c>
      <c r="N577">
        <v>1</v>
      </c>
      <c r="O577" t="s">
        <v>52</v>
      </c>
      <c r="P577" s="6">
        <v>5485</v>
      </c>
      <c r="Q577" t="s">
        <v>67</v>
      </c>
      <c r="R577" t="s">
        <v>35</v>
      </c>
      <c r="S577">
        <v>3</v>
      </c>
      <c r="T577">
        <v>9</v>
      </c>
      <c r="U577">
        <v>3</v>
      </c>
      <c r="V577">
        <v>5</v>
      </c>
      <c r="W577">
        <v>3</v>
      </c>
      <c r="X577">
        <v>1</v>
      </c>
      <c r="Y577">
        <v>4</v>
      </c>
      <c r="Z577" t="s">
        <v>106</v>
      </c>
      <c r="AA577" t="s">
        <v>69</v>
      </c>
      <c r="AB577" t="str" cm="1">
        <f t="array" ref="AB577">_xlfn.IFS(cleaned_data[[#This Row],[YearsAtCompany]]&lt;=5, "0-5",cleaned_data[[#This Row],[YearsAtCompany]]&lt;=10,"6-10",TRUE,"10+")</f>
        <v>0-5</v>
      </c>
    </row>
    <row r="578" spans="1:28" x14ac:dyDescent="0.3">
      <c r="A578" s="2">
        <v>27</v>
      </c>
      <c r="B578" t="s">
        <v>43</v>
      </c>
      <c r="C578">
        <v>0</v>
      </c>
      <c r="D578" t="s">
        <v>44</v>
      </c>
      <c r="E578" t="s">
        <v>37</v>
      </c>
      <c r="F578">
        <v>8</v>
      </c>
      <c r="G578" t="s">
        <v>59</v>
      </c>
      <c r="H578" t="s">
        <v>648</v>
      </c>
      <c r="I578">
        <v>3</v>
      </c>
      <c r="J578" t="s">
        <v>46</v>
      </c>
      <c r="K578">
        <v>3</v>
      </c>
      <c r="L578">
        <v>2</v>
      </c>
      <c r="M578" t="s">
        <v>40</v>
      </c>
      <c r="N578">
        <v>4</v>
      </c>
      <c r="O578" t="s">
        <v>48</v>
      </c>
      <c r="P578" s="1">
        <v>4342</v>
      </c>
      <c r="Q578" t="s">
        <v>72</v>
      </c>
      <c r="R578" t="s">
        <v>43</v>
      </c>
      <c r="S578">
        <v>3</v>
      </c>
      <c r="T578">
        <v>5</v>
      </c>
      <c r="U578">
        <v>3</v>
      </c>
      <c r="V578">
        <v>4</v>
      </c>
      <c r="W578">
        <v>2</v>
      </c>
      <c r="X578">
        <v>1</v>
      </c>
      <c r="Y578">
        <v>1</v>
      </c>
      <c r="Z578" t="s">
        <v>1551</v>
      </c>
      <c r="AA578" t="s">
        <v>78</v>
      </c>
      <c r="AB578" t="str" cm="1">
        <f t="array" ref="AB578">_xlfn.IFS(cleaned_data[[#This Row],[YearsAtCompany]]&lt;=5, "0-5",cleaned_data[[#This Row],[YearsAtCompany]]&lt;=10,"6-10",TRUE,"10+")</f>
        <v>0-5</v>
      </c>
    </row>
    <row r="579" spans="1:28" x14ac:dyDescent="0.3">
      <c r="A579" s="2">
        <v>37</v>
      </c>
      <c r="B579" t="s">
        <v>43</v>
      </c>
      <c r="C579">
        <v>0</v>
      </c>
      <c r="D579" t="s">
        <v>36</v>
      </c>
      <c r="E579" t="s">
        <v>45</v>
      </c>
      <c r="F579">
        <v>10</v>
      </c>
      <c r="G579" t="s">
        <v>38</v>
      </c>
      <c r="H579" t="s">
        <v>649</v>
      </c>
      <c r="I579">
        <v>4</v>
      </c>
      <c r="J579" t="s">
        <v>39</v>
      </c>
      <c r="K579">
        <v>3</v>
      </c>
      <c r="L579">
        <v>1</v>
      </c>
      <c r="M579" t="s">
        <v>47</v>
      </c>
      <c r="N579">
        <v>1</v>
      </c>
      <c r="O579" t="s">
        <v>52</v>
      </c>
      <c r="P579" s="6">
        <v>2782</v>
      </c>
      <c r="Q579" t="s">
        <v>72</v>
      </c>
      <c r="R579" t="s">
        <v>35</v>
      </c>
      <c r="S579">
        <v>3</v>
      </c>
      <c r="T579">
        <v>6</v>
      </c>
      <c r="U579">
        <v>2</v>
      </c>
      <c r="V579">
        <v>5</v>
      </c>
      <c r="W579">
        <v>3</v>
      </c>
      <c r="X579">
        <v>4</v>
      </c>
      <c r="Y579">
        <v>3</v>
      </c>
      <c r="Z579" t="s">
        <v>1550</v>
      </c>
      <c r="AA579" t="s">
        <v>69</v>
      </c>
      <c r="AB579" t="str" cm="1">
        <f t="array" ref="AB579">_xlfn.IFS(cleaned_data[[#This Row],[YearsAtCompany]]&lt;=5, "0-5",cleaned_data[[#This Row],[YearsAtCompany]]&lt;=10,"6-10",TRUE,"10+")</f>
        <v>0-5</v>
      </c>
    </row>
    <row r="580" spans="1:28" x14ac:dyDescent="0.3">
      <c r="A580" s="2">
        <v>38</v>
      </c>
      <c r="B580" t="s">
        <v>43</v>
      </c>
      <c r="C580">
        <v>0</v>
      </c>
      <c r="D580" t="s">
        <v>44</v>
      </c>
      <c r="E580" t="s">
        <v>45</v>
      </c>
      <c r="F580">
        <v>2</v>
      </c>
      <c r="G580" t="s">
        <v>38</v>
      </c>
      <c r="H580" t="s">
        <v>650</v>
      </c>
      <c r="I580">
        <v>1</v>
      </c>
      <c r="J580" t="s">
        <v>39</v>
      </c>
      <c r="K580">
        <v>4</v>
      </c>
      <c r="L580">
        <v>2</v>
      </c>
      <c r="M580" t="s">
        <v>53</v>
      </c>
      <c r="N580">
        <v>1</v>
      </c>
      <c r="O580" t="s">
        <v>41</v>
      </c>
      <c r="P580" s="6">
        <v>5980</v>
      </c>
      <c r="Q580" t="s">
        <v>67</v>
      </c>
      <c r="R580" t="s">
        <v>35</v>
      </c>
      <c r="S580">
        <v>3</v>
      </c>
      <c r="T580">
        <v>17</v>
      </c>
      <c r="U580">
        <v>3</v>
      </c>
      <c r="V580">
        <v>15</v>
      </c>
      <c r="W580">
        <v>7</v>
      </c>
      <c r="X580">
        <v>4</v>
      </c>
      <c r="Y580">
        <v>12</v>
      </c>
      <c r="Z580" t="s">
        <v>1550</v>
      </c>
      <c r="AA580" t="s">
        <v>82</v>
      </c>
      <c r="AB580" t="str" cm="1">
        <f t="array" ref="AB580">_xlfn.IFS(cleaned_data[[#This Row],[YearsAtCompany]]&lt;=5, "0-5",cleaned_data[[#This Row],[YearsAtCompany]]&lt;=10,"6-10",TRUE,"10+")</f>
        <v>10+</v>
      </c>
    </row>
    <row r="581" spans="1:28" x14ac:dyDescent="0.3">
      <c r="A581" s="2">
        <v>34</v>
      </c>
      <c r="B581" t="s">
        <v>43</v>
      </c>
      <c r="C581">
        <v>0</v>
      </c>
      <c r="D581" t="s">
        <v>36</v>
      </c>
      <c r="E581" t="s">
        <v>45</v>
      </c>
      <c r="F581">
        <v>2</v>
      </c>
      <c r="G581" t="s">
        <v>51</v>
      </c>
      <c r="H581" t="s">
        <v>651</v>
      </c>
      <c r="I581">
        <v>3</v>
      </c>
      <c r="J581" t="s">
        <v>39</v>
      </c>
      <c r="K581">
        <v>2</v>
      </c>
      <c r="L581">
        <v>1</v>
      </c>
      <c r="M581" t="s">
        <v>47</v>
      </c>
      <c r="N581">
        <v>1</v>
      </c>
      <c r="O581" t="s">
        <v>41</v>
      </c>
      <c r="P581" s="6">
        <v>4381</v>
      </c>
      <c r="Q581" t="s">
        <v>72</v>
      </c>
      <c r="R581" t="s">
        <v>43</v>
      </c>
      <c r="S581">
        <v>3</v>
      </c>
      <c r="T581">
        <v>6</v>
      </c>
      <c r="U581">
        <v>3</v>
      </c>
      <c r="V581">
        <v>6</v>
      </c>
      <c r="W581">
        <v>5</v>
      </c>
      <c r="X581">
        <v>1</v>
      </c>
      <c r="Y581">
        <v>3</v>
      </c>
      <c r="Z581" t="s">
        <v>1551</v>
      </c>
      <c r="AA581" t="s">
        <v>69</v>
      </c>
      <c r="AB581" t="str" cm="1">
        <f t="array" ref="AB581">_xlfn.IFS(cleaned_data[[#This Row],[YearsAtCompany]]&lt;=5, "0-5",cleaned_data[[#This Row],[YearsAtCompany]]&lt;=10,"6-10",TRUE,"10+")</f>
        <v>6-10</v>
      </c>
    </row>
    <row r="582" spans="1:28" x14ac:dyDescent="0.3">
      <c r="A582" s="2">
        <v>35</v>
      </c>
      <c r="B582" t="s">
        <v>43</v>
      </c>
      <c r="C582">
        <v>0</v>
      </c>
      <c r="D582" t="s">
        <v>36</v>
      </c>
      <c r="E582" t="s">
        <v>37</v>
      </c>
      <c r="F582">
        <v>8</v>
      </c>
      <c r="G582" t="s">
        <v>38</v>
      </c>
      <c r="H582" t="s">
        <v>652</v>
      </c>
      <c r="I582">
        <v>1</v>
      </c>
      <c r="J582" t="s">
        <v>39</v>
      </c>
      <c r="K582">
        <v>3</v>
      </c>
      <c r="L582">
        <v>1</v>
      </c>
      <c r="M582" t="s">
        <v>57</v>
      </c>
      <c r="N582">
        <v>4</v>
      </c>
      <c r="O582" t="s">
        <v>48</v>
      </c>
      <c r="P582" s="1">
        <v>2572</v>
      </c>
      <c r="Q582" t="s">
        <v>72</v>
      </c>
      <c r="R582" t="s">
        <v>43</v>
      </c>
      <c r="S582">
        <v>3</v>
      </c>
      <c r="T582">
        <v>3</v>
      </c>
      <c r="U582">
        <v>2</v>
      </c>
      <c r="V582">
        <v>3</v>
      </c>
      <c r="W582">
        <v>2</v>
      </c>
      <c r="X582">
        <v>0</v>
      </c>
      <c r="Y582">
        <v>2</v>
      </c>
      <c r="Z582" t="s">
        <v>1551</v>
      </c>
      <c r="AA582" t="s">
        <v>78</v>
      </c>
      <c r="AB582" t="str" cm="1">
        <f t="array" ref="AB582">_xlfn.IFS(cleaned_data[[#This Row],[YearsAtCompany]]&lt;=5, "0-5",cleaned_data[[#This Row],[YearsAtCompany]]&lt;=10,"6-10",TRUE,"10+")</f>
        <v>0-5</v>
      </c>
    </row>
    <row r="583" spans="1:28" x14ac:dyDescent="0.3">
      <c r="A583" s="2">
        <v>30</v>
      </c>
      <c r="B583" t="s">
        <v>43</v>
      </c>
      <c r="C583">
        <v>0</v>
      </c>
      <c r="D583" t="s">
        <v>36</v>
      </c>
      <c r="E583" t="s">
        <v>45</v>
      </c>
      <c r="F583">
        <v>1</v>
      </c>
      <c r="G583" t="s">
        <v>38</v>
      </c>
      <c r="H583" t="s">
        <v>653</v>
      </c>
      <c r="I583">
        <v>4</v>
      </c>
      <c r="J583" t="s">
        <v>46</v>
      </c>
      <c r="K583">
        <v>1</v>
      </c>
      <c r="L583">
        <v>1</v>
      </c>
      <c r="M583" t="s">
        <v>50</v>
      </c>
      <c r="N583">
        <v>3</v>
      </c>
      <c r="O583" t="s">
        <v>48</v>
      </c>
      <c r="P583" s="1">
        <v>3833</v>
      </c>
      <c r="Q583" t="s">
        <v>72</v>
      </c>
      <c r="R583" t="s">
        <v>43</v>
      </c>
      <c r="S583">
        <v>4</v>
      </c>
      <c r="T583">
        <v>7</v>
      </c>
      <c r="U583">
        <v>3</v>
      </c>
      <c r="V583">
        <v>2</v>
      </c>
      <c r="W583">
        <v>2</v>
      </c>
      <c r="X583">
        <v>0</v>
      </c>
      <c r="Y583">
        <v>2</v>
      </c>
      <c r="Z583" t="s">
        <v>1551</v>
      </c>
      <c r="AA583" t="s">
        <v>69</v>
      </c>
      <c r="AB583" t="str" cm="1">
        <f t="array" ref="AB583">_xlfn.IFS(cleaned_data[[#This Row],[YearsAtCompany]]&lt;=5, "0-5",cleaned_data[[#This Row],[YearsAtCompany]]&lt;=10,"6-10",TRUE,"10+")</f>
        <v>0-5</v>
      </c>
    </row>
    <row r="584" spans="1:28" x14ac:dyDescent="0.3">
      <c r="A584" s="2">
        <v>40</v>
      </c>
      <c r="B584" t="s">
        <v>43</v>
      </c>
      <c r="C584">
        <v>0</v>
      </c>
      <c r="D584" t="s">
        <v>44</v>
      </c>
      <c r="E584" t="s">
        <v>45</v>
      </c>
      <c r="F584">
        <v>2</v>
      </c>
      <c r="G584" t="s">
        <v>51</v>
      </c>
      <c r="H584" t="s">
        <v>654</v>
      </c>
      <c r="I584">
        <v>3</v>
      </c>
      <c r="J584" t="s">
        <v>39</v>
      </c>
      <c r="K584">
        <v>4</v>
      </c>
      <c r="L584">
        <v>2</v>
      </c>
      <c r="M584" t="s">
        <v>54</v>
      </c>
      <c r="N584">
        <v>2</v>
      </c>
      <c r="O584" t="s">
        <v>48</v>
      </c>
      <c r="P584" s="1">
        <v>4244</v>
      </c>
      <c r="Q584" t="s">
        <v>72</v>
      </c>
      <c r="R584" t="s">
        <v>43</v>
      </c>
      <c r="S584">
        <v>4</v>
      </c>
      <c r="T584">
        <v>8</v>
      </c>
      <c r="U584">
        <v>3</v>
      </c>
      <c r="V584">
        <v>8</v>
      </c>
      <c r="W584">
        <v>7</v>
      </c>
      <c r="X584">
        <v>3</v>
      </c>
      <c r="Y584">
        <v>7</v>
      </c>
      <c r="Z584" t="s">
        <v>1550</v>
      </c>
      <c r="AA584" t="s">
        <v>69</v>
      </c>
      <c r="AB584" t="str" cm="1">
        <f t="array" ref="AB584">_xlfn.IFS(cleaned_data[[#This Row],[YearsAtCompany]]&lt;=5, "0-5",cleaned_data[[#This Row],[YearsAtCompany]]&lt;=10,"6-10",TRUE,"10+")</f>
        <v>6-10</v>
      </c>
    </row>
    <row r="585" spans="1:28" x14ac:dyDescent="0.3">
      <c r="A585" s="2">
        <v>34</v>
      </c>
      <c r="B585" t="s">
        <v>43</v>
      </c>
      <c r="C585">
        <v>0</v>
      </c>
      <c r="D585" t="s">
        <v>36</v>
      </c>
      <c r="E585" t="s">
        <v>37</v>
      </c>
      <c r="F585">
        <v>8</v>
      </c>
      <c r="G585" t="s">
        <v>38</v>
      </c>
      <c r="H585" t="s">
        <v>655</v>
      </c>
      <c r="I585">
        <v>3</v>
      </c>
      <c r="J585" t="s">
        <v>39</v>
      </c>
      <c r="K585">
        <v>3</v>
      </c>
      <c r="L585">
        <v>2</v>
      </c>
      <c r="M585" t="s">
        <v>40</v>
      </c>
      <c r="N585">
        <v>1</v>
      </c>
      <c r="O585" t="s">
        <v>48</v>
      </c>
      <c r="P585" s="6">
        <v>6500</v>
      </c>
      <c r="Q585" t="s">
        <v>67</v>
      </c>
      <c r="R585" t="s">
        <v>43</v>
      </c>
      <c r="S585">
        <v>3</v>
      </c>
      <c r="T585">
        <v>6</v>
      </c>
      <c r="U585">
        <v>3</v>
      </c>
      <c r="V585">
        <v>3</v>
      </c>
      <c r="W585">
        <v>2</v>
      </c>
      <c r="X585">
        <v>1</v>
      </c>
      <c r="Y585">
        <v>2</v>
      </c>
      <c r="Z585" t="s">
        <v>1551</v>
      </c>
      <c r="AA585" t="s">
        <v>69</v>
      </c>
      <c r="AB585" t="str" cm="1">
        <f t="array" ref="AB585">_xlfn.IFS(cleaned_data[[#This Row],[YearsAtCompany]]&lt;=5, "0-5",cleaned_data[[#This Row],[YearsAtCompany]]&lt;=10,"6-10",TRUE,"10+")</f>
        <v>0-5</v>
      </c>
    </row>
    <row r="586" spans="1:28" x14ac:dyDescent="0.3">
      <c r="A586" s="2">
        <v>42</v>
      </c>
      <c r="B586" t="s">
        <v>43</v>
      </c>
      <c r="C586">
        <v>0</v>
      </c>
      <c r="D586" t="s">
        <v>44</v>
      </c>
      <c r="E586" t="s">
        <v>45</v>
      </c>
      <c r="F586">
        <v>8</v>
      </c>
      <c r="G586" t="s">
        <v>38</v>
      </c>
      <c r="H586" t="s">
        <v>656</v>
      </c>
      <c r="I586">
        <v>2</v>
      </c>
      <c r="J586" t="s">
        <v>46</v>
      </c>
      <c r="K586">
        <v>3</v>
      </c>
      <c r="L586">
        <v>5</v>
      </c>
      <c r="M586" t="s">
        <v>56</v>
      </c>
      <c r="N586">
        <v>4</v>
      </c>
      <c r="O586" t="s">
        <v>52</v>
      </c>
      <c r="P586" s="1">
        <v>18430</v>
      </c>
      <c r="Q586" t="s">
        <v>90</v>
      </c>
      <c r="R586" t="s">
        <v>43</v>
      </c>
      <c r="S586">
        <v>3</v>
      </c>
      <c r="T586">
        <v>24</v>
      </c>
      <c r="U586">
        <v>2</v>
      </c>
      <c r="V586">
        <v>24</v>
      </c>
      <c r="W586">
        <v>7</v>
      </c>
      <c r="X586">
        <v>14</v>
      </c>
      <c r="Y586">
        <v>9</v>
      </c>
      <c r="Z586" t="s">
        <v>1550</v>
      </c>
      <c r="AA586" t="s">
        <v>82</v>
      </c>
      <c r="AB586" t="str" cm="1">
        <f t="array" ref="AB586">_xlfn.IFS(cleaned_data[[#This Row],[YearsAtCompany]]&lt;=5, "0-5",cleaned_data[[#This Row],[YearsAtCompany]]&lt;=10,"6-10",TRUE,"10+")</f>
        <v>10+</v>
      </c>
    </row>
    <row r="587" spans="1:28" x14ac:dyDescent="0.3">
      <c r="A587" s="2">
        <v>23</v>
      </c>
      <c r="B587" t="s">
        <v>35</v>
      </c>
      <c r="C587">
        <v>1</v>
      </c>
      <c r="D587" t="s">
        <v>36</v>
      </c>
      <c r="E587" t="s">
        <v>45</v>
      </c>
      <c r="F587">
        <v>6</v>
      </c>
      <c r="G587" t="s">
        <v>38</v>
      </c>
      <c r="H587" t="s">
        <v>657</v>
      </c>
      <c r="I587">
        <v>3</v>
      </c>
      <c r="J587" t="s">
        <v>46</v>
      </c>
      <c r="K587">
        <v>4</v>
      </c>
      <c r="L587">
        <v>1</v>
      </c>
      <c r="M587" t="s">
        <v>50</v>
      </c>
      <c r="N587">
        <v>1</v>
      </c>
      <c r="O587" t="s">
        <v>48</v>
      </c>
      <c r="P587" s="6">
        <v>1601</v>
      </c>
      <c r="Q587" t="s">
        <v>72</v>
      </c>
      <c r="R587" t="s">
        <v>35</v>
      </c>
      <c r="S587">
        <v>4</v>
      </c>
      <c r="T587">
        <v>1</v>
      </c>
      <c r="U587">
        <v>3</v>
      </c>
      <c r="V587">
        <v>0</v>
      </c>
      <c r="W587">
        <v>0</v>
      </c>
      <c r="X587">
        <v>0</v>
      </c>
      <c r="Y587">
        <v>0</v>
      </c>
      <c r="Z587" t="s">
        <v>68</v>
      </c>
      <c r="AA587" t="s">
        <v>78</v>
      </c>
      <c r="AB587" t="str" cm="1">
        <f t="array" ref="AB587">_xlfn.IFS(cleaned_data[[#This Row],[YearsAtCompany]]&lt;=5, "0-5",cleaned_data[[#This Row],[YearsAtCompany]]&lt;=10,"6-10",TRUE,"10+")</f>
        <v>0-5</v>
      </c>
    </row>
    <row r="588" spans="1:28" x14ac:dyDescent="0.3">
      <c r="A588" s="2">
        <v>24</v>
      </c>
      <c r="B588" t="s">
        <v>43</v>
      </c>
      <c r="C588">
        <v>0</v>
      </c>
      <c r="D588" t="s">
        <v>55</v>
      </c>
      <c r="E588" t="s">
        <v>45</v>
      </c>
      <c r="F588">
        <v>9</v>
      </c>
      <c r="G588" t="s">
        <v>38</v>
      </c>
      <c r="H588" t="s">
        <v>658</v>
      </c>
      <c r="I588">
        <v>3</v>
      </c>
      <c r="J588" t="s">
        <v>46</v>
      </c>
      <c r="K588">
        <v>2</v>
      </c>
      <c r="L588">
        <v>1</v>
      </c>
      <c r="M588" t="s">
        <v>50</v>
      </c>
      <c r="N588">
        <v>2</v>
      </c>
      <c r="O588" t="s">
        <v>52</v>
      </c>
      <c r="P588" s="1">
        <v>2694</v>
      </c>
      <c r="Q588" t="s">
        <v>72</v>
      </c>
      <c r="R588" t="s">
        <v>43</v>
      </c>
      <c r="S588">
        <v>3</v>
      </c>
      <c r="T588">
        <v>1</v>
      </c>
      <c r="U588">
        <v>3</v>
      </c>
      <c r="V588">
        <v>1</v>
      </c>
      <c r="W588">
        <v>0</v>
      </c>
      <c r="X588">
        <v>0</v>
      </c>
      <c r="Y588">
        <v>0</v>
      </c>
      <c r="Z588" t="s">
        <v>68</v>
      </c>
      <c r="AA588" t="s">
        <v>78</v>
      </c>
      <c r="AB588" t="str" cm="1">
        <f t="array" ref="AB588">_xlfn.IFS(cleaned_data[[#This Row],[YearsAtCompany]]&lt;=5, "0-5",cleaned_data[[#This Row],[YearsAtCompany]]&lt;=10,"6-10",TRUE,"10+")</f>
        <v>0-5</v>
      </c>
    </row>
    <row r="589" spans="1:28" x14ac:dyDescent="0.3">
      <c r="A589" s="2">
        <v>52</v>
      </c>
      <c r="B589" t="s">
        <v>43</v>
      </c>
      <c r="C589">
        <v>0</v>
      </c>
      <c r="D589" t="s">
        <v>36</v>
      </c>
      <c r="E589" t="s">
        <v>45</v>
      </c>
      <c r="F589">
        <v>11</v>
      </c>
      <c r="G589" t="s">
        <v>38</v>
      </c>
      <c r="H589" t="s">
        <v>659</v>
      </c>
      <c r="I589">
        <v>4</v>
      </c>
      <c r="J589" t="s">
        <v>39</v>
      </c>
      <c r="K589">
        <v>3</v>
      </c>
      <c r="L589">
        <v>2</v>
      </c>
      <c r="M589" t="s">
        <v>50</v>
      </c>
      <c r="N589">
        <v>3</v>
      </c>
      <c r="O589" t="s">
        <v>48</v>
      </c>
      <c r="P589" s="1">
        <v>3149</v>
      </c>
      <c r="Q589" t="s">
        <v>72</v>
      </c>
      <c r="R589" t="s">
        <v>43</v>
      </c>
      <c r="S589">
        <v>4</v>
      </c>
      <c r="T589">
        <v>9</v>
      </c>
      <c r="U589">
        <v>3</v>
      </c>
      <c r="V589">
        <v>5</v>
      </c>
      <c r="W589">
        <v>2</v>
      </c>
      <c r="X589">
        <v>1</v>
      </c>
      <c r="Y589">
        <v>4</v>
      </c>
      <c r="Z589" t="s">
        <v>106</v>
      </c>
      <c r="AA589" t="s">
        <v>69</v>
      </c>
      <c r="AB589" t="str" cm="1">
        <f t="array" ref="AB589">_xlfn.IFS(cleaned_data[[#This Row],[YearsAtCompany]]&lt;=5, "0-5",cleaned_data[[#This Row],[YearsAtCompany]]&lt;=10,"6-10",TRUE,"10+")</f>
        <v>0-5</v>
      </c>
    </row>
    <row r="590" spans="1:28" x14ac:dyDescent="0.3">
      <c r="A590" s="2">
        <v>50</v>
      </c>
      <c r="B590" t="s">
        <v>43</v>
      </c>
      <c r="C590">
        <v>0</v>
      </c>
      <c r="D590" t="s">
        <v>36</v>
      </c>
      <c r="E590" t="s">
        <v>45</v>
      </c>
      <c r="F590">
        <v>2</v>
      </c>
      <c r="G590" t="s">
        <v>51</v>
      </c>
      <c r="H590" t="s">
        <v>660</v>
      </c>
      <c r="I590">
        <v>3</v>
      </c>
      <c r="J590" t="s">
        <v>46</v>
      </c>
      <c r="K590">
        <v>3</v>
      </c>
      <c r="L590">
        <v>4</v>
      </c>
      <c r="M590" t="s">
        <v>58</v>
      </c>
      <c r="N590">
        <v>3</v>
      </c>
      <c r="O590" t="s">
        <v>48</v>
      </c>
      <c r="P590" s="1">
        <v>17639</v>
      </c>
      <c r="Q590" t="s">
        <v>90</v>
      </c>
      <c r="R590" t="s">
        <v>43</v>
      </c>
      <c r="S590">
        <v>3</v>
      </c>
      <c r="T590">
        <v>30</v>
      </c>
      <c r="U590">
        <v>3</v>
      </c>
      <c r="V590">
        <v>4</v>
      </c>
      <c r="W590">
        <v>3</v>
      </c>
      <c r="X590">
        <v>0</v>
      </c>
      <c r="Y590">
        <v>3</v>
      </c>
      <c r="Z590" t="s">
        <v>106</v>
      </c>
      <c r="AA590" t="s">
        <v>82</v>
      </c>
      <c r="AB590" t="str" cm="1">
        <f t="array" ref="AB590">_xlfn.IFS(cleaned_data[[#This Row],[YearsAtCompany]]&lt;=5, "0-5",cleaned_data[[#This Row],[YearsAtCompany]]&lt;=10,"6-10",TRUE,"10+")</f>
        <v>0-5</v>
      </c>
    </row>
    <row r="591" spans="1:28" x14ac:dyDescent="0.3">
      <c r="A591" s="2">
        <v>29</v>
      </c>
      <c r="B591" t="s">
        <v>35</v>
      </c>
      <c r="C591">
        <v>1</v>
      </c>
      <c r="D591" t="s">
        <v>36</v>
      </c>
      <c r="E591" t="s">
        <v>45</v>
      </c>
      <c r="F591">
        <v>1</v>
      </c>
      <c r="G591" t="s">
        <v>38</v>
      </c>
      <c r="H591" t="s">
        <v>661</v>
      </c>
      <c r="I591">
        <v>2</v>
      </c>
      <c r="J591" t="s">
        <v>39</v>
      </c>
      <c r="K591">
        <v>2</v>
      </c>
      <c r="L591">
        <v>1</v>
      </c>
      <c r="M591" t="s">
        <v>50</v>
      </c>
      <c r="N591">
        <v>1</v>
      </c>
      <c r="O591" t="s">
        <v>48</v>
      </c>
      <c r="P591" s="6">
        <v>2319</v>
      </c>
      <c r="Q591" t="s">
        <v>72</v>
      </c>
      <c r="R591" t="s">
        <v>35</v>
      </c>
      <c r="S591">
        <v>3</v>
      </c>
      <c r="T591">
        <v>1</v>
      </c>
      <c r="U591">
        <v>3</v>
      </c>
      <c r="V591">
        <v>1</v>
      </c>
      <c r="W591">
        <v>0</v>
      </c>
      <c r="X591">
        <v>0</v>
      </c>
      <c r="Y591">
        <v>0</v>
      </c>
      <c r="Z591" t="s">
        <v>1551</v>
      </c>
      <c r="AA591" t="s">
        <v>78</v>
      </c>
      <c r="AB591" t="str" cm="1">
        <f t="array" ref="AB591">_xlfn.IFS(cleaned_data[[#This Row],[YearsAtCompany]]&lt;=5, "0-5",cleaned_data[[#This Row],[YearsAtCompany]]&lt;=10,"6-10",TRUE,"10+")</f>
        <v>0-5</v>
      </c>
    </row>
    <row r="592" spans="1:28" x14ac:dyDescent="0.3">
      <c r="A592" s="2">
        <v>33</v>
      </c>
      <c r="B592" t="s">
        <v>43</v>
      </c>
      <c r="C592">
        <v>0</v>
      </c>
      <c r="D592" t="s">
        <v>36</v>
      </c>
      <c r="E592" t="s">
        <v>45</v>
      </c>
      <c r="F592">
        <v>7</v>
      </c>
      <c r="G592" t="s">
        <v>51</v>
      </c>
      <c r="H592" t="s">
        <v>662</v>
      </c>
      <c r="I592">
        <v>3</v>
      </c>
      <c r="J592" t="s">
        <v>46</v>
      </c>
      <c r="K592">
        <v>3</v>
      </c>
      <c r="L592">
        <v>3</v>
      </c>
      <c r="M592" t="s">
        <v>58</v>
      </c>
      <c r="N592">
        <v>3</v>
      </c>
      <c r="O592" t="s">
        <v>48</v>
      </c>
      <c r="P592" s="1">
        <v>11691</v>
      </c>
      <c r="Q592" t="s">
        <v>67</v>
      </c>
      <c r="R592" t="s">
        <v>43</v>
      </c>
      <c r="S592">
        <v>3</v>
      </c>
      <c r="T592">
        <v>14</v>
      </c>
      <c r="U592">
        <v>4</v>
      </c>
      <c r="V592">
        <v>13</v>
      </c>
      <c r="W592">
        <v>9</v>
      </c>
      <c r="X592">
        <v>3</v>
      </c>
      <c r="Y592">
        <v>7</v>
      </c>
      <c r="Z592" t="s">
        <v>1551</v>
      </c>
      <c r="AA592" t="s">
        <v>69</v>
      </c>
      <c r="AB592" t="str" cm="1">
        <f t="array" ref="AB592">_xlfn.IFS(cleaned_data[[#This Row],[YearsAtCompany]]&lt;=5, "0-5",cleaned_data[[#This Row],[YearsAtCompany]]&lt;=10,"6-10",TRUE,"10+")</f>
        <v>10+</v>
      </c>
    </row>
    <row r="593" spans="1:28" x14ac:dyDescent="0.3">
      <c r="A593" s="2">
        <v>33</v>
      </c>
      <c r="B593" t="s">
        <v>35</v>
      </c>
      <c r="C593">
        <v>1</v>
      </c>
      <c r="D593" t="s">
        <v>36</v>
      </c>
      <c r="E593" t="s">
        <v>37</v>
      </c>
      <c r="F593">
        <v>16</v>
      </c>
      <c r="G593" t="s">
        <v>59</v>
      </c>
      <c r="H593" t="s">
        <v>663</v>
      </c>
      <c r="I593">
        <v>1</v>
      </c>
      <c r="J593" t="s">
        <v>39</v>
      </c>
      <c r="K593">
        <v>3</v>
      </c>
      <c r="L593">
        <v>2</v>
      </c>
      <c r="M593" t="s">
        <v>40</v>
      </c>
      <c r="N593">
        <v>1</v>
      </c>
      <c r="O593" t="s">
        <v>41</v>
      </c>
      <c r="P593" s="6">
        <v>5324</v>
      </c>
      <c r="Q593" t="s">
        <v>67</v>
      </c>
      <c r="R593" t="s">
        <v>43</v>
      </c>
      <c r="S593">
        <v>3</v>
      </c>
      <c r="T593">
        <v>6</v>
      </c>
      <c r="U593">
        <v>3</v>
      </c>
      <c r="V593">
        <v>3</v>
      </c>
      <c r="W593">
        <v>2</v>
      </c>
      <c r="X593">
        <v>0</v>
      </c>
      <c r="Y593">
        <v>2</v>
      </c>
      <c r="Z593" t="s">
        <v>1551</v>
      </c>
      <c r="AA593" t="s">
        <v>69</v>
      </c>
      <c r="AB593" t="str" cm="1">
        <f t="array" ref="AB593">_xlfn.IFS(cleaned_data[[#This Row],[YearsAtCompany]]&lt;=5, "0-5",cleaned_data[[#This Row],[YearsAtCompany]]&lt;=10,"6-10",TRUE,"10+")</f>
        <v>0-5</v>
      </c>
    </row>
    <row r="594" spans="1:28" x14ac:dyDescent="0.3">
      <c r="A594" s="2">
        <v>47</v>
      </c>
      <c r="B594" t="s">
        <v>43</v>
      </c>
      <c r="C594">
        <v>0</v>
      </c>
      <c r="D594" t="s">
        <v>36</v>
      </c>
      <c r="E594" t="s">
        <v>45</v>
      </c>
      <c r="F594">
        <v>2</v>
      </c>
      <c r="G594" t="s">
        <v>49</v>
      </c>
      <c r="H594" t="s">
        <v>664</v>
      </c>
      <c r="I594">
        <v>3</v>
      </c>
      <c r="J594" t="s">
        <v>39</v>
      </c>
      <c r="K594">
        <v>3</v>
      </c>
      <c r="L594">
        <v>4</v>
      </c>
      <c r="M594" t="s">
        <v>56</v>
      </c>
      <c r="N594">
        <v>4</v>
      </c>
      <c r="O594" t="s">
        <v>48</v>
      </c>
      <c r="P594" s="1">
        <v>16752</v>
      </c>
      <c r="Q594" t="s">
        <v>90</v>
      </c>
      <c r="R594" t="s">
        <v>35</v>
      </c>
      <c r="S594">
        <v>3</v>
      </c>
      <c r="T594">
        <v>26</v>
      </c>
      <c r="U594">
        <v>2</v>
      </c>
      <c r="V594">
        <v>26</v>
      </c>
      <c r="W594">
        <v>14</v>
      </c>
      <c r="X594">
        <v>3</v>
      </c>
      <c r="Y594">
        <v>0</v>
      </c>
      <c r="Z594" t="s">
        <v>106</v>
      </c>
      <c r="AA594" t="s">
        <v>82</v>
      </c>
      <c r="AB594" t="str" cm="1">
        <f t="array" ref="AB594">_xlfn.IFS(cleaned_data[[#This Row],[YearsAtCompany]]&lt;=5, "0-5",cleaned_data[[#This Row],[YearsAtCompany]]&lt;=10,"6-10",TRUE,"10+")</f>
        <v>10+</v>
      </c>
    </row>
    <row r="595" spans="1:28" x14ac:dyDescent="0.3">
      <c r="A595" s="2">
        <v>36</v>
      </c>
      <c r="B595" t="s">
        <v>43</v>
      </c>
      <c r="C595">
        <v>0</v>
      </c>
      <c r="D595" t="s">
        <v>36</v>
      </c>
      <c r="E595" t="s">
        <v>45</v>
      </c>
      <c r="F595">
        <v>1</v>
      </c>
      <c r="G595" t="s">
        <v>49</v>
      </c>
      <c r="H595" t="s">
        <v>665</v>
      </c>
      <c r="I595">
        <v>3</v>
      </c>
      <c r="J595" t="s">
        <v>39</v>
      </c>
      <c r="K595">
        <v>3</v>
      </c>
      <c r="L595">
        <v>2</v>
      </c>
      <c r="M595" t="s">
        <v>53</v>
      </c>
      <c r="N595">
        <v>2</v>
      </c>
      <c r="O595" t="s">
        <v>48</v>
      </c>
      <c r="P595" s="1">
        <v>5228</v>
      </c>
      <c r="Q595" t="s">
        <v>67</v>
      </c>
      <c r="R595" t="s">
        <v>43</v>
      </c>
      <c r="S595">
        <v>3</v>
      </c>
      <c r="T595">
        <v>10</v>
      </c>
      <c r="U595">
        <v>3</v>
      </c>
      <c r="V595">
        <v>9</v>
      </c>
      <c r="W595">
        <v>7</v>
      </c>
      <c r="X595">
        <v>0</v>
      </c>
      <c r="Y595">
        <v>5</v>
      </c>
      <c r="Z595" t="s">
        <v>1550</v>
      </c>
      <c r="AA595" t="s">
        <v>69</v>
      </c>
      <c r="AB595" t="str" cm="1">
        <f t="array" ref="AB595">_xlfn.IFS(cleaned_data[[#This Row],[YearsAtCompany]]&lt;=5, "0-5",cleaned_data[[#This Row],[YearsAtCompany]]&lt;=10,"6-10",TRUE,"10+")</f>
        <v>6-10</v>
      </c>
    </row>
    <row r="596" spans="1:28" x14ac:dyDescent="0.3">
      <c r="A596" s="2">
        <v>29</v>
      </c>
      <c r="B596" t="s">
        <v>43</v>
      </c>
      <c r="C596">
        <v>0</v>
      </c>
      <c r="D596" t="s">
        <v>36</v>
      </c>
      <c r="E596" t="s">
        <v>45</v>
      </c>
      <c r="F596">
        <v>23</v>
      </c>
      <c r="G596" t="s">
        <v>38</v>
      </c>
      <c r="H596" t="s">
        <v>666</v>
      </c>
      <c r="I596">
        <v>3</v>
      </c>
      <c r="J596" t="s">
        <v>46</v>
      </c>
      <c r="K596">
        <v>4</v>
      </c>
      <c r="L596">
        <v>1</v>
      </c>
      <c r="M596" t="s">
        <v>47</v>
      </c>
      <c r="N596">
        <v>3</v>
      </c>
      <c r="O596" t="s">
        <v>48</v>
      </c>
      <c r="P596" s="1">
        <v>2700</v>
      </c>
      <c r="Q596" t="s">
        <v>72</v>
      </c>
      <c r="R596" t="s">
        <v>43</v>
      </c>
      <c r="S596">
        <v>4</v>
      </c>
      <c r="T596">
        <v>10</v>
      </c>
      <c r="U596">
        <v>3</v>
      </c>
      <c r="V596">
        <v>10</v>
      </c>
      <c r="W596">
        <v>7</v>
      </c>
      <c r="X596">
        <v>0</v>
      </c>
      <c r="Y596">
        <v>7</v>
      </c>
      <c r="Z596" t="s">
        <v>1551</v>
      </c>
      <c r="AA596" t="s">
        <v>69</v>
      </c>
      <c r="AB596" t="str" cm="1">
        <f t="array" ref="AB596">_xlfn.IFS(cleaned_data[[#This Row],[YearsAtCompany]]&lt;=5, "0-5",cleaned_data[[#This Row],[YearsAtCompany]]&lt;=10,"6-10",TRUE,"10+")</f>
        <v>6-10</v>
      </c>
    </row>
    <row r="597" spans="1:28" x14ac:dyDescent="0.3">
      <c r="A597" s="2">
        <v>58</v>
      </c>
      <c r="B597" t="s">
        <v>35</v>
      </c>
      <c r="C597">
        <v>1</v>
      </c>
      <c r="D597" t="s">
        <v>36</v>
      </c>
      <c r="E597" t="s">
        <v>45</v>
      </c>
      <c r="F597">
        <v>2</v>
      </c>
      <c r="G597" t="s">
        <v>38</v>
      </c>
      <c r="H597" t="s">
        <v>667</v>
      </c>
      <c r="I597">
        <v>4</v>
      </c>
      <c r="J597" t="s">
        <v>46</v>
      </c>
      <c r="K597">
        <v>3</v>
      </c>
      <c r="L597">
        <v>5</v>
      </c>
      <c r="M597" t="s">
        <v>58</v>
      </c>
      <c r="N597">
        <v>2</v>
      </c>
      <c r="O597" t="s">
        <v>41</v>
      </c>
      <c r="P597" s="1">
        <v>19246</v>
      </c>
      <c r="Q597" t="s">
        <v>90</v>
      </c>
      <c r="R597" t="s">
        <v>35</v>
      </c>
      <c r="S597">
        <v>3</v>
      </c>
      <c r="T597">
        <v>40</v>
      </c>
      <c r="U597">
        <v>3</v>
      </c>
      <c r="V597">
        <v>31</v>
      </c>
      <c r="W597">
        <v>15</v>
      </c>
      <c r="X597">
        <v>13</v>
      </c>
      <c r="Y597">
        <v>8</v>
      </c>
      <c r="Z597" t="s">
        <v>106</v>
      </c>
      <c r="AA597" t="s">
        <v>82</v>
      </c>
      <c r="AB597" t="str" cm="1">
        <f t="array" ref="AB597">_xlfn.IFS(cleaned_data[[#This Row],[YearsAtCompany]]&lt;=5, "0-5",cleaned_data[[#This Row],[YearsAtCompany]]&lt;=10,"6-10",TRUE,"10+")</f>
        <v>10+</v>
      </c>
    </row>
    <row r="598" spans="1:28" x14ac:dyDescent="0.3">
      <c r="A598" s="2">
        <v>35</v>
      </c>
      <c r="B598" t="s">
        <v>43</v>
      </c>
      <c r="C598">
        <v>0</v>
      </c>
      <c r="D598" t="s">
        <v>36</v>
      </c>
      <c r="E598" t="s">
        <v>45</v>
      </c>
      <c r="F598">
        <v>1</v>
      </c>
      <c r="G598" t="s">
        <v>38</v>
      </c>
      <c r="H598" t="s">
        <v>668</v>
      </c>
      <c r="I598">
        <v>4</v>
      </c>
      <c r="J598" t="s">
        <v>39</v>
      </c>
      <c r="K598">
        <v>4</v>
      </c>
      <c r="L598">
        <v>1</v>
      </c>
      <c r="M598" t="s">
        <v>47</v>
      </c>
      <c r="N598">
        <v>3</v>
      </c>
      <c r="O598" t="s">
        <v>41</v>
      </c>
      <c r="P598" s="1">
        <v>2506</v>
      </c>
      <c r="Q598" t="s">
        <v>72</v>
      </c>
      <c r="R598" t="s">
        <v>43</v>
      </c>
      <c r="S598">
        <v>3</v>
      </c>
      <c r="T598">
        <v>7</v>
      </c>
      <c r="U598">
        <v>3</v>
      </c>
      <c r="V598">
        <v>2</v>
      </c>
      <c r="W598">
        <v>2</v>
      </c>
      <c r="X598">
        <v>2</v>
      </c>
      <c r="Y598">
        <v>2</v>
      </c>
      <c r="Z598" t="s">
        <v>1551</v>
      </c>
      <c r="AA598" t="s">
        <v>69</v>
      </c>
      <c r="AB598" t="str" cm="1">
        <f t="array" ref="AB598">_xlfn.IFS(cleaned_data[[#This Row],[YearsAtCompany]]&lt;=5, "0-5",cleaned_data[[#This Row],[YearsAtCompany]]&lt;=10,"6-10",TRUE,"10+")</f>
        <v>0-5</v>
      </c>
    </row>
    <row r="599" spans="1:28" x14ac:dyDescent="0.3">
      <c r="A599" s="2">
        <v>42</v>
      </c>
      <c r="B599" t="s">
        <v>43</v>
      </c>
      <c r="C599">
        <v>0</v>
      </c>
      <c r="D599" t="s">
        <v>36</v>
      </c>
      <c r="E599" t="s">
        <v>45</v>
      </c>
      <c r="F599">
        <v>1</v>
      </c>
      <c r="G599" t="s">
        <v>38</v>
      </c>
      <c r="H599" t="s">
        <v>669</v>
      </c>
      <c r="I599">
        <v>4</v>
      </c>
      <c r="J599" t="s">
        <v>39</v>
      </c>
      <c r="K599">
        <v>2</v>
      </c>
      <c r="L599">
        <v>2</v>
      </c>
      <c r="M599" t="s">
        <v>53</v>
      </c>
      <c r="N599">
        <v>4</v>
      </c>
      <c r="O599" t="s">
        <v>48</v>
      </c>
      <c r="P599" s="1">
        <v>6062</v>
      </c>
      <c r="Q599" t="s">
        <v>67</v>
      </c>
      <c r="R599" t="s">
        <v>35</v>
      </c>
      <c r="S599">
        <v>3</v>
      </c>
      <c r="T599">
        <v>8</v>
      </c>
      <c r="U599">
        <v>3</v>
      </c>
      <c r="V599">
        <v>4</v>
      </c>
      <c r="W599">
        <v>3</v>
      </c>
      <c r="X599">
        <v>0</v>
      </c>
      <c r="Y599">
        <v>2</v>
      </c>
      <c r="Z599" t="s">
        <v>1550</v>
      </c>
      <c r="AA599" t="s">
        <v>69</v>
      </c>
      <c r="AB599" t="str" cm="1">
        <f t="array" ref="AB599">_xlfn.IFS(cleaned_data[[#This Row],[YearsAtCompany]]&lt;=5, "0-5",cleaned_data[[#This Row],[YearsAtCompany]]&lt;=10,"6-10",TRUE,"10+")</f>
        <v>0-5</v>
      </c>
    </row>
    <row r="600" spans="1:28" x14ac:dyDescent="0.3">
      <c r="A600" s="2">
        <v>28</v>
      </c>
      <c r="B600" t="s">
        <v>35</v>
      </c>
      <c r="C600">
        <v>1</v>
      </c>
      <c r="D600" t="s">
        <v>36</v>
      </c>
      <c r="E600" t="s">
        <v>45</v>
      </c>
      <c r="F600">
        <v>2</v>
      </c>
      <c r="G600" t="s">
        <v>51</v>
      </c>
      <c r="H600" t="s">
        <v>670</v>
      </c>
      <c r="I600">
        <v>3</v>
      </c>
      <c r="J600" t="s">
        <v>46</v>
      </c>
      <c r="K600">
        <v>3</v>
      </c>
      <c r="L600">
        <v>1</v>
      </c>
      <c r="M600" t="s">
        <v>47</v>
      </c>
      <c r="N600">
        <v>3</v>
      </c>
      <c r="O600" t="s">
        <v>41</v>
      </c>
      <c r="P600" s="1">
        <v>4382</v>
      </c>
      <c r="Q600" t="s">
        <v>72</v>
      </c>
      <c r="R600" t="s">
        <v>43</v>
      </c>
      <c r="S600">
        <v>3</v>
      </c>
      <c r="T600">
        <v>5</v>
      </c>
      <c r="U600">
        <v>2</v>
      </c>
      <c r="V600">
        <v>2</v>
      </c>
      <c r="W600">
        <v>2</v>
      </c>
      <c r="X600">
        <v>2</v>
      </c>
      <c r="Y600">
        <v>1</v>
      </c>
      <c r="Z600" t="s">
        <v>1551</v>
      </c>
      <c r="AA600" t="s">
        <v>78</v>
      </c>
      <c r="AB600" t="str" cm="1">
        <f t="array" ref="AB600">_xlfn.IFS(cleaned_data[[#This Row],[YearsAtCompany]]&lt;=5, "0-5",cleaned_data[[#This Row],[YearsAtCompany]]&lt;=10,"6-10",TRUE,"10+")</f>
        <v>0-5</v>
      </c>
    </row>
    <row r="601" spans="1:28" x14ac:dyDescent="0.3">
      <c r="A601" s="2">
        <v>36</v>
      </c>
      <c r="B601" t="s">
        <v>43</v>
      </c>
      <c r="C601">
        <v>0</v>
      </c>
      <c r="D601" t="s">
        <v>36</v>
      </c>
      <c r="E601" t="s">
        <v>61</v>
      </c>
      <c r="F601">
        <v>13</v>
      </c>
      <c r="G601" t="s">
        <v>61</v>
      </c>
      <c r="H601" t="s">
        <v>671</v>
      </c>
      <c r="I601">
        <v>3</v>
      </c>
      <c r="J601" t="s">
        <v>46</v>
      </c>
      <c r="K601">
        <v>3</v>
      </c>
      <c r="L601">
        <v>1</v>
      </c>
      <c r="M601" t="s">
        <v>61</v>
      </c>
      <c r="N601">
        <v>2</v>
      </c>
      <c r="O601" t="s">
        <v>48</v>
      </c>
      <c r="P601" s="1">
        <v>2143</v>
      </c>
      <c r="Q601" t="s">
        <v>72</v>
      </c>
      <c r="R601" t="s">
        <v>43</v>
      </c>
      <c r="S601">
        <v>3</v>
      </c>
      <c r="T601">
        <v>8</v>
      </c>
      <c r="U601">
        <v>3</v>
      </c>
      <c r="V601">
        <v>5</v>
      </c>
      <c r="W601">
        <v>2</v>
      </c>
      <c r="X601">
        <v>0</v>
      </c>
      <c r="Y601">
        <v>4</v>
      </c>
      <c r="Z601" t="s">
        <v>1550</v>
      </c>
      <c r="AA601" t="s">
        <v>69</v>
      </c>
      <c r="AB601" t="str" cm="1">
        <f t="array" ref="AB601">_xlfn.IFS(cleaned_data[[#This Row],[YearsAtCompany]]&lt;=5, "0-5",cleaned_data[[#This Row],[YearsAtCompany]]&lt;=10,"6-10",TRUE,"10+")</f>
        <v>0-5</v>
      </c>
    </row>
    <row r="602" spans="1:28" x14ac:dyDescent="0.3">
      <c r="A602" s="2">
        <v>32</v>
      </c>
      <c r="B602" t="s">
        <v>43</v>
      </c>
      <c r="C602">
        <v>0</v>
      </c>
      <c r="D602" t="s">
        <v>36</v>
      </c>
      <c r="E602" t="s">
        <v>45</v>
      </c>
      <c r="F602">
        <v>4</v>
      </c>
      <c r="G602" t="s">
        <v>38</v>
      </c>
      <c r="H602" t="s">
        <v>672</v>
      </c>
      <c r="I602">
        <v>3</v>
      </c>
      <c r="J602" t="s">
        <v>39</v>
      </c>
      <c r="K602">
        <v>2</v>
      </c>
      <c r="L602">
        <v>2</v>
      </c>
      <c r="M602" t="s">
        <v>53</v>
      </c>
      <c r="N602">
        <v>3</v>
      </c>
      <c r="O602" t="s">
        <v>48</v>
      </c>
      <c r="P602" s="1">
        <v>6162</v>
      </c>
      <c r="Q602" t="s">
        <v>67</v>
      </c>
      <c r="R602" t="s">
        <v>43</v>
      </c>
      <c r="S602">
        <v>3</v>
      </c>
      <c r="T602">
        <v>14</v>
      </c>
      <c r="U602">
        <v>3</v>
      </c>
      <c r="V602">
        <v>14</v>
      </c>
      <c r="W602">
        <v>13</v>
      </c>
      <c r="X602">
        <v>6</v>
      </c>
      <c r="Y602">
        <v>8</v>
      </c>
      <c r="Z602" t="s">
        <v>1551</v>
      </c>
      <c r="AA602" t="s">
        <v>69</v>
      </c>
      <c r="AB602" t="str" cm="1">
        <f t="array" ref="AB602">_xlfn.IFS(cleaned_data[[#This Row],[YearsAtCompany]]&lt;=5, "0-5",cleaned_data[[#This Row],[YearsAtCompany]]&lt;=10,"6-10",TRUE,"10+")</f>
        <v>10+</v>
      </c>
    </row>
    <row r="603" spans="1:28" x14ac:dyDescent="0.3">
      <c r="A603" s="2">
        <v>40</v>
      </c>
      <c r="B603" t="s">
        <v>43</v>
      </c>
      <c r="C603">
        <v>0</v>
      </c>
      <c r="D603" t="s">
        <v>44</v>
      </c>
      <c r="E603" t="s">
        <v>45</v>
      </c>
      <c r="F603">
        <v>16</v>
      </c>
      <c r="G603" t="s">
        <v>51</v>
      </c>
      <c r="H603" t="s">
        <v>673</v>
      </c>
      <c r="I603">
        <v>1</v>
      </c>
      <c r="J603" t="s">
        <v>46</v>
      </c>
      <c r="K603">
        <v>2</v>
      </c>
      <c r="L603">
        <v>2</v>
      </c>
      <c r="M603" t="s">
        <v>50</v>
      </c>
      <c r="N603">
        <v>3</v>
      </c>
      <c r="O603" t="s">
        <v>41</v>
      </c>
      <c r="P603" s="1">
        <v>5094</v>
      </c>
      <c r="Q603" t="s">
        <v>67</v>
      </c>
      <c r="R603" t="s">
        <v>43</v>
      </c>
      <c r="S603">
        <v>3</v>
      </c>
      <c r="T603">
        <v>10</v>
      </c>
      <c r="U603">
        <v>3</v>
      </c>
      <c r="V603">
        <v>1</v>
      </c>
      <c r="W603">
        <v>0</v>
      </c>
      <c r="X603">
        <v>0</v>
      </c>
      <c r="Y603">
        <v>0</v>
      </c>
      <c r="Z603" t="s">
        <v>1550</v>
      </c>
      <c r="AA603" t="s">
        <v>69</v>
      </c>
      <c r="AB603" t="str" cm="1">
        <f t="array" ref="AB603">_xlfn.IFS(cleaned_data[[#This Row],[YearsAtCompany]]&lt;=5, "0-5",cleaned_data[[#This Row],[YearsAtCompany]]&lt;=10,"6-10",TRUE,"10+")</f>
        <v>0-5</v>
      </c>
    </row>
    <row r="604" spans="1:28" x14ac:dyDescent="0.3">
      <c r="A604" s="2">
        <v>30</v>
      </c>
      <c r="B604" t="s">
        <v>43</v>
      </c>
      <c r="C604">
        <v>0</v>
      </c>
      <c r="D604" t="s">
        <v>36</v>
      </c>
      <c r="E604" t="s">
        <v>45</v>
      </c>
      <c r="F604">
        <v>2</v>
      </c>
      <c r="G604" t="s">
        <v>51</v>
      </c>
      <c r="H604" t="s">
        <v>674</v>
      </c>
      <c r="I604">
        <v>3</v>
      </c>
      <c r="J604" t="s">
        <v>39</v>
      </c>
      <c r="K604">
        <v>2</v>
      </c>
      <c r="L604">
        <v>2</v>
      </c>
      <c r="M604" t="s">
        <v>53</v>
      </c>
      <c r="N604">
        <v>4</v>
      </c>
      <c r="O604" t="s">
        <v>41</v>
      </c>
      <c r="P604" s="1">
        <v>6877</v>
      </c>
      <c r="Q604" t="s">
        <v>67</v>
      </c>
      <c r="R604" t="s">
        <v>35</v>
      </c>
      <c r="S604">
        <v>4</v>
      </c>
      <c r="T604">
        <v>12</v>
      </c>
      <c r="U604">
        <v>2</v>
      </c>
      <c r="V604">
        <v>0</v>
      </c>
      <c r="W604">
        <v>0</v>
      </c>
      <c r="X604">
        <v>0</v>
      </c>
      <c r="Y604">
        <v>0</v>
      </c>
      <c r="Z604" t="s">
        <v>1551</v>
      </c>
      <c r="AA604" t="s">
        <v>69</v>
      </c>
      <c r="AB604" t="str" cm="1">
        <f t="array" ref="AB604">_xlfn.IFS(cleaned_data[[#This Row],[YearsAtCompany]]&lt;=5, "0-5",cleaned_data[[#This Row],[YearsAtCompany]]&lt;=10,"6-10",TRUE,"10+")</f>
        <v>0-5</v>
      </c>
    </row>
    <row r="605" spans="1:28" x14ac:dyDescent="0.3">
      <c r="A605" s="2">
        <v>45</v>
      </c>
      <c r="B605" t="s">
        <v>43</v>
      </c>
      <c r="C605">
        <v>0</v>
      </c>
      <c r="D605" t="s">
        <v>36</v>
      </c>
      <c r="E605" t="s">
        <v>45</v>
      </c>
      <c r="F605">
        <v>2</v>
      </c>
      <c r="G605" t="s">
        <v>38</v>
      </c>
      <c r="H605" t="s">
        <v>675</v>
      </c>
      <c r="I605">
        <v>2</v>
      </c>
      <c r="J605" t="s">
        <v>39</v>
      </c>
      <c r="K605">
        <v>2</v>
      </c>
      <c r="L605">
        <v>1</v>
      </c>
      <c r="M605" t="s">
        <v>47</v>
      </c>
      <c r="N605">
        <v>3</v>
      </c>
      <c r="O605" t="s">
        <v>41</v>
      </c>
      <c r="P605" s="1">
        <v>2274</v>
      </c>
      <c r="Q605" t="s">
        <v>72</v>
      </c>
      <c r="R605" t="s">
        <v>43</v>
      </c>
      <c r="S605">
        <v>3</v>
      </c>
      <c r="T605">
        <v>1</v>
      </c>
      <c r="U605">
        <v>3</v>
      </c>
      <c r="V605">
        <v>1</v>
      </c>
      <c r="W605">
        <v>0</v>
      </c>
      <c r="X605">
        <v>0</v>
      </c>
      <c r="Y605">
        <v>0</v>
      </c>
      <c r="Z605" t="s">
        <v>1550</v>
      </c>
      <c r="AA605" t="s">
        <v>78</v>
      </c>
      <c r="AB605" t="str" cm="1">
        <f t="array" ref="AB605">_xlfn.IFS(cleaned_data[[#This Row],[YearsAtCompany]]&lt;=5, "0-5",cleaned_data[[#This Row],[YearsAtCompany]]&lt;=10,"6-10",TRUE,"10+")</f>
        <v>0-5</v>
      </c>
    </row>
    <row r="606" spans="1:28" x14ac:dyDescent="0.3">
      <c r="A606" s="2">
        <v>42</v>
      </c>
      <c r="B606" t="s">
        <v>43</v>
      </c>
      <c r="C606">
        <v>0</v>
      </c>
      <c r="D606" t="s">
        <v>36</v>
      </c>
      <c r="E606" t="s">
        <v>45</v>
      </c>
      <c r="F606">
        <v>29</v>
      </c>
      <c r="G606" t="s">
        <v>38</v>
      </c>
      <c r="H606" t="s">
        <v>676</v>
      </c>
      <c r="I606">
        <v>2</v>
      </c>
      <c r="J606" t="s">
        <v>46</v>
      </c>
      <c r="K606">
        <v>3</v>
      </c>
      <c r="L606">
        <v>2</v>
      </c>
      <c r="M606" t="s">
        <v>53</v>
      </c>
      <c r="N606">
        <v>2</v>
      </c>
      <c r="O606" t="s">
        <v>48</v>
      </c>
      <c r="P606" s="1">
        <v>4434</v>
      </c>
      <c r="Q606" t="s">
        <v>72</v>
      </c>
      <c r="R606" t="s">
        <v>43</v>
      </c>
      <c r="S606">
        <v>3</v>
      </c>
      <c r="T606">
        <v>10</v>
      </c>
      <c r="U606">
        <v>2</v>
      </c>
      <c r="V606">
        <v>9</v>
      </c>
      <c r="W606">
        <v>8</v>
      </c>
      <c r="X606">
        <v>7</v>
      </c>
      <c r="Y606">
        <v>8</v>
      </c>
      <c r="Z606" t="s">
        <v>1550</v>
      </c>
      <c r="AA606" t="s">
        <v>69</v>
      </c>
      <c r="AB606" t="str" cm="1">
        <f t="array" ref="AB606">_xlfn.IFS(cleaned_data[[#This Row],[YearsAtCompany]]&lt;=5, "0-5",cleaned_data[[#This Row],[YearsAtCompany]]&lt;=10,"6-10",TRUE,"10+")</f>
        <v>6-10</v>
      </c>
    </row>
    <row r="607" spans="1:28" x14ac:dyDescent="0.3">
      <c r="A607" s="2">
        <v>38</v>
      </c>
      <c r="B607" t="s">
        <v>43</v>
      </c>
      <c r="C607">
        <v>0</v>
      </c>
      <c r="D607" t="s">
        <v>44</v>
      </c>
      <c r="E607" t="s">
        <v>45</v>
      </c>
      <c r="F607">
        <v>12</v>
      </c>
      <c r="G607" t="s">
        <v>38</v>
      </c>
      <c r="H607" t="s">
        <v>677</v>
      </c>
      <c r="I607">
        <v>1</v>
      </c>
      <c r="J607" t="s">
        <v>46</v>
      </c>
      <c r="K607">
        <v>2</v>
      </c>
      <c r="L607">
        <v>2</v>
      </c>
      <c r="M607" t="s">
        <v>54</v>
      </c>
      <c r="N607">
        <v>1</v>
      </c>
      <c r="O607" t="s">
        <v>52</v>
      </c>
      <c r="P607" s="6">
        <v>6288</v>
      </c>
      <c r="Q607" t="s">
        <v>67</v>
      </c>
      <c r="R607" t="s">
        <v>43</v>
      </c>
      <c r="S607">
        <v>3</v>
      </c>
      <c r="T607">
        <v>13</v>
      </c>
      <c r="U607">
        <v>2</v>
      </c>
      <c r="V607">
        <v>4</v>
      </c>
      <c r="W607">
        <v>3</v>
      </c>
      <c r="X607">
        <v>1</v>
      </c>
      <c r="Y607">
        <v>2</v>
      </c>
      <c r="Z607" t="s">
        <v>1550</v>
      </c>
      <c r="AA607" t="s">
        <v>69</v>
      </c>
      <c r="AB607" t="str" cm="1">
        <f t="array" ref="AB607">_xlfn.IFS(cleaned_data[[#This Row],[YearsAtCompany]]&lt;=5, "0-5",cleaned_data[[#This Row],[YearsAtCompany]]&lt;=10,"6-10",TRUE,"10+")</f>
        <v>0-5</v>
      </c>
    </row>
    <row r="608" spans="1:28" x14ac:dyDescent="0.3">
      <c r="A608" s="2">
        <v>34</v>
      </c>
      <c r="B608" t="s">
        <v>43</v>
      </c>
      <c r="C608">
        <v>0</v>
      </c>
      <c r="D608" t="s">
        <v>44</v>
      </c>
      <c r="E608" t="s">
        <v>45</v>
      </c>
      <c r="F608">
        <v>16</v>
      </c>
      <c r="G608" t="s">
        <v>38</v>
      </c>
      <c r="H608" t="s">
        <v>678</v>
      </c>
      <c r="I608">
        <v>3</v>
      </c>
      <c r="J608" t="s">
        <v>39</v>
      </c>
      <c r="K608">
        <v>2</v>
      </c>
      <c r="L608">
        <v>1</v>
      </c>
      <c r="M608" t="s">
        <v>47</v>
      </c>
      <c r="N608">
        <v>4</v>
      </c>
      <c r="O608" t="s">
        <v>41</v>
      </c>
      <c r="P608" s="1">
        <v>2553</v>
      </c>
      <c r="Q608" t="s">
        <v>72</v>
      </c>
      <c r="R608" t="s">
        <v>43</v>
      </c>
      <c r="S608">
        <v>3</v>
      </c>
      <c r="T608">
        <v>6</v>
      </c>
      <c r="U608">
        <v>3</v>
      </c>
      <c r="V608">
        <v>5</v>
      </c>
      <c r="W608">
        <v>2</v>
      </c>
      <c r="X608">
        <v>1</v>
      </c>
      <c r="Y608">
        <v>3</v>
      </c>
      <c r="Z608" t="s">
        <v>1551</v>
      </c>
      <c r="AA608" t="s">
        <v>69</v>
      </c>
      <c r="AB608" t="str" cm="1">
        <f t="array" ref="AB608">_xlfn.IFS(cleaned_data[[#This Row],[YearsAtCompany]]&lt;=5, "0-5",cleaned_data[[#This Row],[YearsAtCompany]]&lt;=10,"6-10",TRUE,"10+")</f>
        <v>0-5</v>
      </c>
    </row>
    <row r="609" spans="1:28" x14ac:dyDescent="0.3">
      <c r="A609" s="2">
        <v>49</v>
      </c>
      <c r="B609" t="s">
        <v>35</v>
      </c>
      <c r="C609">
        <v>1</v>
      </c>
      <c r="D609" t="s">
        <v>36</v>
      </c>
      <c r="E609" t="s">
        <v>37</v>
      </c>
      <c r="F609">
        <v>11</v>
      </c>
      <c r="G609" t="s">
        <v>59</v>
      </c>
      <c r="H609" t="s">
        <v>679</v>
      </c>
      <c r="I609">
        <v>3</v>
      </c>
      <c r="J609" t="s">
        <v>39</v>
      </c>
      <c r="K609">
        <v>3</v>
      </c>
      <c r="L609">
        <v>3</v>
      </c>
      <c r="M609" t="s">
        <v>40</v>
      </c>
      <c r="N609">
        <v>4</v>
      </c>
      <c r="O609" t="s">
        <v>48</v>
      </c>
      <c r="P609" s="1">
        <v>7654</v>
      </c>
      <c r="Q609" t="s">
        <v>67</v>
      </c>
      <c r="R609" t="s">
        <v>43</v>
      </c>
      <c r="S609">
        <v>3</v>
      </c>
      <c r="T609">
        <v>9</v>
      </c>
      <c r="U609">
        <v>4</v>
      </c>
      <c r="V609">
        <v>9</v>
      </c>
      <c r="W609">
        <v>8</v>
      </c>
      <c r="X609">
        <v>7</v>
      </c>
      <c r="Y609">
        <v>7</v>
      </c>
      <c r="Z609" t="s">
        <v>106</v>
      </c>
      <c r="AA609" t="s">
        <v>69</v>
      </c>
      <c r="AB609" t="str" cm="1">
        <f t="array" ref="AB609">_xlfn.IFS(cleaned_data[[#This Row],[YearsAtCompany]]&lt;=5, "0-5",cleaned_data[[#This Row],[YearsAtCompany]]&lt;=10,"6-10",TRUE,"10+")</f>
        <v>6-10</v>
      </c>
    </row>
    <row r="610" spans="1:28" x14ac:dyDescent="0.3">
      <c r="A610" s="2">
        <v>55</v>
      </c>
      <c r="B610" t="s">
        <v>35</v>
      </c>
      <c r="C610">
        <v>1</v>
      </c>
      <c r="D610" t="s">
        <v>36</v>
      </c>
      <c r="E610" t="s">
        <v>37</v>
      </c>
      <c r="F610">
        <v>2</v>
      </c>
      <c r="G610" t="s">
        <v>51</v>
      </c>
      <c r="H610" t="s">
        <v>680</v>
      </c>
      <c r="I610">
        <v>3</v>
      </c>
      <c r="J610" t="s">
        <v>46</v>
      </c>
      <c r="K610">
        <v>3</v>
      </c>
      <c r="L610">
        <v>2</v>
      </c>
      <c r="M610" t="s">
        <v>40</v>
      </c>
      <c r="N610">
        <v>4</v>
      </c>
      <c r="O610" t="s">
        <v>41</v>
      </c>
      <c r="P610" s="1">
        <v>5160</v>
      </c>
      <c r="Q610" t="s">
        <v>67</v>
      </c>
      <c r="R610" t="s">
        <v>43</v>
      </c>
      <c r="S610">
        <v>3</v>
      </c>
      <c r="T610">
        <v>12</v>
      </c>
      <c r="U610">
        <v>2</v>
      </c>
      <c r="V610">
        <v>9</v>
      </c>
      <c r="W610">
        <v>7</v>
      </c>
      <c r="X610">
        <v>7</v>
      </c>
      <c r="Y610">
        <v>3</v>
      </c>
      <c r="Z610" t="s">
        <v>106</v>
      </c>
      <c r="AA610" t="s">
        <v>69</v>
      </c>
      <c r="AB610" t="str" cm="1">
        <f t="array" ref="AB610">_xlfn.IFS(cleaned_data[[#This Row],[YearsAtCompany]]&lt;=5, "0-5",cleaned_data[[#This Row],[YearsAtCompany]]&lt;=10,"6-10",TRUE,"10+")</f>
        <v>6-10</v>
      </c>
    </row>
    <row r="611" spans="1:28" x14ac:dyDescent="0.3">
      <c r="A611" s="2">
        <v>43</v>
      </c>
      <c r="B611" t="s">
        <v>43</v>
      </c>
      <c r="C611">
        <v>0</v>
      </c>
      <c r="D611" t="s">
        <v>36</v>
      </c>
      <c r="E611" t="s">
        <v>45</v>
      </c>
      <c r="F611">
        <v>14</v>
      </c>
      <c r="G611" t="s">
        <v>38</v>
      </c>
      <c r="H611" t="s">
        <v>681</v>
      </c>
      <c r="I611">
        <v>2</v>
      </c>
      <c r="J611" t="s">
        <v>46</v>
      </c>
      <c r="K611">
        <v>3</v>
      </c>
      <c r="L611">
        <v>4</v>
      </c>
      <c r="M611" t="s">
        <v>58</v>
      </c>
      <c r="N611">
        <v>1</v>
      </c>
      <c r="O611" t="s">
        <v>48</v>
      </c>
      <c r="P611" s="6">
        <v>17159</v>
      </c>
      <c r="Q611" t="s">
        <v>90</v>
      </c>
      <c r="R611" t="s">
        <v>43</v>
      </c>
      <c r="S611">
        <v>4</v>
      </c>
      <c r="T611">
        <v>22</v>
      </c>
      <c r="U611">
        <v>3</v>
      </c>
      <c r="V611">
        <v>4</v>
      </c>
      <c r="W611">
        <v>1</v>
      </c>
      <c r="X611">
        <v>1</v>
      </c>
      <c r="Y611">
        <v>0</v>
      </c>
      <c r="Z611" t="s">
        <v>1550</v>
      </c>
      <c r="AA611" t="s">
        <v>82</v>
      </c>
      <c r="AB611" t="str" cm="1">
        <f t="array" ref="AB611">_xlfn.IFS(cleaned_data[[#This Row],[YearsAtCompany]]&lt;=5, "0-5",cleaned_data[[#This Row],[YearsAtCompany]]&lt;=10,"6-10",TRUE,"10+")</f>
        <v>0-5</v>
      </c>
    </row>
    <row r="612" spans="1:28" x14ac:dyDescent="0.3">
      <c r="A612" s="2">
        <v>27</v>
      </c>
      <c r="B612" t="s">
        <v>43</v>
      </c>
      <c r="C612">
        <v>0</v>
      </c>
      <c r="D612" t="s">
        <v>36</v>
      </c>
      <c r="E612" t="s">
        <v>45</v>
      </c>
      <c r="F612">
        <v>5</v>
      </c>
      <c r="G612" t="s">
        <v>60</v>
      </c>
      <c r="H612" t="s">
        <v>682</v>
      </c>
      <c r="I612">
        <v>3</v>
      </c>
      <c r="J612" t="s">
        <v>46</v>
      </c>
      <c r="K612">
        <v>2</v>
      </c>
      <c r="L612">
        <v>3</v>
      </c>
      <c r="M612" t="s">
        <v>58</v>
      </c>
      <c r="N612">
        <v>4</v>
      </c>
      <c r="O612" t="s">
        <v>52</v>
      </c>
      <c r="P612" s="1">
        <v>12808</v>
      </c>
      <c r="Q612" t="s">
        <v>90</v>
      </c>
      <c r="R612" t="s">
        <v>35</v>
      </c>
      <c r="S612">
        <v>3</v>
      </c>
      <c r="T612">
        <v>9</v>
      </c>
      <c r="U612">
        <v>3</v>
      </c>
      <c r="V612">
        <v>9</v>
      </c>
      <c r="W612">
        <v>8</v>
      </c>
      <c r="X612">
        <v>0</v>
      </c>
      <c r="Y612">
        <v>8</v>
      </c>
      <c r="Z612" t="s">
        <v>1551</v>
      </c>
      <c r="AA612" t="s">
        <v>69</v>
      </c>
      <c r="AB612" t="str" cm="1">
        <f t="array" ref="AB612">_xlfn.IFS(cleaned_data[[#This Row],[YearsAtCompany]]&lt;=5, "0-5",cleaned_data[[#This Row],[YearsAtCompany]]&lt;=10,"6-10",TRUE,"10+")</f>
        <v>6-10</v>
      </c>
    </row>
    <row r="613" spans="1:28" x14ac:dyDescent="0.3">
      <c r="A613" s="2">
        <v>35</v>
      </c>
      <c r="B613" t="s">
        <v>43</v>
      </c>
      <c r="C613">
        <v>0</v>
      </c>
      <c r="D613" t="s">
        <v>36</v>
      </c>
      <c r="E613" t="s">
        <v>45</v>
      </c>
      <c r="F613">
        <v>7</v>
      </c>
      <c r="G613" t="s">
        <v>49</v>
      </c>
      <c r="H613" t="s">
        <v>683</v>
      </c>
      <c r="I613">
        <v>3</v>
      </c>
      <c r="J613" t="s">
        <v>46</v>
      </c>
      <c r="K613">
        <v>3</v>
      </c>
      <c r="L613">
        <v>3</v>
      </c>
      <c r="M613" t="s">
        <v>53</v>
      </c>
      <c r="N613">
        <v>3</v>
      </c>
      <c r="O613" t="s">
        <v>41</v>
      </c>
      <c r="P613" s="1">
        <v>10221</v>
      </c>
      <c r="Q613" t="s">
        <v>67</v>
      </c>
      <c r="R613" t="s">
        <v>43</v>
      </c>
      <c r="S613">
        <v>4</v>
      </c>
      <c r="T613">
        <v>17</v>
      </c>
      <c r="U613">
        <v>4</v>
      </c>
      <c r="V613">
        <v>8</v>
      </c>
      <c r="W613">
        <v>5</v>
      </c>
      <c r="X613">
        <v>1</v>
      </c>
      <c r="Y613">
        <v>6</v>
      </c>
      <c r="Z613" t="s">
        <v>1551</v>
      </c>
      <c r="AA613" t="s">
        <v>82</v>
      </c>
      <c r="AB613" t="str" cm="1">
        <f t="array" ref="AB613">_xlfn.IFS(cleaned_data[[#This Row],[YearsAtCompany]]&lt;=5, "0-5",cleaned_data[[#This Row],[YearsAtCompany]]&lt;=10,"6-10",TRUE,"10+")</f>
        <v>6-10</v>
      </c>
    </row>
    <row r="614" spans="1:28" x14ac:dyDescent="0.3">
      <c r="A614" s="2">
        <v>28</v>
      </c>
      <c r="B614" t="s">
        <v>43</v>
      </c>
      <c r="C614">
        <v>0</v>
      </c>
      <c r="D614" t="s">
        <v>36</v>
      </c>
      <c r="E614" t="s">
        <v>37</v>
      </c>
      <c r="F614">
        <v>2</v>
      </c>
      <c r="G614" t="s">
        <v>59</v>
      </c>
      <c r="H614" t="s">
        <v>684</v>
      </c>
      <c r="I614">
        <v>2</v>
      </c>
      <c r="J614" t="s">
        <v>39</v>
      </c>
      <c r="K614">
        <v>3</v>
      </c>
      <c r="L614">
        <v>2</v>
      </c>
      <c r="M614" t="s">
        <v>40</v>
      </c>
      <c r="N614">
        <v>2</v>
      </c>
      <c r="O614" t="s">
        <v>48</v>
      </c>
      <c r="P614" s="1">
        <v>4779</v>
      </c>
      <c r="Q614" t="s">
        <v>72</v>
      </c>
      <c r="R614" t="s">
        <v>35</v>
      </c>
      <c r="S614">
        <v>4</v>
      </c>
      <c r="T614">
        <v>8</v>
      </c>
      <c r="U614">
        <v>3</v>
      </c>
      <c r="V614">
        <v>8</v>
      </c>
      <c r="W614">
        <v>7</v>
      </c>
      <c r="X614">
        <v>7</v>
      </c>
      <c r="Y614">
        <v>5</v>
      </c>
      <c r="Z614" t="s">
        <v>1551</v>
      </c>
      <c r="AA614" t="s">
        <v>69</v>
      </c>
      <c r="AB614" t="str" cm="1">
        <f t="array" ref="AB614">_xlfn.IFS(cleaned_data[[#This Row],[YearsAtCompany]]&lt;=5, "0-5",cleaned_data[[#This Row],[YearsAtCompany]]&lt;=10,"6-10",TRUE,"10+")</f>
        <v>6-10</v>
      </c>
    </row>
    <row r="615" spans="1:28" x14ac:dyDescent="0.3">
      <c r="A615" s="2">
        <v>34</v>
      </c>
      <c r="B615" t="s">
        <v>43</v>
      </c>
      <c r="C615">
        <v>0</v>
      </c>
      <c r="D615" t="s">
        <v>36</v>
      </c>
      <c r="E615" t="s">
        <v>61</v>
      </c>
      <c r="F615">
        <v>3</v>
      </c>
      <c r="G615" t="s">
        <v>61</v>
      </c>
      <c r="H615" t="s">
        <v>685</v>
      </c>
      <c r="I615">
        <v>3</v>
      </c>
      <c r="J615" t="s">
        <v>46</v>
      </c>
      <c r="K615">
        <v>3</v>
      </c>
      <c r="L615">
        <v>1</v>
      </c>
      <c r="M615" t="s">
        <v>61</v>
      </c>
      <c r="N615">
        <v>4</v>
      </c>
      <c r="O615" t="s">
        <v>48</v>
      </c>
      <c r="P615" s="1">
        <v>3737</v>
      </c>
      <c r="Q615" t="s">
        <v>72</v>
      </c>
      <c r="R615" t="s">
        <v>43</v>
      </c>
      <c r="S615">
        <v>3</v>
      </c>
      <c r="T615">
        <v>4</v>
      </c>
      <c r="U615">
        <v>1</v>
      </c>
      <c r="V615">
        <v>3</v>
      </c>
      <c r="W615">
        <v>2</v>
      </c>
      <c r="X615">
        <v>0</v>
      </c>
      <c r="Y615">
        <v>2</v>
      </c>
      <c r="Z615" t="s">
        <v>1551</v>
      </c>
      <c r="AA615" t="s">
        <v>78</v>
      </c>
      <c r="AB615" t="str" cm="1">
        <f t="array" ref="AB615">_xlfn.IFS(cleaned_data[[#This Row],[YearsAtCompany]]&lt;=5, "0-5",cleaned_data[[#This Row],[YearsAtCompany]]&lt;=10,"6-10",TRUE,"10+")</f>
        <v>0-5</v>
      </c>
    </row>
    <row r="616" spans="1:28" x14ac:dyDescent="0.3">
      <c r="A616" s="2">
        <v>26</v>
      </c>
      <c r="B616" t="s">
        <v>35</v>
      </c>
      <c r="C616">
        <v>1</v>
      </c>
      <c r="D616" t="s">
        <v>44</v>
      </c>
      <c r="E616" t="s">
        <v>45</v>
      </c>
      <c r="F616">
        <v>5</v>
      </c>
      <c r="G616" t="s">
        <v>51</v>
      </c>
      <c r="H616" t="s">
        <v>686</v>
      </c>
      <c r="I616">
        <v>3</v>
      </c>
      <c r="J616" t="s">
        <v>39</v>
      </c>
      <c r="K616">
        <v>2</v>
      </c>
      <c r="L616">
        <v>1</v>
      </c>
      <c r="M616" t="s">
        <v>47</v>
      </c>
      <c r="N616">
        <v>3</v>
      </c>
      <c r="O616" t="s">
        <v>48</v>
      </c>
      <c r="P616" s="1">
        <v>2366</v>
      </c>
      <c r="Q616" t="s">
        <v>72</v>
      </c>
      <c r="R616" t="s">
        <v>35</v>
      </c>
      <c r="S616">
        <v>3</v>
      </c>
      <c r="T616">
        <v>8</v>
      </c>
      <c r="U616">
        <v>3</v>
      </c>
      <c r="V616">
        <v>8</v>
      </c>
      <c r="W616">
        <v>7</v>
      </c>
      <c r="X616">
        <v>1</v>
      </c>
      <c r="Y616">
        <v>7</v>
      </c>
      <c r="Z616" t="s">
        <v>1551</v>
      </c>
      <c r="AA616" t="s">
        <v>69</v>
      </c>
      <c r="AB616" t="str" cm="1">
        <f t="array" ref="AB616">_xlfn.IFS(cleaned_data[[#This Row],[YearsAtCompany]]&lt;=5, "0-5",cleaned_data[[#This Row],[YearsAtCompany]]&lt;=10,"6-10",TRUE,"10+")</f>
        <v>6-10</v>
      </c>
    </row>
    <row r="617" spans="1:28" x14ac:dyDescent="0.3">
      <c r="A617" s="2">
        <v>27</v>
      </c>
      <c r="B617" t="s">
        <v>43</v>
      </c>
      <c r="C617">
        <v>0</v>
      </c>
      <c r="D617" t="s">
        <v>55</v>
      </c>
      <c r="E617" t="s">
        <v>45</v>
      </c>
      <c r="F617">
        <v>3</v>
      </c>
      <c r="G617" t="s">
        <v>51</v>
      </c>
      <c r="H617" t="s">
        <v>687</v>
      </c>
      <c r="I617">
        <v>4</v>
      </c>
      <c r="J617" t="s">
        <v>46</v>
      </c>
      <c r="K617">
        <v>3</v>
      </c>
      <c r="L617">
        <v>1</v>
      </c>
      <c r="M617" t="s">
        <v>47</v>
      </c>
      <c r="N617">
        <v>4</v>
      </c>
      <c r="O617" t="s">
        <v>48</v>
      </c>
      <c r="P617" s="1">
        <v>1706</v>
      </c>
      <c r="Q617" t="s">
        <v>72</v>
      </c>
      <c r="R617" t="s">
        <v>43</v>
      </c>
      <c r="S617">
        <v>3</v>
      </c>
      <c r="T617">
        <v>0</v>
      </c>
      <c r="U617">
        <v>2</v>
      </c>
      <c r="V617">
        <v>0</v>
      </c>
      <c r="W617">
        <v>0</v>
      </c>
      <c r="X617">
        <v>0</v>
      </c>
      <c r="Y617">
        <v>0</v>
      </c>
      <c r="Z617" t="s">
        <v>1551</v>
      </c>
      <c r="AA617" t="s">
        <v>78</v>
      </c>
      <c r="AB617" t="str" cm="1">
        <f t="array" ref="AB617">_xlfn.IFS(cleaned_data[[#This Row],[YearsAtCompany]]&lt;=5, "0-5",cleaned_data[[#This Row],[YearsAtCompany]]&lt;=10,"6-10",TRUE,"10+")</f>
        <v>0-5</v>
      </c>
    </row>
    <row r="618" spans="1:28" x14ac:dyDescent="0.3">
      <c r="A618" s="2">
        <v>51</v>
      </c>
      <c r="B618" t="s">
        <v>43</v>
      </c>
      <c r="C618">
        <v>0</v>
      </c>
      <c r="D618" t="s">
        <v>36</v>
      </c>
      <c r="E618" t="s">
        <v>37</v>
      </c>
      <c r="F618">
        <v>26</v>
      </c>
      <c r="G618" t="s">
        <v>59</v>
      </c>
      <c r="H618" t="s">
        <v>688</v>
      </c>
      <c r="I618">
        <v>1</v>
      </c>
      <c r="J618" t="s">
        <v>39</v>
      </c>
      <c r="K618">
        <v>3</v>
      </c>
      <c r="L618">
        <v>4</v>
      </c>
      <c r="M618" t="s">
        <v>56</v>
      </c>
      <c r="N618">
        <v>3</v>
      </c>
      <c r="O618" t="s">
        <v>48</v>
      </c>
      <c r="P618" s="1">
        <v>16307</v>
      </c>
      <c r="Q618" t="s">
        <v>90</v>
      </c>
      <c r="R618" t="s">
        <v>43</v>
      </c>
      <c r="S618">
        <v>3</v>
      </c>
      <c r="T618">
        <v>29</v>
      </c>
      <c r="U618">
        <v>2</v>
      </c>
      <c r="V618">
        <v>20</v>
      </c>
      <c r="W618">
        <v>6</v>
      </c>
      <c r="X618">
        <v>4</v>
      </c>
      <c r="Y618">
        <v>17</v>
      </c>
      <c r="Z618" t="s">
        <v>106</v>
      </c>
      <c r="AA618" t="s">
        <v>82</v>
      </c>
      <c r="AB618" t="str" cm="1">
        <f t="array" ref="AB618">_xlfn.IFS(cleaned_data[[#This Row],[YearsAtCompany]]&lt;=5, "0-5",cleaned_data[[#This Row],[YearsAtCompany]]&lt;=10,"6-10",TRUE,"10+")</f>
        <v>10+</v>
      </c>
    </row>
    <row r="619" spans="1:28" x14ac:dyDescent="0.3">
      <c r="A619" s="2">
        <v>44</v>
      </c>
      <c r="B619" t="s">
        <v>43</v>
      </c>
      <c r="C619">
        <v>0</v>
      </c>
      <c r="D619" t="s">
        <v>36</v>
      </c>
      <c r="E619" t="s">
        <v>45</v>
      </c>
      <c r="F619">
        <v>4</v>
      </c>
      <c r="G619" t="s">
        <v>51</v>
      </c>
      <c r="H619" t="s">
        <v>689</v>
      </c>
      <c r="I619">
        <v>4</v>
      </c>
      <c r="J619" t="s">
        <v>46</v>
      </c>
      <c r="K619">
        <v>3</v>
      </c>
      <c r="L619">
        <v>2</v>
      </c>
      <c r="M619" t="s">
        <v>54</v>
      </c>
      <c r="N619">
        <v>2</v>
      </c>
      <c r="O619" t="s">
        <v>41</v>
      </c>
      <c r="P619" s="1">
        <v>5933</v>
      </c>
      <c r="Q619" t="s">
        <v>67</v>
      </c>
      <c r="R619" t="s">
        <v>43</v>
      </c>
      <c r="S619">
        <v>3</v>
      </c>
      <c r="T619">
        <v>10</v>
      </c>
      <c r="U619">
        <v>2</v>
      </c>
      <c r="V619">
        <v>5</v>
      </c>
      <c r="W619">
        <v>2</v>
      </c>
      <c r="X619">
        <v>2</v>
      </c>
      <c r="Y619">
        <v>3</v>
      </c>
      <c r="Z619" t="s">
        <v>1550</v>
      </c>
      <c r="AA619" t="s">
        <v>69</v>
      </c>
      <c r="AB619" t="str" cm="1">
        <f t="array" ref="AB619">_xlfn.IFS(cleaned_data[[#This Row],[YearsAtCompany]]&lt;=5, "0-5",cleaned_data[[#This Row],[YearsAtCompany]]&lt;=10,"6-10",TRUE,"10+")</f>
        <v>0-5</v>
      </c>
    </row>
    <row r="620" spans="1:28" x14ac:dyDescent="0.3">
      <c r="A620" s="2">
        <v>25</v>
      </c>
      <c r="B620" t="s">
        <v>43</v>
      </c>
      <c r="C620">
        <v>0</v>
      </c>
      <c r="D620" t="s">
        <v>36</v>
      </c>
      <c r="E620" t="s">
        <v>45</v>
      </c>
      <c r="F620">
        <v>2</v>
      </c>
      <c r="G620" t="s">
        <v>51</v>
      </c>
      <c r="H620" t="s">
        <v>690</v>
      </c>
      <c r="I620">
        <v>1</v>
      </c>
      <c r="J620" t="s">
        <v>46</v>
      </c>
      <c r="K620">
        <v>4</v>
      </c>
      <c r="L620">
        <v>1</v>
      </c>
      <c r="M620" t="s">
        <v>47</v>
      </c>
      <c r="N620">
        <v>1</v>
      </c>
      <c r="O620" t="s">
        <v>41</v>
      </c>
      <c r="P620" s="6">
        <v>3424</v>
      </c>
      <c r="Q620" t="s">
        <v>72</v>
      </c>
      <c r="R620" t="s">
        <v>43</v>
      </c>
      <c r="S620">
        <v>3</v>
      </c>
      <c r="T620">
        <v>6</v>
      </c>
      <c r="U620">
        <v>2</v>
      </c>
      <c r="V620">
        <v>4</v>
      </c>
      <c r="W620">
        <v>3</v>
      </c>
      <c r="X620">
        <v>0</v>
      </c>
      <c r="Y620">
        <v>1</v>
      </c>
      <c r="Z620" t="s">
        <v>68</v>
      </c>
      <c r="AA620" t="s">
        <v>69</v>
      </c>
      <c r="AB620" t="str" cm="1">
        <f t="array" ref="AB620">_xlfn.IFS(cleaned_data[[#This Row],[YearsAtCompany]]&lt;=5, "0-5",cleaned_data[[#This Row],[YearsAtCompany]]&lt;=10,"6-10",TRUE,"10+")</f>
        <v>0-5</v>
      </c>
    </row>
    <row r="621" spans="1:28" x14ac:dyDescent="0.3">
      <c r="A621" s="2">
        <v>33</v>
      </c>
      <c r="B621" t="s">
        <v>43</v>
      </c>
      <c r="C621">
        <v>0</v>
      </c>
      <c r="D621" t="s">
        <v>36</v>
      </c>
      <c r="E621" t="s">
        <v>37</v>
      </c>
      <c r="F621">
        <v>1</v>
      </c>
      <c r="G621" t="s">
        <v>51</v>
      </c>
      <c r="H621" t="s">
        <v>691</v>
      </c>
      <c r="I621">
        <v>1</v>
      </c>
      <c r="J621" t="s">
        <v>46</v>
      </c>
      <c r="K621">
        <v>4</v>
      </c>
      <c r="L621">
        <v>2</v>
      </c>
      <c r="M621" t="s">
        <v>40</v>
      </c>
      <c r="N621">
        <v>1</v>
      </c>
      <c r="O621" t="s">
        <v>52</v>
      </c>
      <c r="P621" s="6">
        <v>4037</v>
      </c>
      <c r="Q621" t="s">
        <v>72</v>
      </c>
      <c r="R621" t="s">
        <v>43</v>
      </c>
      <c r="S621">
        <v>4</v>
      </c>
      <c r="T621">
        <v>9</v>
      </c>
      <c r="U621">
        <v>3</v>
      </c>
      <c r="V621">
        <v>9</v>
      </c>
      <c r="W621">
        <v>8</v>
      </c>
      <c r="X621">
        <v>0</v>
      </c>
      <c r="Y621">
        <v>8</v>
      </c>
      <c r="Z621" t="s">
        <v>1551</v>
      </c>
      <c r="AA621" t="s">
        <v>69</v>
      </c>
      <c r="AB621" t="str" cm="1">
        <f t="array" ref="AB621">_xlfn.IFS(cleaned_data[[#This Row],[YearsAtCompany]]&lt;=5, "0-5",cleaned_data[[#This Row],[YearsAtCompany]]&lt;=10,"6-10",TRUE,"10+")</f>
        <v>6-10</v>
      </c>
    </row>
    <row r="622" spans="1:28" x14ac:dyDescent="0.3">
      <c r="A622" s="2">
        <v>35</v>
      </c>
      <c r="B622" t="s">
        <v>43</v>
      </c>
      <c r="C622">
        <v>0</v>
      </c>
      <c r="D622" t="s">
        <v>36</v>
      </c>
      <c r="E622" t="s">
        <v>45</v>
      </c>
      <c r="F622">
        <v>27</v>
      </c>
      <c r="G622" t="s">
        <v>51</v>
      </c>
      <c r="H622" t="s">
        <v>692</v>
      </c>
      <c r="I622">
        <v>3</v>
      </c>
      <c r="J622" t="s">
        <v>39</v>
      </c>
      <c r="K622">
        <v>2</v>
      </c>
      <c r="L622">
        <v>1</v>
      </c>
      <c r="M622" t="s">
        <v>47</v>
      </c>
      <c r="N622">
        <v>1</v>
      </c>
      <c r="O622" t="s">
        <v>41</v>
      </c>
      <c r="P622" s="6">
        <v>2559</v>
      </c>
      <c r="Q622" t="s">
        <v>72</v>
      </c>
      <c r="R622" t="s">
        <v>43</v>
      </c>
      <c r="S622">
        <v>3</v>
      </c>
      <c r="T622">
        <v>6</v>
      </c>
      <c r="U622">
        <v>2</v>
      </c>
      <c r="V622">
        <v>6</v>
      </c>
      <c r="W622">
        <v>5</v>
      </c>
      <c r="X622">
        <v>1</v>
      </c>
      <c r="Y622">
        <v>1</v>
      </c>
      <c r="Z622" t="s">
        <v>1551</v>
      </c>
      <c r="AA622" t="s">
        <v>69</v>
      </c>
      <c r="AB622" t="str" cm="1">
        <f t="array" ref="AB622">_xlfn.IFS(cleaned_data[[#This Row],[YearsAtCompany]]&lt;=5, "0-5",cleaned_data[[#This Row],[YearsAtCompany]]&lt;=10,"6-10",TRUE,"10+")</f>
        <v>6-10</v>
      </c>
    </row>
    <row r="623" spans="1:28" x14ac:dyDescent="0.3">
      <c r="A623" s="2">
        <v>36</v>
      </c>
      <c r="B623" t="s">
        <v>43</v>
      </c>
      <c r="C623">
        <v>0</v>
      </c>
      <c r="D623" t="s">
        <v>36</v>
      </c>
      <c r="E623" t="s">
        <v>37</v>
      </c>
      <c r="F623">
        <v>1</v>
      </c>
      <c r="G623" t="s">
        <v>38</v>
      </c>
      <c r="H623" t="s">
        <v>693</v>
      </c>
      <c r="I623">
        <v>2</v>
      </c>
      <c r="J623" t="s">
        <v>46</v>
      </c>
      <c r="K623">
        <v>3</v>
      </c>
      <c r="L623">
        <v>2</v>
      </c>
      <c r="M623" t="s">
        <v>40</v>
      </c>
      <c r="N623">
        <v>4</v>
      </c>
      <c r="O623" t="s">
        <v>48</v>
      </c>
      <c r="P623" s="1">
        <v>6201</v>
      </c>
      <c r="Q623" t="s">
        <v>67</v>
      </c>
      <c r="R623" t="s">
        <v>35</v>
      </c>
      <c r="S623">
        <v>3</v>
      </c>
      <c r="T623">
        <v>18</v>
      </c>
      <c r="U623">
        <v>2</v>
      </c>
      <c r="V623">
        <v>18</v>
      </c>
      <c r="W623">
        <v>14</v>
      </c>
      <c r="X623">
        <v>4</v>
      </c>
      <c r="Y623">
        <v>11</v>
      </c>
      <c r="Z623" t="s">
        <v>1550</v>
      </c>
      <c r="AA623" t="s">
        <v>82</v>
      </c>
      <c r="AB623" t="str" cm="1">
        <f t="array" ref="AB623">_xlfn.IFS(cleaned_data[[#This Row],[YearsAtCompany]]&lt;=5, "0-5",cleaned_data[[#This Row],[YearsAtCompany]]&lt;=10,"6-10",TRUE,"10+")</f>
        <v>10+</v>
      </c>
    </row>
    <row r="624" spans="1:28" x14ac:dyDescent="0.3">
      <c r="A624" s="2">
        <v>32</v>
      </c>
      <c r="B624" t="s">
        <v>43</v>
      </c>
      <c r="C624">
        <v>0</v>
      </c>
      <c r="D624" t="s">
        <v>36</v>
      </c>
      <c r="E624" t="s">
        <v>37</v>
      </c>
      <c r="F624">
        <v>13</v>
      </c>
      <c r="G624" t="s">
        <v>38</v>
      </c>
      <c r="H624" t="s">
        <v>694</v>
      </c>
      <c r="I624">
        <v>2</v>
      </c>
      <c r="J624" t="s">
        <v>46</v>
      </c>
      <c r="K624">
        <v>3</v>
      </c>
      <c r="L624">
        <v>2</v>
      </c>
      <c r="M624" t="s">
        <v>40</v>
      </c>
      <c r="N624">
        <v>4</v>
      </c>
      <c r="O624" t="s">
        <v>52</v>
      </c>
      <c r="P624" s="1">
        <v>4403</v>
      </c>
      <c r="Q624" t="s">
        <v>72</v>
      </c>
      <c r="R624" t="s">
        <v>43</v>
      </c>
      <c r="S624">
        <v>3</v>
      </c>
      <c r="T624">
        <v>8</v>
      </c>
      <c r="U624">
        <v>2</v>
      </c>
      <c r="V624">
        <v>5</v>
      </c>
      <c r="W624">
        <v>2</v>
      </c>
      <c r="X624">
        <v>0</v>
      </c>
      <c r="Y624">
        <v>3</v>
      </c>
      <c r="Z624" t="s">
        <v>1551</v>
      </c>
      <c r="AA624" t="s">
        <v>69</v>
      </c>
      <c r="AB624" t="str" cm="1">
        <f t="array" ref="AB624">_xlfn.IFS(cleaned_data[[#This Row],[YearsAtCompany]]&lt;=5, "0-5",cleaned_data[[#This Row],[YearsAtCompany]]&lt;=10,"6-10",TRUE,"10+")</f>
        <v>0-5</v>
      </c>
    </row>
    <row r="625" spans="1:28" x14ac:dyDescent="0.3">
      <c r="A625" s="2">
        <v>30</v>
      </c>
      <c r="B625" t="s">
        <v>43</v>
      </c>
      <c r="C625">
        <v>0</v>
      </c>
      <c r="D625" t="s">
        <v>44</v>
      </c>
      <c r="E625" t="s">
        <v>45</v>
      </c>
      <c r="F625">
        <v>5</v>
      </c>
      <c r="G625" t="s">
        <v>38</v>
      </c>
      <c r="H625" t="s">
        <v>695</v>
      </c>
      <c r="I625">
        <v>2</v>
      </c>
      <c r="J625" t="s">
        <v>46</v>
      </c>
      <c r="K625">
        <v>2</v>
      </c>
      <c r="L625">
        <v>1</v>
      </c>
      <c r="M625" t="s">
        <v>47</v>
      </c>
      <c r="N625">
        <v>4</v>
      </c>
      <c r="O625" t="s">
        <v>52</v>
      </c>
      <c r="P625" s="1">
        <v>3761</v>
      </c>
      <c r="Q625" t="s">
        <v>72</v>
      </c>
      <c r="R625" t="s">
        <v>43</v>
      </c>
      <c r="S625">
        <v>3</v>
      </c>
      <c r="T625">
        <v>10</v>
      </c>
      <c r="U625">
        <v>2</v>
      </c>
      <c r="V625">
        <v>5</v>
      </c>
      <c r="W625">
        <v>4</v>
      </c>
      <c r="X625">
        <v>0</v>
      </c>
      <c r="Y625">
        <v>3</v>
      </c>
      <c r="Z625" t="s">
        <v>1551</v>
      </c>
      <c r="AA625" t="s">
        <v>69</v>
      </c>
      <c r="AB625" t="str" cm="1">
        <f t="array" ref="AB625">_xlfn.IFS(cleaned_data[[#This Row],[YearsAtCompany]]&lt;=5, "0-5",cleaned_data[[#This Row],[YearsAtCompany]]&lt;=10,"6-10",TRUE,"10+")</f>
        <v>0-5</v>
      </c>
    </row>
    <row r="626" spans="1:28" x14ac:dyDescent="0.3">
      <c r="A626" s="2">
        <v>53</v>
      </c>
      <c r="B626" t="s">
        <v>43</v>
      </c>
      <c r="C626">
        <v>0</v>
      </c>
      <c r="D626" t="s">
        <v>36</v>
      </c>
      <c r="E626" t="s">
        <v>37</v>
      </c>
      <c r="F626">
        <v>7</v>
      </c>
      <c r="G626" t="s">
        <v>59</v>
      </c>
      <c r="H626" t="s">
        <v>696</v>
      </c>
      <c r="I626">
        <v>1</v>
      </c>
      <c r="J626" t="s">
        <v>39</v>
      </c>
      <c r="K626">
        <v>2</v>
      </c>
      <c r="L626">
        <v>3</v>
      </c>
      <c r="M626" t="s">
        <v>40</v>
      </c>
      <c r="N626">
        <v>4</v>
      </c>
      <c r="O626" t="s">
        <v>48</v>
      </c>
      <c r="P626" s="1">
        <v>10934</v>
      </c>
      <c r="Q626" t="s">
        <v>67</v>
      </c>
      <c r="R626" t="s">
        <v>35</v>
      </c>
      <c r="S626">
        <v>3</v>
      </c>
      <c r="T626">
        <v>35</v>
      </c>
      <c r="U626">
        <v>3</v>
      </c>
      <c r="V626">
        <v>5</v>
      </c>
      <c r="W626">
        <v>2</v>
      </c>
      <c r="X626">
        <v>0</v>
      </c>
      <c r="Y626">
        <v>4</v>
      </c>
      <c r="Z626" t="s">
        <v>106</v>
      </c>
      <c r="AA626" t="s">
        <v>82</v>
      </c>
      <c r="AB626" t="str" cm="1">
        <f t="array" ref="AB626">_xlfn.IFS(cleaned_data[[#This Row],[YearsAtCompany]]&lt;=5, "0-5",cleaned_data[[#This Row],[YearsAtCompany]]&lt;=10,"6-10",TRUE,"10+")</f>
        <v>0-5</v>
      </c>
    </row>
    <row r="627" spans="1:28" x14ac:dyDescent="0.3">
      <c r="A627" s="2">
        <v>45</v>
      </c>
      <c r="B627" t="s">
        <v>43</v>
      </c>
      <c r="C627">
        <v>0</v>
      </c>
      <c r="D627" t="s">
        <v>36</v>
      </c>
      <c r="E627" t="s">
        <v>37</v>
      </c>
      <c r="F627">
        <v>9</v>
      </c>
      <c r="G627" t="s">
        <v>59</v>
      </c>
      <c r="H627" t="s">
        <v>697</v>
      </c>
      <c r="I627">
        <v>4</v>
      </c>
      <c r="J627" t="s">
        <v>46</v>
      </c>
      <c r="K627">
        <v>3</v>
      </c>
      <c r="L627">
        <v>3</v>
      </c>
      <c r="M627" t="s">
        <v>40</v>
      </c>
      <c r="N627">
        <v>1</v>
      </c>
      <c r="O627" t="s">
        <v>52</v>
      </c>
      <c r="P627" s="6">
        <v>10761</v>
      </c>
      <c r="Q627" t="s">
        <v>67</v>
      </c>
      <c r="R627" t="s">
        <v>35</v>
      </c>
      <c r="S627">
        <v>3</v>
      </c>
      <c r="T627">
        <v>18</v>
      </c>
      <c r="U627">
        <v>3</v>
      </c>
      <c r="V627">
        <v>5</v>
      </c>
      <c r="W627">
        <v>4</v>
      </c>
      <c r="X627">
        <v>0</v>
      </c>
      <c r="Y627">
        <v>2</v>
      </c>
      <c r="Z627" t="s">
        <v>1550</v>
      </c>
      <c r="AA627" t="s">
        <v>82</v>
      </c>
      <c r="AB627" t="str" cm="1">
        <f t="array" ref="AB627">_xlfn.IFS(cleaned_data[[#This Row],[YearsAtCompany]]&lt;=5, "0-5",cleaned_data[[#This Row],[YearsAtCompany]]&lt;=10,"6-10",TRUE,"10+")</f>
        <v>0-5</v>
      </c>
    </row>
    <row r="628" spans="1:28" x14ac:dyDescent="0.3">
      <c r="A628" s="2">
        <v>32</v>
      </c>
      <c r="B628" t="s">
        <v>43</v>
      </c>
      <c r="C628">
        <v>0</v>
      </c>
      <c r="D628" t="s">
        <v>36</v>
      </c>
      <c r="E628" t="s">
        <v>45</v>
      </c>
      <c r="F628">
        <v>8</v>
      </c>
      <c r="G628" t="s">
        <v>51</v>
      </c>
      <c r="H628" t="s">
        <v>698</v>
      </c>
      <c r="I628">
        <v>3</v>
      </c>
      <c r="J628" t="s">
        <v>39</v>
      </c>
      <c r="K628">
        <v>4</v>
      </c>
      <c r="L628">
        <v>2</v>
      </c>
      <c r="M628" t="s">
        <v>47</v>
      </c>
      <c r="N628">
        <v>3</v>
      </c>
      <c r="O628" t="s">
        <v>48</v>
      </c>
      <c r="P628" s="1">
        <v>5175</v>
      </c>
      <c r="Q628" t="s">
        <v>67</v>
      </c>
      <c r="R628" t="s">
        <v>43</v>
      </c>
      <c r="S628">
        <v>3</v>
      </c>
      <c r="T628">
        <v>9</v>
      </c>
      <c r="U628">
        <v>2</v>
      </c>
      <c r="V628">
        <v>5</v>
      </c>
      <c r="W628">
        <v>3</v>
      </c>
      <c r="X628">
        <v>1</v>
      </c>
      <c r="Y628">
        <v>3</v>
      </c>
      <c r="Z628" t="s">
        <v>1551</v>
      </c>
      <c r="AA628" t="s">
        <v>69</v>
      </c>
      <c r="AB628" t="str" cm="1">
        <f t="array" ref="AB628">_xlfn.IFS(cleaned_data[[#This Row],[YearsAtCompany]]&lt;=5, "0-5",cleaned_data[[#This Row],[YearsAtCompany]]&lt;=10,"6-10",TRUE,"10+")</f>
        <v>0-5</v>
      </c>
    </row>
    <row r="629" spans="1:28" x14ac:dyDescent="0.3">
      <c r="A629" s="2">
        <v>52</v>
      </c>
      <c r="B629" t="s">
        <v>43</v>
      </c>
      <c r="C629">
        <v>0</v>
      </c>
      <c r="D629" t="s">
        <v>44</v>
      </c>
      <c r="E629" t="s">
        <v>45</v>
      </c>
      <c r="F629">
        <v>25</v>
      </c>
      <c r="G629" t="s">
        <v>51</v>
      </c>
      <c r="H629" t="s">
        <v>699</v>
      </c>
      <c r="I629">
        <v>3</v>
      </c>
      <c r="J629" t="s">
        <v>39</v>
      </c>
      <c r="K629">
        <v>2</v>
      </c>
      <c r="L629">
        <v>4</v>
      </c>
      <c r="M629" t="s">
        <v>53</v>
      </c>
      <c r="N629">
        <v>4</v>
      </c>
      <c r="O629" t="s">
        <v>48</v>
      </c>
      <c r="P629" s="1">
        <v>13826</v>
      </c>
      <c r="Q629" t="s">
        <v>90</v>
      </c>
      <c r="R629" t="s">
        <v>43</v>
      </c>
      <c r="S629">
        <v>4</v>
      </c>
      <c r="T629">
        <v>31</v>
      </c>
      <c r="U629">
        <v>3</v>
      </c>
      <c r="V629">
        <v>9</v>
      </c>
      <c r="W629">
        <v>8</v>
      </c>
      <c r="X629">
        <v>0</v>
      </c>
      <c r="Y629">
        <v>0</v>
      </c>
      <c r="Z629" t="s">
        <v>106</v>
      </c>
      <c r="AA629" t="s">
        <v>82</v>
      </c>
      <c r="AB629" t="str" cm="1">
        <f t="array" ref="AB629">_xlfn.IFS(cleaned_data[[#This Row],[YearsAtCompany]]&lt;=5, "0-5",cleaned_data[[#This Row],[YearsAtCompany]]&lt;=10,"6-10",TRUE,"10+")</f>
        <v>6-10</v>
      </c>
    </row>
    <row r="630" spans="1:28" x14ac:dyDescent="0.3">
      <c r="A630" s="2">
        <v>37</v>
      </c>
      <c r="B630" t="s">
        <v>43</v>
      </c>
      <c r="C630">
        <v>0</v>
      </c>
      <c r="D630" t="s">
        <v>36</v>
      </c>
      <c r="E630" t="s">
        <v>37</v>
      </c>
      <c r="F630">
        <v>16</v>
      </c>
      <c r="G630" t="s">
        <v>59</v>
      </c>
      <c r="H630" t="s">
        <v>700</v>
      </c>
      <c r="I630">
        <v>4</v>
      </c>
      <c r="J630" t="s">
        <v>46</v>
      </c>
      <c r="K630">
        <v>2</v>
      </c>
      <c r="L630">
        <v>2</v>
      </c>
      <c r="M630" t="s">
        <v>40</v>
      </c>
      <c r="N630">
        <v>3</v>
      </c>
      <c r="O630" t="s">
        <v>52</v>
      </c>
      <c r="P630" s="1">
        <v>6334</v>
      </c>
      <c r="Q630" t="s">
        <v>67</v>
      </c>
      <c r="R630" t="s">
        <v>43</v>
      </c>
      <c r="S630">
        <v>3</v>
      </c>
      <c r="T630">
        <v>9</v>
      </c>
      <c r="U630">
        <v>3</v>
      </c>
      <c r="V630">
        <v>1</v>
      </c>
      <c r="W630">
        <v>0</v>
      </c>
      <c r="X630">
        <v>0</v>
      </c>
      <c r="Y630">
        <v>0</v>
      </c>
      <c r="Z630" t="s">
        <v>1550</v>
      </c>
      <c r="AA630" t="s">
        <v>69</v>
      </c>
      <c r="AB630" t="str" cm="1">
        <f t="array" ref="AB630">_xlfn.IFS(cleaned_data[[#This Row],[YearsAtCompany]]&lt;=5, "0-5",cleaned_data[[#This Row],[YearsAtCompany]]&lt;=10,"6-10",TRUE,"10+")</f>
        <v>0-5</v>
      </c>
    </row>
    <row r="631" spans="1:28" x14ac:dyDescent="0.3">
      <c r="A631" s="2">
        <v>28</v>
      </c>
      <c r="B631" t="s">
        <v>43</v>
      </c>
      <c r="C631">
        <v>0</v>
      </c>
      <c r="D631" t="s">
        <v>36</v>
      </c>
      <c r="E631" t="s">
        <v>61</v>
      </c>
      <c r="F631">
        <v>8</v>
      </c>
      <c r="G631" t="s">
        <v>51</v>
      </c>
      <c r="H631" t="s">
        <v>701</v>
      </c>
      <c r="I631">
        <v>2</v>
      </c>
      <c r="J631" t="s">
        <v>46</v>
      </c>
      <c r="K631">
        <v>2</v>
      </c>
      <c r="L631">
        <v>1</v>
      </c>
      <c r="M631" t="s">
        <v>61</v>
      </c>
      <c r="N631">
        <v>4</v>
      </c>
      <c r="O631" t="s">
        <v>52</v>
      </c>
      <c r="P631" s="1">
        <v>4936</v>
      </c>
      <c r="Q631" t="s">
        <v>72</v>
      </c>
      <c r="R631" t="s">
        <v>43</v>
      </c>
      <c r="S631">
        <v>3</v>
      </c>
      <c r="T631">
        <v>6</v>
      </c>
      <c r="U631">
        <v>3</v>
      </c>
      <c r="V631">
        <v>5</v>
      </c>
      <c r="W631">
        <v>1</v>
      </c>
      <c r="X631">
        <v>0</v>
      </c>
      <c r="Y631">
        <v>4</v>
      </c>
      <c r="Z631" t="s">
        <v>1551</v>
      </c>
      <c r="AA631" t="s">
        <v>69</v>
      </c>
      <c r="AB631" t="str" cm="1">
        <f t="array" ref="AB631">_xlfn.IFS(cleaned_data[[#This Row],[YearsAtCompany]]&lt;=5, "0-5",cleaned_data[[#This Row],[YearsAtCompany]]&lt;=10,"6-10",TRUE,"10+")</f>
        <v>0-5</v>
      </c>
    </row>
    <row r="632" spans="1:28" x14ac:dyDescent="0.3">
      <c r="A632" s="2">
        <v>22</v>
      </c>
      <c r="B632" t="s">
        <v>43</v>
      </c>
      <c r="C632">
        <v>0</v>
      </c>
      <c r="D632" t="s">
        <v>36</v>
      </c>
      <c r="E632" t="s">
        <v>45</v>
      </c>
      <c r="F632">
        <v>1</v>
      </c>
      <c r="G632" t="s">
        <v>38</v>
      </c>
      <c r="H632" t="s">
        <v>702</v>
      </c>
      <c r="I632">
        <v>4</v>
      </c>
      <c r="J632" t="s">
        <v>46</v>
      </c>
      <c r="K632">
        <v>2</v>
      </c>
      <c r="L632">
        <v>2</v>
      </c>
      <c r="M632" t="s">
        <v>53</v>
      </c>
      <c r="N632">
        <v>4</v>
      </c>
      <c r="O632" t="s">
        <v>48</v>
      </c>
      <c r="P632" s="1">
        <v>4775</v>
      </c>
      <c r="Q632" t="s">
        <v>72</v>
      </c>
      <c r="R632" t="s">
        <v>43</v>
      </c>
      <c r="S632">
        <v>4</v>
      </c>
      <c r="T632">
        <v>4</v>
      </c>
      <c r="U632">
        <v>1</v>
      </c>
      <c r="V632">
        <v>2</v>
      </c>
      <c r="W632">
        <v>2</v>
      </c>
      <c r="X632">
        <v>2</v>
      </c>
      <c r="Y632">
        <v>2</v>
      </c>
      <c r="Z632" t="s">
        <v>68</v>
      </c>
      <c r="AA632" t="s">
        <v>78</v>
      </c>
      <c r="AB632" t="str" cm="1">
        <f t="array" ref="AB632">_xlfn.IFS(cleaned_data[[#This Row],[YearsAtCompany]]&lt;=5, "0-5",cleaned_data[[#This Row],[YearsAtCompany]]&lt;=10,"6-10",TRUE,"10+")</f>
        <v>0-5</v>
      </c>
    </row>
    <row r="633" spans="1:28" x14ac:dyDescent="0.3">
      <c r="A633" s="2">
        <v>44</v>
      </c>
      <c r="B633" t="s">
        <v>43</v>
      </c>
      <c r="C633">
        <v>0</v>
      </c>
      <c r="D633" t="s">
        <v>36</v>
      </c>
      <c r="E633" t="s">
        <v>45</v>
      </c>
      <c r="F633">
        <v>8</v>
      </c>
      <c r="G633" t="s">
        <v>38</v>
      </c>
      <c r="H633" t="s">
        <v>703</v>
      </c>
      <c r="I633">
        <v>1</v>
      </c>
      <c r="J633" t="s">
        <v>46</v>
      </c>
      <c r="K633">
        <v>4</v>
      </c>
      <c r="L633">
        <v>1</v>
      </c>
      <c r="M633" t="s">
        <v>50</v>
      </c>
      <c r="N633">
        <v>4</v>
      </c>
      <c r="O633" t="s">
        <v>48</v>
      </c>
      <c r="P633" s="1">
        <v>2818</v>
      </c>
      <c r="Q633" t="s">
        <v>72</v>
      </c>
      <c r="R633" t="s">
        <v>35</v>
      </c>
      <c r="S633">
        <v>4</v>
      </c>
      <c r="T633">
        <v>10</v>
      </c>
      <c r="U633">
        <v>2</v>
      </c>
      <c r="V633">
        <v>3</v>
      </c>
      <c r="W633">
        <v>2</v>
      </c>
      <c r="X633">
        <v>0</v>
      </c>
      <c r="Y633">
        <v>2</v>
      </c>
      <c r="Z633" t="s">
        <v>1550</v>
      </c>
      <c r="AA633" t="s">
        <v>69</v>
      </c>
      <c r="AB633" t="str" cm="1">
        <f t="array" ref="AB633">_xlfn.IFS(cleaned_data[[#This Row],[YearsAtCompany]]&lt;=5, "0-5",cleaned_data[[#This Row],[YearsAtCompany]]&lt;=10,"6-10",TRUE,"10+")</f>
        <v>0-5</v>
      </c>
    </row>
    <row r="634" spans="1:28" x14ac:dyDescent="0.3">
      <c r="A634" s="2">
        <v>42</v>
      </c>
      <c r="B634" t="s">
        <v>43</v>
      </c>
      <c r="C634">
        <v>0</v>
      </c>
      <c r="D634" t="s">
        <v>44</v>
      </c>
      <c r="E634" t="s">
        <v>45</v>
      </c>
      <c r="F634">
        <v>2</v>
      </c>
      <c r="G634" t="s">
        <v>51</v>
      </c>
      <c r="H634" t="s">
        <v>704</v>
      </c>
      <c r="I634">
        <v>2</v>
      </c>
      <c r="J634" t="s">
        <v>46</v>
      </c>
      <c r="K634">
        <v>3</v>
      </c>
      <c r="L634">
        <v>1</v>
      </c>
      <c r="M634" t="s">
        <v>47</v>
      </c>
      <c r="N634">
        <v>4</v>
      </c>
      <c r="O634" t="s">
        <v>41</v>
      </c>
      <c r="P634" s="1">
        <v>2515</v>
      </c>
      <c r="Q634" t="s">
        <v>72</v>
      </c>
      <c r="R634" t="s">
        <v>35</v>
      </c>
      <c r="S634">
        <v>3</v>
      </c>
      <c r="T634">
        <v>8</v>
      </c>
      <c r="U634">
        <v>3</v>
      </c>
      <c r="V634">
        <v>2</v>
      </c>
      <c r="W634">
        <v>1</v>
      </c>
      <c r="X634">
        <v>2</v>
      </c>
      <c r="Y634">
        <v>2</v>
      </c>
      <c r="Z634" t="s">
        <v>1550</v>
      </c>
      <c r="AA634" t="s">
        <v>69</v>
      </c>
      <c r="AB634" t="str" cm="1">
        <f t="array" ref="AB634">_xlfn.IFS(cleaned_data[[#This Row],[YearsAtCompany]]&lt;=5, "0-5",cleaned_data[[#This Row],[YearsAtCompany]]&lt;=10,"6-10",TRUE,"10+")</f>
        <v>0-5</v>
      </c>
    </row>
    <row r="635" spans="1:28" x14ac:dyDescent="0.3">
      <c r="A635" s="2">
        <v>36</v>
      </c>
      <c r="B635" t="s">
        <v>43</v>
      </c>
      <c r="C635">
        <v>0</v>
      </c>
      <c r="D635" t="s">
        <v>36</v>
      </c>
      <c r="E635" t="s">
        <v>61</v>
      </c>
      <c r="F635">
        <v>8</v>
      </c>
      <c r="G635" t="s">
        <v>38</v>
      </c>
      <c r="H635" t="s">
        <v>705</v>
      </c>
      <c r="I635">
        <v>1</v>
      </c>
      <c r="J635" t="s">
        <v>46</v>
      </c>
      <c r="K635">
        <v>2</v>
      </c>
      <c r="L635">
        <v>1</v>
      </c>
      <c r="M635" t="s">
        <v>61</v>
      </c>
      <c r="N635">
        <v>1</v>
      </c>
      <c r="O635" t="s">
        <v>48</v>
      </c>
      <c r="P635" s="6">
        <v>2342</v>
      </c>
      <c r="Q635" t="s">
        <v>72</v>
      </c>
      <c r="R635" t="s">
        <v>43</v>
      </c>
      <c r="S635">
        <v>4</v>
      </c>
      <c r="T635">
        <v>6</v>
      </c>
      <c r="U635">
        <v>3</v>
      </c>
      <c r="V635">
        <v>5</v>
      </c>
      <c r="W635">
        <v>4</v>
      </c>
      <c r="X635">
        <v>0</v>
      </c>
      <c r="Y635">
        <v>3</v>
      </c>
      <c r="Z635" t="s">
        <v>1550</v>
      </c>
      <c r="AA635" t="s">
        <v>69</v>
      </c>
      <c r="AB635" t="str" cm="1">
        <f t="array" ref="AB635">_xlfn.IFS(cleaned_data[[#This Row],[YearsAtCompany]]&lt;=5, "0-5",cleaned_data[[#This Row],[YearsAtCompany]]&lt;=10,"6-10",TRUE,"10+")</f>
        <v>0-5</v>
      </c>
    </row>
    <row r="636" spans="1:28" x14ac:dyDescent="0.3">
      <c r="A636" s="2">
        <v>25</v>
      </c>
      <c r="B636" t="s">
        <v>43</v>
      </c>
      <c r="C636">
        <v>0</v>
      </c>
      <c r="D636" t="s">
        <v>36</v>
      </c>
      <c r="E636" t="s">
        <v>37</v>
      </c>
      <c r="F636">
        <v>3</v>
      </c>
      <c r="G636" t="s">
        <v>49</v>
      </c>
      <c r="H636" t="s">
        <v>706</v>
      </c>
      <c r="I636">
        <v>3</v>
      </c>
      <c r="J636" t="s">
        <v>46</v>
      </c>
      <c r="K636">
        <v>3</v>
      </c>
      <c r="L636">
        <v>2</v>
      </c>
      <c r="M636" t="s">
        <v>40</v>
      </c>
      <c r="N636">
        <v>1</v>
      </c>
      <c r="O636" t="s">
        <v>48</v>
      </c>
      <c r="P636" s="6">
        <v>4194</v>
      </c>
      <c r="Q636" t="s">
        <v>72</v>
      </c>
      <c r="R636" t="s">
        <v>35</v>
      </c>
      <c r="S636">
        <v>3</v>
      </c>
      <c r="T636">
        <v>5</v>
      </c>
      <c r="U636">
        <v>3</v>
      </c>
      <c r="V636">
        <v>5</v>
      </c>
      <c r="W636">
        <v>3</v>
      </c>
      <c r="X636">
        <v>0</v>
      </c>
      <c r="Y636">
        <v>3</v>
      </c>
      <c r="Z636" t="s">
        <v>68</v>
      </c>
      <c r="AA636" t="s">
        <v>78</v>
      </c>
      <c r="AB636" t="str" cm="1">
        <f t="array" ref="AB636">_xlfn.IFS(cleaned_data[[#This Row],[YearsAtCompany]]&lt;=5, "0-5",cleaned_data[[#This Row],[YearsAtCompany]]&lt;=10,"6-10",TRUE,"10+")</f>
        <v>0-5</v>
      </c>
    </row>
    <row r="637" spans="1:28" x14ac:dyDescent="0.3">
      <c r="A637" s="2">
        <v>35</v>
      </c>
      <c r="B637" t="s">
        <v>43</v>
      </c>
      <c r="C637">
        <v>0</v>
      </c>
      <c r="D637" t="s">
        <v>36</v>
      </c>
      <c r="E637" t="s">
        <v>45</v>
      </c>
      <c r="F637">
        <v>9</v>
      </c>
      <c r="G637" t="s">
        <v>38</v>
      </c>
      <c r="H637" t="s">
        <v>707</v>
      </c>
      <c r="I637">
        <v>4</v>
      </c>
      <c r="J637" t="s">
        <v>39</v>
      </c>
      <c r="K637">
        <v>2</v>
      </c>
      <c r="L637">
        <v>3</v>
      </c>
      <c r="M637" t="s">
        <v>53</v>
      </c>
      <c r="N637">
        <v>3</v>
      </c>
      <c r="O637" t="s">
        <v>48</v>
      </c>
      <c r="P637" s="1">
        <v>10685</v>
      </c>
      <c r="Q637" t="s">
        <v>67</v>
      </c>
      <c r="R637" t="s">
        <v>35</v>
      </c>
      <c r="S637">
        <v>4</v>
      </c>
      <c r="T637">
        <v>17</v>
      </c>
      <c r="U637">
        <v>3</v>
      </c>
      <c r="V637">
        <v>17</v>
      </c>
      <c r="W637">
        <v>14</v>
      </c>
      <c r="X637">
        <v>5</v>
      </c>
      <c r="Y637">
        <v>15</v>
      </c>
      <c r="Z637" t="s">
        <v>1551</v>
      </c>
      <c r="AA637" t="s">
        <v>82</v>
      </c>
      <c r="AB637" t="str" cm="1">
        <f t="array" ref="AB637">_xlfn.IFS(cleaned_data[[#This Row],[YearsAtCompany]]&lt;=5, "0-5",cleaned_data[[#This Row],[YearsAtCompany]]&lt;=10,"6-10",TRUE,"10+")</f>
        <v>10+</v>
      </c>
    </row>
    <row r="638" spans="1:28" x14ac:dyDescent="0.3">
      <c r="A638" s="2">
        <v>35</v>
      </c>
      <c r="B638" t="s">
        <v>35</v>
      </c>
      <c r="C638">
        <v>1</v>
      </c>
      <c r="D638" t="s">
        <v>44</v>
      </c>
      <c r="E638" t="s">
        <v>45</v>
      </c>
      <c r="F638">
        <v>25</v>
      </c>
      <c r="G638" t="s">
        <v>38</v>
      </c>
      <c r="H638" t="s">
        <v>708</v>
      </c>
      <c r="I638">
        <v>4</v>
      </c>
      <c r="J638" t="s">
        <v>39</v>
      </c>
      <c r="K638">
        <v>3</v>
      </c>
      <c r="L638">
        <v>1</v>
      </c>
      <c r="M638" t="s">
        <v>47</v>
      </c>
      <c r="N638">
        <v>2</v>
      </c>
      <c r="O638" t="s">
        <v>52</v>
      </c>
      <c r="P638" s="1">
        <v>2022</v>
      </c>
      <c r="Q638" t="s">
        <v>72</v>
      </c>
      <c r="R638" t="s">
        <v>35</v>
      </c>
      <c r="S638">
        <v>3</v>
      </c>
      <c r="T638">
        <v>10</v>
      </c>
      <c r="U638">
        <v>2</v>
      </c>
      <c r="V638">
        <v>10</v>
      </c>
      <c r="W638">
        <v>2</v>
      </c>
      <c r="X638">
        <v>7</v>
      </c>
      <c r="Y638">
        <v>8</v>
      </c>
      <c r="Z638" t="s">
        <v>1551</v>
      </c>
      <c r="AA638" t="s">
        <v>69</v>
      </c>
      <c r="AB638" t="str" cm="1">
        <f t="array" ref="AB638">_xlfn.IFS(cleaned_data[[#This Row],[YearsAtCompany]]&lt;=5, "0-5",cleaned_data[[#This Row],[YearsAtCompany]]&lt;=10,"6-10",TRUE,"10+")</f>
        <v>6-10</v>
      </c>
    </row>
    <row r="639" spans="1:28" x14ac:dyDescent="0.3">
      <c r="A639" s="2">
        <v>32</v>
      </c>
      <c r="B639" t="s">
        <v>43</v>
      </c>
      <c r="C639">
        <v>0</v>
      </c>
      <c r="D639" t="s">
        <v>55</v>
      </c>
      <c r="E639" t="s">
        <v>45</v>
      </c>
      <c r="F639">
        <v>1</v>
      </c>
      <c r="G639" t="s">
        <v>38</v>
      </c>
      <c r="H639" t="s">
        <v>709</v>
      </c>
      <c r="I639">
        <v>4</v>
      </c>
      <c r="J639" t="s">
        <v>46</v>
      </c>
      <c r="K639">
        <v>3</v>
      </c>
      <c r="L639">
        <v>1</v>
      </c>
      <c r="M639" t="s">
        <v>50</v>
      </c>
      <c r="N639">
        <v>4</v>
      </c>
      <c r="O639" t="s">
        <v>52</v>
      </c>
      <c r="P639" s="1">
        <v>2314</v>
      </c>
      <c r="Q639" t="s">
        <v>72</v>
      </c>
      <c r="R639" t="s">
        <v>43</v>
      </c>
      <c r="S639">
        <v>3</v>
      </c>
      <c r="T639">
        <v>4</v>
      </c>
      <c r="U639">
        <v>3</v>
      </c>
      <c r="V639">
        <v>3</v>
      </c>
      <c r="W639">
        <v>0</v>
      </c>
      <c r="X639">
        <v>0</v>
      </c>
      <c r="Y639">
        <v>2</v>
      </c>
      <c r="Z639" t="s">
        <v>1551</v>
      </c>
      <c r="AA639" t="s">
        <v>78</v>
      </c>
      <c r="AB639" t="str" cm="1">
        <f t="array" ref="AB639">_xlfn.IFS(cleaned_data[[#This Row],[YearsAtCompany]]&lt;=5, "0-5",cleaned_data[[#This Row],[YearsAtCompany]]&lt;=10,"6-10",TRUE,"10+")</f>
        <v>0-5</v>
      </c>
    </row>
    <row r="640" spans="1:28" x14ac:dyDescent="0.3">
      <c r="A640" s="2">
        <v>25</v>
      </c>
      <c r="B640" t="s">
        <v>43</v>
      </c>
      <c r="C640">
        <v>0</v>
      </c>
      <c r="D640" t="s">
        <v>36</v>
      </c>
      <c r="E640" t="s">
        <v>37</v>
      </c>
      <c r="F640">
        <v>4</v>
      </c>
      <c r="G640" t="s">
        <v>59</v>
      </c>
      <c r="H640" t="s">
        <v>710</v>
      </c>
      <c r="I640">
        <v>3</v>
      </c>
      <c r="J640" t="s">
        <v>46</v>
      </c>
      <c r="K640">
        <v>2</v>
      </c>
      <c r="L640">
        <v>2</v>
      </c>
      <c r="M640" t="s">
        <v>40</v>
      </c>
      <c r="N640">
        <v>1</v>
      </c>
      <c r="O640" t="s">
        <v>48</v>
      </c>
      <c r="P640" s="6">
        <v>4256</v>
      </c>
      <c r="Q640" t="s">
        <v>72</v>
      </c>
      <c r="R640" t="s">
        <v>43</v>
      </c>
      <c r="S640">
        <v>3</v>
      </c>
      <c r="T640">
        <v>5</v>
      </c>
      <c r="U640">
        <v>4</v>
      </c>
      <c r="V640">
        <v>5</v>
      </c>
      <c r="W640">
        <v>2</v>
      </c>
      <c r="X640">
        <v>0</v>
      </c>
      <c r="Y640">
        <v>3</v>
      </c>
      <c r="Z640" t="s">
        <v>68</v>
      </c>
      <c r="AA640" t="s">
        <v>78</v>
      </c>
      <c r="AB640" t="str" cm="1">
        <f t="array" ref="AB640">_xlfn.IFS(cleaned_data[[#This Row],[YearsAtCompany]]&lt;=5, "0-5",cleaned_data[[#This Row],[YearsAtCompany]]&lt;=10,"6-10",TRUE,"10+")</f>
        <v>0-5</v>
      </c>
    </row>
    <row r="641" spans="1:28" x14ac:dyDescent="0.3">
      <c r="A641" s="2">
        <v>49</v>
      </c>
      <c r="B641" t="s">
        <v>43</v>
      </c>
      <c r="C641">
        <v>0</v>
      </c>
      <c r="D641" t="s">
        <v>36</v>
      </c>
      <c r="E641" t="s">
        <v>45</v>
      </c>
      <c r="F641">
        <v>1</v>
      </c>
      <c r="G641" t="s">
        <v>60</v>
      </c>
      <c r="H641" t="s">
        <v>711</v>
      </c>
      <c r="I641">
        <v>3</v>
      </c>
      <c r="J641" t="s">
        <v>39</v>
      </c>
      <c r="K641">
        <v>3</v>
      </c>
      <c r="L641">
        <v>1</v>
      </c>
      <c r="M641" t="s">
        <v>47</v>
      </c>
      <c r="N641">
        <v>1</v>
      </c>
      <c r="O641" t="s">
        <v>48</v>
      </c>
      <c r="P641" s="6">
        <v>3580</v>
      </c>
      <c r="Q641" t="s">
        <v>72</v>
      </c>
      <c r="R641" t="s">
        <v>43</v>
      </c>
      <c r="S641">
        <v>3</v>
      </c>
      <c r="T641">
        <v>7</v>
      </c>
      <c r="U641">
        <v>3</v>
      </c>
      <c r="V641">
        <v>4</v>
      </c>
      <c r="W641">
        <v>2</v>
      </c>
      <c r="X641">
        <v>0</v>
      </c>
      <c r="Y641">
        <v>2</v>
      </c>
      <c r="Z641" t="s">
        <v>106</v>
      </c>
      <c r="AA641" t="s">
        <v>69</v>
      </c>
      <c r="AB641" t="str" cm="1">
        <f t="array" ref="AB641">_xlfn.IFS(cleaned_data[[#This Row],[YearsAtCompany]]&lt;=5, "0-5",cleaned_data[[#This Row],[YearsAtCompany]]&lt;=10,"6-10",TRUE,"10+")</f>
        <v>0-5</v>
      </c>
    </row>
    <row r="642" spans="1:28" x14ac:dyDescent="0.3">
      <c r="A642" s="2">
        <v>24</v>
      </c>
      <c r="B642" t="s">
        <v>43</v>
      </c>
      <c r="C642">
        <v>0</v>
      </c>
      <c r="D642" t="s">
        <v>55</v>
      </c>
      <c r="E642" t="s">
        <v>45</v>
      </c>
      <c r="F642">
        <v>4</v>
      </c>
      <c r="G642" t="s">
        <v>38</v>
      </c>
      <c r="H642" t="s">
        <v>712</v>
      </c>
      <c r="I642">
        <v>1</v>
      </c>
      <c r="J642" t="s">
        <v>46</v>
      </c>
      <c r="K642">
        <v>2</v>
      </c>
      <c r="L642">
        <v>1</v>
      </c>
      <c r="M642" t="s">
        <v>50</v>
      </c>
      <c r="N642">
        <v>4</v>
      </c>
      <c r="O642" t="s">
        <v>48</v>
      </c>
      <c r="P642" s="1">
        <v>3162</v>
      </c>
      <c r="Q642" t="s">
        <v>72</v>
      </c>
      <c r="R642" t="s">
        <v>43</v>
      </c>
      <c r="S642">
        <v>3</v>
      </c>
      <c r="T642">
        <v>6</v>
      </c>
      <c r="U642">
        <v>2</v>
      </c>
      <c r="V642">
        <v>5</v>
      </c>
      <c r="W642">
        <v>2</v>
      </c>
      <c r="X642">
        <v>3</v>
      </c>
      <c r="Y642">
        <v>4</v>
      </c>
      <c r="Z642" t="s">
        <v>68</v>
      </c>
      <c r="AA642" t="s">
        <v>69</v>
      </c>
      <c r="AB642" t="str" cm="1">
        <f t="array" ref="AB642">_xlfn.IFS(cleaned_data[[#This Row],[YearsAtCompany]]&lt;=5, "0-5",cleaned_data[[#This Row],[YearsAtCompany]]&lt;=10,"6-10",TRUE,"10+")</f>
        <v>0-5</v>
      </c>
    </row>
    <row r="643" spans="1:28" x14ac:dyDescent="0.3">
      <c r="A643" s="2">
        <v>32</v>
      </c>
      <c r="B643" t="s">
        <v>43</v>
      </c>
      <c r="C643">
        <v>0</v>
      </c>
      <c r="D643" t="s">
        <v>44</v>
      </c>
      <c r="E643" t="s">
        <v>37</v>
      </c>
      <c r="F643">
        <v>5</v>
      </c>
      <c r="G643" t="s">
        <v>38</v>
      </c>
      <c r="H643" t="s">
        <v>713</v>
      </c>
      <c r="I643">
        <v>2</v>
      </c>
      <c r="J643" t="s">
        <v>46</v>
      </c>
      <c r="K643">
        <v>3</v>
      </c>
      <c r="L643">
        <v>2</v>
      </c>
      <c r="M643" t="s">
        <v>40</v>
      </c>
      <c r="N643">
        <v>2</v>
      </c>
      <c r="O643" t="s">
        <v>48</v>
      </c>
      <c r="P643" s="1">
        <v>6524</v>
      </c>
      <c r="Q643" t="s">
        <v>67</v>
      </c>
      <c r="R643" t="s">
        <v>43</v>
      </c>
      <c r="S643">
        <v>3</v>
      </c>
      <c r="T643">
        <v>10</v>
      </c>
      <c r="U643">
        <v>3</v>
      </c>
      <c r="V643">
        <v>10</v>
      </c>
      <c r="W643">
        <v>8</v>
      </c>
      <c r="X643">
        <v>5</v>
      </c>
      <c r="Y643">
        <v>3</v>
      </c>
      <c r="Z643" t="s">
        <v>1551</v>
      </c>
      <c r="AA643" t="s">
        <v>69</v>
      </c>
      <c r="AB643" t="str" cm="1">
        <f t="array" ref="AB643">_xlfn.IFS(cleaned_data[[#This Row],[YearsAtCompany]]&lt;=5, "0-5",cleaned_data[[#This Row],[YearsAtCompany]]&lt;=10,"6-10",TRUE,"10+")</f>
        <v>6-10</v>
      </c>
    </row>
    <row r="644" spans="1:28" x14ac:dyDescent="0.3">
      <c r="A644" s="2">
        <v>38</v>
      </c>
      <c r="B644" t="s">
        <v>43</v>
      </c>
      <c r="C644">
        <v>0</v>
      </c>
      <c r="D644" t="s">
        <v>36</v>
      </c>
      <c r="E644" t="s">
        <v>37</v>
      </c>
      <c r="F644">
        <v>9</v>
      </c>
      <c r="G644" t="s">
        <v>59</v>
      </c>
      <c r="H644" t="s">
        <v>714</v>
      </c>
      <c r="I644">
        <v>2</v>
      </c>
      <c r="J644" t="s">
        <v>46</v>
      </c>
      <c r="K644">
        <v>2</v>
      </c>
      <c r="L644">
        <v>1</v>
      </c>
      <c r="M644" t="s">
        <v>57</v>
      </c>
      <c r="N644">
        <v>2</v>
      </c>
      <c r="O644" t="s">
        <v>48</v>
      </c>
      <c r="P644" s="1">
        <v>2899</v>
      </c>
      <c r="Q644" t="s">
        <v>72</v>
      </c>
      <c r="R644" t="s">
        <v>43</v>
      </c>
      <c r="S644">
        <v>3</v>
      </c>
      <c r="T644">
        <v>3</v>
      </c>
      <c r="U644">
        <v>3</v>
      </c>
      <c r="V644">
        <v>2</v>
      </c>
      <c r="W644">
        <v>2</v>
      </c>
      <c r="X644">
        <v>1</v>
      </c>
      <c r="Y644">
        <v>2</v>
      </c>
      <c r="Z644" t="s">
        <v>1550</v>
      </c>
      <c r="AA644" t="s">
        <v>78</v>
      </c>
      <c r="AB644" t="str" cm="1">
        <f t="array" ref="AB644">_xlfn.IFS(cleaned_data[[#This Row],[YearsAtCompany]]&lt;=5, "0-5",cleaned_data[[#This Row],[YearsAtCompany]]&lt;=10,"6-10",TRUE,"10+")</f>
        <v>0-5</v>
      </c>
    </row>
    <row r="645" spans="1:28" x14ac:dyDescent="0.3">
      <c r="A645" s="2">
        <v>42</v>
      </c>
      <c r="B645" t="s">
        <v>43</v>
      </c>
      <c r="C645">
        <v>0</v>
      </c>
      <c r="D645" t="s">
        <v>36</v>
      </c>
      <c r="E645" t="s">
        <v>45</v>
      </c>
      <c r="F645">
        <v>3</v>
      </c>
      <c r="G645" t="s">
        <v>38</v>
      </c>
      <c r="H645" t="s">
        <v>715</v>
      </c>
      <c r="I645">
        <v>3</v>
      </c>
      <c r="J645" t="s">
        <v>39</v>
      </c>
      <c r="K645">
        <v>4</v>
      </c>
      <c r="L645">
        <v>2</v>
      </c>
      <c r="M645" t="s">
        <v>50</v>
      </c>
      <c r="N645">
        <v>4</v>
      </c>
      <c r="O645" t="s">
        <v>48</v>
      </c>
      <c r="P645" s="1">
        <v>5231</v>
      </c>
      <c r="Q645" t="s">
        <v>67</v>
      </c>
      <c r="R645" t="s">
        <v>35</v>
      </c>
      <c r="S645">
        <v>3</v>
      </c>
      <c r="T645">
        <v>17</v>
      </c>
      <c r="U645">
        <v>2</v>
      </c>
      <c r="V645">
        <v>5</v>
      </c>
      <c r="W645">
        <v>3</v>
      </c>
      <c r="X645">
        <v>1</v>
      </c>
      <c r="Y645">
        <v>3</v>
      </c>
      <c r="Z645" t="s">
        <v>1550</v>
      </c>
      <c r="AA645" t="s">
        <v>82</v>
      </c>
      <c r="AB645" t="str" cm="1">
        <f t="array" ref="AB645">_xlfn.IFS(cleaned_data[[#This Row],[YearsAtCompany]]&lt;=5, "0-5",cleaned_data[[#This Row],[YearsAtCompany]]&lt;=10,"6-10",TRUE,"10+")</f>
        <v>0-5</v>
      </c>
    </row>
    <row r="646" spans="1:28" x14ac:dyDescent="0.3">
      <c r="A646" s="2">
        <v>31</v>
      </c>
      <c r="B646" t="s">
        <v>43</v>
      </c>
      <c r="C646">
        <v>0</v>
      </c>
      <c r="D646" t="s">
        <v>36</v>
      </c>
      <c r="E646" t="s">
        <v>45</v>
      </c>
      <c r="F646">
        <v>11</v>
      </c>
      <c r="G646" t="s">
        <v>38</v>
      </c>
      <c r="H646" t="s">
        <v>716</v>
      </c>
      <c r="I646">
        <v>4</v>
      </c>
      <c r="J646" t="s">
        <v>46</v>
      </c>
      <c r="K646">
        <v>3</v>
      </c>
      <c r="L646">
        <v>1</v>
      </c>
      <c r="M646" t="s">
        <v>47</v>
      </c>
      <c r="N646">
        <v>4</v>
      </c>
      <c r="O646" t="s">
        <v>48</v>
      </c>
      <c r="P646" s="1">
        <v>2356</v>
      </c>
      <c r="Q646" t="s">
        <v>72</v>
      </c>
      <c r="R646" t="s">
        <v>35</v>
      </c>
      <c r="S646">
        <v>3</v>
      </c>
      <c r="T646">
        <v>8</v>
      </c>
      <c r="U646">
        <v>3</v>
      </c>
      <c r="V646">
        <v>6</v>
      </c>
      <c r="W646">
        <v>4</v>
      </c>
      <c r="X646">
        <v>0</v>
      </c>
      <c r="Y646">
        <v>2</v>
      </c>
      <c r="Z646" t="s">
        <v>1551</v>
      </c>
      <c r="AA646" t="s">
        <v>69</v>
      </c>
      <c r="AB646" t="str" cm="1">
        <f t="array" ref="AB646">_xlfn.IFS(cleaned_data[[#This Row],[YearsAtCompany]]&lt;=5, "0-5",cleaned_data[[#This Row],[YearsAtCompany]]&lt;=10,"6-10",TRUE,"10+")</f>
        <v>6-10</v>
      </c>
    </row>
    <row r="647" spans="1:28" x14ac:dyDescent="0.3">
      <c r="A647" s="2">
        <v>29</v>
      </c>
      <c r="B647" t="s">
        <v>35</v>
      </c>
      <c r="C647">
        <v>1</v>
      </c>
      <c r="D647" t="s">
        <v>36</v>
      </c>
      <c r="E647" t="s">
        <v>37</v>
      </c>
      <c r="F647">
        <v>1</v>
      </c>
      <c r="G647" t="s">
        <v>51</v>
      </c>
      <c r="H647" t="s">
        <v>717</v>
      </c>
      <c r="I647">
        <v>2</v>
      </c>
      <c r="J647" t="s">
        <v>39</v>
      </c>
      <c r="K647">
        <v>2</v>
      </c>
      <c r="L647">
        <v>1</v>
      </c>
      <c r="M647" t="s">
        <v>57</v>
      </c>
      <c r="N647">
        <v>3</v>
      </c>
      <c r="O647" t="s">
        <v>52</v>
      </c>
      <c r="P647" s="1">
        <v>2800</v>
      </c>
      <c r="Q647" t="s">
        <v>72</v>
      </c>
      <c r="R647" t="s">
        <v>35</v>
      </c>
      <c r="S647">
        <v>3</v>
      </c>
      <c r="T647">
        <v>5</v>
      </c>
      <c r="U647">
        <v>3</v>
      </c>
      <c r="V647">
        <v>3</v>
      </c>
      <c r="W647">
        <v>2</v>
      </c>
      <c r="X647">
        <v>0</v>
      </c>
      <c r="Y647">
        <v>2</v>
      </c>
      <c r="Z647" t="s">
        <v>1551</v>
      </c>
      <c r="AA647" t="s">
        <v>78</v>
      </c>
      <c r="AB647" t="str" cm="1">
        <f t="array" ref="AB647">_xlfn.IFS(cleaned_data[[#This Row],[YearsAtCompany]]&lt;=5, "0-5",cleaned_data[[#This Row],[YearsAtCompany]]&lt;=10,"6-10",TRUE,"10+")</f>
        <v>0-5</v>
      </c>
    </row>
    <row r="648" spans="1:28" x14ac:dyDescent="0.3">
      <c r="A648" s="2">
        <v>53</v>
      </c>
      <c r="B648" t="s">
        <v>43</v>
      </c>
      <c r="C648">
        <v>0</v>
      </c>
      <c r="D648" t="s">
        <v>36</v>
      </c>
      <c r="E648" t="s">
        <v>37</v>
      </c>
      <c r="F648">
        <v>8</v>
      </c>
      <c r="G648" t="s">
        <v>59</v>
      </c>
      <c r="H648" t="s">
        <v>718</v>
      </c>
      <c r="I648">
        <v>1</v>
      </c>
      <c r="J648" t="s">
        <v>46</v>
      </c>
      <c r="K648">
        <v>3</v>
      </c>
      <c r="L648">
        <v>4</v>
      </c>
      <c r="M648" t="s">
        <v>40</v>
      </c>
      <c r="N648">
        <v>4</v>
      </c>
      <c r="O648" t="s">
        <v>48</v>
      </c>
      <c r="P648" s="1">
        <v>11836</v>
      </c>
      <c r="Q648" t="s">
        <v>67</v>
      </c>
      <c r="R648" t="s">
        <v>43</v>
      </c>
      <c r="S648">
        <v>3</v>
      </c>
      <c r="T648">
        <v>28</v>
      </c>
      <c r="U648">
        <v>3</v>
      </c>
      <c r="V648">
        <v>2</v>
      </c>
      <c r="W648">
        <v>0</v>
      </c>
      <c r="X648">
        <v>2</v>
      </c>
      <c r="Y648">
        <v>2</v>
      </c>
      <c r="Z648" t="s">
        <v>106</v>
      </c>
      <c r="AA648" t="s">
        <v>82</v>
      </c>
      <c r="AB648" t="str" cm="1">
        <f t="array" ref="AB648">_xlfn.IFS(cleaned_data[[#This Row],[YearsAtCompany]]&lt;=5, "0-5",cleaned_data[[#This Row],[YearsAtCompany]]&lt;=10,"6-10",TRUE,"10+")</f>
        <v>0-5</v>
      </c>
    </row>
    <row r="649" spans="1:28" x14ac:dyDescent="0.3">
      <c r="A649" s="2">
        <v>35</v>
      </c>
      <c r="B649" t="s">
        <v>43</v>
      </c>
      <c r="C649">
        <v>0</v>
      </c>
      <c r="D649" t="s">
        <v>36</v>
      </c>
      <c r="E649" t="s">
        <v>45</v>
      </c>
      <c r="F649">
        <v>25</v>
      </c>
      <c r="G649" t="s">
        <v>60</v>
      </c>
      <c r="H649" t="s">
        <v>719</v>
      </c>
      <c r="I649">
        <v>4</v>
      </c>
      <c r="J649" t="s">
        <v>46</v>
      </c>
      <c r="K649">
        <v>2</v>
      </c>
      <c r="L649">
        <v>3</v>
      </c>
      <c r="M649" t="s">
        <v>53</v>
      </c>
      <c r="N649">
        <v>2</v>
      </c>
      <c r="O649" t="s">
        <v>48</v>
      </c>
      <c r="P649" s="1">
        <v>10903</v>
      </c>
      <c r="Q649" t="s">
        <v>67</v>
      </c>
      <c r="R649" t="s">
        <v>43</v>
      </c>
      <c r="S649">
        <v>3</v>
      </c>
      <c r="T649">
        <v>16</v>
      </c>
      <c r="U649">
        <v>3</v>
      </c>
      <c r="V649">
        <v>13</v>
      </c>
      <c r="W649">
        <v>10</v>
      </c>
      <c r="X649">
        <v>4</v>
      </c>
      <c r="Y649">
        <v>8</v>
      </c>
      <c r="Z649" t="s">
        <v>1551</v>
      </c>
      <c r="AA649" t="s">
        <v>82</v>
      </c>
      <c r="AB649" t="str" cm="1">
        <f t="array" ref="AB649">_xlfn.IFS(cleaned_data[[#This Row],[YearsAtCompany]]&lt;=5, "0-5",cleaned_data[[#This Row],[YearsAtCompany]]&lt;=10,"6-10",TRUE,"10+")</f>
        <v>10+</v>
      </c>
    </row>
    <row r="650" spans="1:28" x14ac:dyDescent="0.3">
      <c r="A650" s="2">
        <v>37</v>
      </c>
      <c r="B650" t="s">
        <v>43</v>
      </c>
      <c r="C650">
        <v>0</v>
      </c>
      <c r="D650" t="s">
        <v>44</v>
      </c>
      <c r="E650" t="s">
        <v>37</v>
      </c>
      <c r="F650">
        <v>21</v>
      </c>
      <c r="G650" t="s">
        <v>51</v>
      </c>
      <c r="H650" t="s">
        <v>720</v>
      </c>
      <c r="I650">
        <v>3</v>
      </c>
      <c r="J650" t="s">
        <v>39</v>
      </c>
      <c r="K650">
        <v>3</v>
      </c>
      <c r="L650">
        <v>1</v>
      </c>
      <c r="M650" t="s">
        <v>57</v>
      </c>
      <c r="N650">
        <v>4</v>
      </c>
      <c r="O650" t="s">
        <v>48</v>
      </c>
      <c r="P650" s="1">
        <v>2973</v>
      </c>
      <c r="Q650" t="s">
        <v>72</v>
      </c>
      <c r="R650" t="s">
        <v>43</v>
      </c>
      <c r="S650">
        <v>3</v>
      </c>
      <c r="T650">
        <v>10</v>
      </c>
      <c r="U650">
        <v>3</v>
      </c>
      <c r="V650">
        <v>5</v>
      </c>
      <c r="W650">
        <v>4</v>
      </c>
      <c r="X650">
        <v>0</v>
      </c>
      <c r="Y650">
        <v>0</v>
      </c>
      <c r="Z650" t="s">
        <v>1550</v>
      </c>
      <c r="AA650" t="s">
        <v>69</v>
      </c>
      <c r="AB650" t="str" cm="1">
        <f t="array" ref="AB650">_xlfn.IFS(cleaned_data[[#This Row],[YearsAtCompany]]&lt;=5, "0-5",cleaned_data[[#This Row],[YearsAtCompany]]&lt;=10,"6-10",TRUE,"10+")</f>
        <v>0-5</v>
      </c>
    </row>
    <row r="651" spans="1:28" x14ac:dyDescent="0.3">
      <c r="A651" s="2">
        <v>53</v>
      </c>
      <c r="B651" t="s">
        <v>43</v>
      </c>
      <c r="C651">
        <v>0</v>
      </c>
      <c r="D651" t="s">
        <v>36</v>
      </c>
      <c r="E651" t="s">
        <v>45</v>
      </c>
      <c r="F651">
        <v>23</v>
      </c>
      <c r="G651" t="s">
        <v>38</v>
      </c>
      <c r="H651" t="s">
        <v>721</v>
      </c>
      <c r="I651">
        <v>4</v>
      </c>
      <c r="J651" t="s">
        <v>39</v>
      </c>
      <c r="K651">
        <v>3</v>
      </c>
      <c r="L651">
        <v>4</v>
      </c>
      <c r="M651" t="s">
        <v>58</v>
      </c>
      <c r="N651">
        <v>4</v>
      </c>
      <c r="O651" t="s">
        <v>41</v>
      </c>
      <c r="P651" s="1">
        <v>14275</v>
      </c>
      <c r="Q651" t="s">
        <v>90</v>
      </c>
      <c r="R651" t="s">
        <v>43</v>
      </c>
      <c r="S651">
        <v>3</v>
      </c>
      <c r="T651">
        <v>33</v>
      </c>
      <c r="U651">
        <v>3</v>
      </c>
      <c r="V651">
        <v>12</v>
      </c>
      <c r="W651">
        <v>9</v>
      </c>
      <c r="X651">
        <v>3</v>
      </c>
      <c r="Y651">
        <v>8</v>
      </c>
      <c r="Z651" t="s">
        <v>106</v>
      </c>
      <c r="AA651" t="s">
        <v>82</v>
      </c>
      <c r="AB651" t="str" cm="1">
        <f t="array" ref="AB651">_xlfn.IFS(cleaned_data[[#This Row],[YearsAtCompany]]&lt;=5, "0-5",cleaned_data[[#This Row],[YearsAtCompany]]&lt;=10,"6-10",TRUE,"10+")</f>
        <v>10+</v>
      </c>
    </row>
    <row r="652" spans="1:28" x14ac:dyDescent="0.3">
      <c r="A652" s="2">
        <v>43</v>
      </c>
      <c r="B652" t="s">
        <v>43</v>
      </c>
      <c r="C652">
        <v>0</v>
      </c>
      <c r="D652" t="s">
        <v>44</v>
      </c>
      <c r="E652" t="s">
        <v>45</v>
      </c>
      <c r="F652">
        <v>1</v>
      </c>
      <c r="G652" t="s">
        <v>38</v>
      </c>
      <c r="H652" t="s">
        <v>722</v>
      </c>
      <c r="I652">
        <v>4</v>
      </c>
      <c r="J652" t="s">
        <v>39</v>
      </c>
      <c r="K652">
        <v>3</v>
      </c>
      <c r="L652">
        <v>2</v>
      </c>
      <c r="M652" t="s">
        <v>54</v>
      </c>
      <c r="N652">
        <v>4</v>
      </c>
      <c r="O652" t="s">
        <v>48</v>
      </c>
      <c r="P652" s="1">
        <v>5562</v>
      </c>
      <c r="Q652" t="s">
        <v>67</v>
      </c>
      <c r="R652" t="s">
        <v>43</v>
      </c>
      <c r="S652">
        <v>3</v>
      </c>
      <c r="T652">
        <v>12</v>
      </c>
      <c r="U652">
        <v>2</v>
      </c>
      <c r="V652">
        <v>5</v>
      </c>
      <c r="W652">
        <v>2</v>
      </c>
      <c r="X652">
        <v>2</v>
      </c>
      <c r="Y652">
        <v>2</v>
      </c>
      <c r="Z652" t="s">
        <v>1550</v>
      </c>
      <c r="AA652" t="s">
        <v>69</v>
      </c>
      <c r="AB652" t="str" cm="1">
        <f t="array" ref="AB652">_xlfn.IFS(cleaned_data[[#This Row],[YearsAtCompany]]&lt;=5, "0-5",cleaned_data[[#This Row],[YearsAtCompany]]&lt;=10,"6-10",TRUE,"10+")</f>
        <v>0-5</v>
      </c>
    </row>
    <row r="653" spans="1:28" x14ac:dyDescent="0.3">
      <c r="A653" s="2">
        <v>47</v>
      </c>
      <c r="B653" t="s">
        <v>43</v>
      </c>
      <c r="C653">
        <v>0</v>
      </c>
      <c r="D653" t="s">
        <v>36</v>
      </c>
      <c r="E653" t="s">
        <v>37</v>
      </c>
      <c r="F653">
        <v>2</v>
      </c>
      <c r="G653" t="s">
        <v>59</v>
      </c>
      <c r="H653" t="s">
        <v>723</v>
      </c>
      <c r="I653">
        <v>3</v>
      </c>
      <c r="J653" t="s">
        <v>39</v>
      </c>
      <c r="K653">
        <v>3</v>
      </c>
      <c r="L653">
        <v>2</v>
      </c>
      <c r="M653" t="s">
        <v>40</v>
      </c>
      <c r="N653">
        <v>4</v>
      </c>
      <c r="O653" t="s">
        <v>48</v>
      </c>
      <c r="P653" s="1">
        <v>4537</v>
      </c>
      <c r="Q653" t="s">
        <v>72</v>
      </c>
      <c r="R653" t="s">
        <v>35</v>
      </c>
      <c r="S653">
        <v>4</v>
      </c>
      <c r="T653">
        <v>8</v>
      </c>
      <c r="U653">
        <v>3</v>
      </c>
      <c r="V653">
        <v>7</v>
      </c>
      <c r="W653">
        <v>6</v>
      </c>
      <c r="X653">
        <v>7</v>
      </c>
      <c r="Y653">
        <v>7</v>
      </c>
      <c r="Z653" t="s">
        <v>106</v>
      </c>
      <c r="AA653" t="s">
        <v>69</v>
      </c>
      <c r="AB653" t="str" cm="1">
        <f t="array" ref="AB653">_xlfn.IFS(cleaned_data[[#This Row],[YearsAtCompany]]&lt;=5, "0-5",cleaned_data[[#This Row],[YearsAtCompany]]&lt;=10,"6-10",TRUE,"10+")</f>
        <v>6-10</v>
      </c>
    </row>
    <row r="654" spans="1:28" x14ac:dyDescent="0.3">
      <c r="A654" s="2">
        <v>37</v>
      </c>
      <c r="B654" t="s">
        <v>43</v>
      </c>
      <c r="C654">
        <v>0</v>
      </c>
      <c r="D654" t="s">
        <v>55</v>
      </c>
      <c r="E654" t="s">
        <v>37</v>
      </c>
      <c r="F654">
        <v>19</v>
      </c>
      <c r="G654" t="s">
        <v>51</v>
      </c>
      <c r="H654" t="s">
        <v>724</v>
      </c>
      <c r="I654">
        <v>1</v>
      </c>
      <c r="J654" t="s">
        <v>46</v>
      </c>
      <c r="K654">
        <v>3</v>
      </c>
      <c r="L654">
        <v>3</v>
      </c>
      <c r="M654" t="s">
        <v>40</v>
      </c>
      <c r="N654">
        <v>2</v>
      </c>
      <c r="O654" t="s">
        <v>41</v>
      </c>
      <c r="P654" s="1">
        <v>7642</v>
      </c>
      <c r="Q654" t="s">
        <v>67</v>
      </c>
      <c r="R654" t="s">
        <v>35</v>
      </c>
      <c r="S654">
        <v>3</v>
      </c>
      <c r="T654">
        <v>10</v>
      </c>
      <c r="U654">
        <v>3</v>
      </c>
      <c r="V654">
        <v>10</v>
      </c>
      <c r="W654">
        <v>0</v>
      </c>
      <c r="X654">
        <v>0</v>
      </c>
      <c r="Y654">
        <v>9</v>
      </c>
      <c r="Z654" t="s">
        <v>1550</v>
      </c>
      <c r="AA654" t="s">
        <v>69</v>
      </c>
      <c r="AB654" t="str" cm="1">
        <f t="array" ref="AB654">_xlfn.IFS(cleaned_data[[#This Row],[YearsAtCompany]]&lt;=5, "0-5",cleaned_data[[#This Row],[YearsAtCompany]]&lt;=10,"6-10",TRUE,"10+")</f>
        <v>6-10</v>
      </c>
    </row>
    <row r="655" spans="1:28" x14ac:dyDescent="0.3">
      <c r="A655" s="2">
        <v>50</v>
      </c>
      <c r="B655" t="s">
        <v>43</v>
      </c>
      <c r="C655">
        <v>0</v>
      </c>
      <c r="D655" t="s">
        <v>55</v>
      </c>
      <c r="E655" t="s">
        <v>45</v>
      </c>
      <c r="F655">
        <v>2</v>
      </c>
      <c r="G655" t="s">
        <v>38</v>
      </c>
      <c r="H655" t="s">
        <v>725</v>
      </c>
      <c r="I655">
        <v>1</v>
      </c>
      <c r="J655" t="s">
        <v>46</v>
      </c>
      <c r="K655">
        <v>3</v>
      </c>
      <c r="L655">
        <v>4</v>
      </c>
      <c r="M655" t="s">
        <v>56</v>
      </c>
      <c r="N655">
        <v>1</v>
      </c>
      <c r="O655" t="s">
        <v>52</v>
      </c>
      <c r="P655" s="6">
        <v>17924</v>
      </c>
      <c r="Q655" t="s">
        <v>90</v>
      </c>
      <c r="R655" t="s">
        <v>43</v>
      </c>
      <c r="S655">
        <v>3</v>
      </c>
      <c r="T655">
        <v>31</v>
      </c>
      <c r="U655">
        <v>3</v>
      </c>
      <c r="V655">
        <v>31</v>
      </c>
      <c r="W655">
        <v>6</v>
      </c>
      <c r="X655">
        <v>14</v>
      </c>
      <c r="Y655">
        <v>7</v>
      </c>
      <c r="Z655" t="s">
        <v>106</v>
      </c>
      <c r="AA655" t="s">
        <v>82</v>
      </c>
      <c r="AB655" t="str" cm="1">
        <f t="array" ref="AB655">_xlfn.IFS(cleaned_data[[#This Row],[YearsAtCompany]]&lt;=5, "0-5",cleaned_data[[#This Row],[YearsAtCompany]]&lt;=10,"6-10",TRUE,"10+")</f>
        <v>10+</v>
      </c>
    </row>
    <row r="656" spans="1:28" x14ac:dyDescent="0.3">
      <c r="A656" s="2">
        <v>39</v>
      </c>
      <c r="B656" t="s">
        <v>43</v>
      </c>
      <c r="C656">
        <v>0</v>
      </c>
      <c r="D656" t="s">
        <v>36</v>
      </c>
      <c r="E656" t="s">
        <v>61</v>
      </c>
      <c r="F656">
        <v>2</v>
      </c>
      <c r="G656" t="s">
        <v>38</v>
      </c>
      <c r="H656" t="s">
        <v>726</v>
      </c>
      <c r="I656">
        <v>4</v>
      </c>
      <c r="J656" t="s">
        <v>39</v>
      </c>
      <c r="K656">
        <v>2</v>
      </c>
      <c r="L656">
        <v>2</v>
      </c>
      <c r="M656" t="s">
        <v>61</v>
      </c>
      <c r="N656">
        <v>4</v>
      </c>
      <c r="O656" t="s">
        <v>48</v>
      </c>
      <c r="P656" s="1">
        <v>5204</v>
      </c>
      <c r="Q656" t="s">
        <v>67</v>
      </c>
      <c r="R656" t="s">
        <v>43</v>
      </c>
      <c r="S656">
        <v>3</v>
      </c>
      <c r="T656">
        <v>13</v>
      </c>
      <c r="U656">
        <v>3</v>
      </c>
      <c r="V656">
        <v>5</v>
      </c>
      <c r="W656">
        <v>4</v>
      </c>
      <c r="X656">
        <v>0</v>
      </c>
      <c r="Y656">
        <v>4</v>
      </c>
      <c r="Z656" t="s">
        <v>1550</v>
      </c>
      <c r="AA656" t="s">
        <v>69</v>
      </c>
      <c r="AB656" t="str" cm="1">
        <f t="array" ref="AB656">_xlfn.IFS(cleaned_data[[#This Row],[YearsAtCompany]]&lt;=5, "0-5",cleaned_data[[#This Row],[YearsAtCompany]]&lt;=10,"6-10",TRUE,"10+")</f>
        <v>0-5</v>
      </c>
    </row>
    <row r="657" spans="1:28" x14ac:dyDescent="0.3">
      <c r="A657" s="2">
        <v>33</v>
      </c>
      <c r="B657" t="s">
        <v>43</v>
      </c>
      <c r="C657">
        <v>0</v>
      </c>
      <c r="D657" t="s">
        <v>36</v>
      </c>
      <c r="E657" t="s">
        <v>61</v>
      </c>
      <c r="F657">
        <v>3</v>
      </c>
      <c r="G657" t="s">
        <v>61</v>
      </c>
      <c r="H657" t="s">
        <v>727</v>
      </c>
      <c r="I657">
        <v>4</v>
      </c>
      <c r="J657" t="s">
        <v>46</v>
      </c>
      <c r="K657">
        <v>3</v>
      </c>
      <c r="L657">
        <v>1</v>
      </c>
      <c r="M657" t="s">
        <v>61</v>
      </c>
      <c r="N657">
        <v>2</v>
      </c>
      <c r="O657" t="s">
        <v>52</v>
      </c>
      <c r="P657" s="1">
        <v>2277</v>
      </c>
      <c r="Q657" t="s">
        <v>72</v>
      </c>
      <c r="R657" t="s">
        <v>35</v>
      </c>
      <c r="S657">
        <v>3</v>
      </c>
      <c r="T657">
        <v>7</v>
      </c>
      <c r="U657">
        <v>4</v>
      </c>
      <c r="V657">
        <v>4</v>
      </c>
      <c r="W657">
        <v>3</v>
      </c>
      <c r="X657">
        <v>0</v>
      </c>
      <c r="Y657">
        <v>3</v>
      </c>
      <c r="Z657" t="s">
        <v>1551</v>
      </c>
      <c r="AA657" t="s">
        <v>69</v>
      </c>
      <c r="AB657" t="str" cm="1">
        <f t="array" ref="AB657">_xlfn.IFS(cleaned_data[[#This Row],[YearsAtCompany]]&lt;=5, "0-5",cleaned_data[[#This Row],[YearsAtCompany]]&lt;=10,"6-10",TRUE,"10+")</f>
        <v>0-5</v>
      </c>
    </row>
    <row r="658" spans="1:28" x14ac:dyDescent="0.3">
      <c r="A658" s="2">
        <v>32</v>
      </c>
      <c r="B658" t="s">
        <v>35</v>
      </c>
      <c r="C658">
        <v>1</v>
      </c>
      <c r="D658" t="s">
        <v>36</v>
      </c>
      <c r="E658" t="s">
        <v>45</v>
      </c>
      <c r="F658">
        <v>25</v>
      </c>
      <c r="G658" t="s">
        <v>38</v>
      </c>
      <c r="H658" t="s">
        <v>728</v>
      </c>
      <c r="I658">
        <v>1</v>
      </c>
      <c r="J658" t="s">
        <v>46</v>
      </c>
      <c r="K658">
        <v>3</v>
      </c>
      <c r="L658">
        <v>1</v>
      </c>
      <c r="M658" t="s">
        <v>50</v>
      </c>
      <c r="N658">
        <v>4</v>
      </c>
      <c r="O658" t="s">
        <v>41</v>
      </c>
      <c r="P658" s="1">
        <v>2795</v>
      </c>
      <c r="Q658" t="s">
        <v>72</v>
      </c>
      <c r="R658" t="s">
        <v>35</v>
      </c>
      <c r="S658">
        <v>4</v>
      </c>
      <c r="T658">
        <v>1</v>
      </c>
      <c r="U658">
        <v>1</v>
      </c>
      <c r="V658">
        <v>1</v>
      </c>
      <c r="W658">
        <v>0</v>
      </c>
      <c r="X658">
        <v>0</v>
      </c>
      <c r="Y658">
        <v>1</v>
      </c>
      <c r="Z658" t="s">
        <v>1551</v>
      </c>
      <c r="AA658" t="s">
        <v>78</v>
      </c>
      <c r="AB658" t="str" cm="1">
        <f t="array" ref="AB658">_xlfn.IFS(cleaned_data[[#This Row],[YearsAtCompany]]&lt;=5, "0-5",cleaned_data[[#This Row],[YearsAtCompany]]&lt;=10,"6-10",TRUE,"10+")</f>
        <v>0-5</v>
      </c>
    </row>
    <row r="659" spans="1:28" x14ac:dyDescent="0.3">
      <c r="A659" s="2">
        <v>29</v>
      </c>
      <c r="B659" t="s">
        <v>43</v>
      </c>
      <c r="C659">
        <v>0</v>
      </c>
      <c r="D659" t="s">
        <v>36</v>
      </c>
      <c r="E659" t="s">
        <v>45</v>
      </c>
      <c r="F659">
        <v>7</v>
      </c>
      <c r="G659" t="s">
        <v>51</v>
      </c>
      <c r="H659" t="s">
        <v>729</v>
      </c>
      <c r="I659">
        <v>1</v>
      </c>
      <c r="J659" t="s">
        <v>39</v>
      </c>
      <c r="K659">
        <v>2</v>
      </c>
      <c r="L659">
        <v>1</v>
      </c>
      <c r="M659" t="s">
        <v>50</v>
      </c>
      <c r="N659">
        <v>4</v>
      </c>
      <c r="O659" t="s">
        <v>52</v>
      </c>
      <c r="P659" s="1">
        <v>2532</v>
      </c>
      <c r="Q659" t="s">
        <v>72</v>
      </c>
      <c r="R659" t="s">
        <v>43</v>
      </c>
      <c r="S659">
        <v>3</v>
      </c>
      <c r="T659">
        <v>8</v>
      </c>
      <c r="U659">
        <v>3</v>
      </c>
      <c r="V659">
        <v>4</v>
      </c>
      <c r="W659">
        <v>3</v>
      </c>
      <c r="X659">
        <v>0</v>
      </c>
      <c r="Y659">
        <v>3</v>
      </c>
      <c r="Z659" t="s">
        <v>1551</v>
      </c>
      <c r="AA659" t="s">
        <v>69</v>
      </c>
      <c r="AB659" t="str" cm="1">
        <f t="array" ref="AB659">_xlfn.IFS(cleaned_data[[#This Row],[YearsAtCompany]]&lt;=5, "0-5",cleaned_data[[#This Row],[YearsAtCompany]]&lt;=10,"6-10",TRUE,"10+")</f>
        <v>0-5</v>
      </c>
    </row>
    <row r="660" spans="1:28" x14ac:dyDescent="0.3">
      <c r="A660" s="2">
        <v>44</v>
      </c>
      <c r="B660" t="s">
        <v>43</v>
      </c>
      <c r="C660">
        <v>0</v>
      </c>
      <c r="D660" t="s">
        <v>36</v>
      </c>
      <c r="E660" t="s">
        <v>45</v>
      </c>
      <c r="F660">
        <v>9</v>
      </c>
      <c r="G660" t="s">
        <v>38</v>
      </c>
      <c r="H660" t="s">
        <v>730</v>
      </c>
      <c r="I660">
        <v>2</v>
      </c>
      <c r="J660" t="s">
        <v>46</v>
      </c>
      <c r="K660">
        <v>3</v>
      </c>
      <c r="L660">
        <v>1</v>
      </c>
      <c r="M660" t="s">
        <v>47</v>
      </c>
      <c r="N660">
        <v>1</v>
      </c>
      <c r="O660" t="s">
        <v>48</v>
      </c>
      <c r="P660" s="6">
        <v>2559</v>
      </c>
      <c r="Q660" t="s">
        <v>72</v>
      </c>
      <c r="R660" t="s">
        <v>35</v>
      </c>
      <c r="S660">
        <v>3</v>
      </c>
      <c r="T660">
        <v>8</v>
      </c>
      <c r="U660">
        <v>3</v>
      </c>
      <c r="V660">
        <v>8</v>
      </c>
      <c r="W660">
        <v>7</v>
      </c>
      <c r="X660">
        <v>7</v>
      </c>
      <c r="Y660">
        <v>1</v>
      </c>
      <c r="Z660" t="s">
        <v>1550</v>
      </c>
      <c r="AA660" t="s">
        <v>69</v>
      </c>
      <c r="AB660" t="str" cm="1">
        <f t="array" ref="AB660">_xlfn.IFS(cleaned_data[[#This Row],[YearsAtCompany]]&lt;=5, "0-5",cleaned_data[[#This Row],[YearsAtCompany]]&lt;=10,"6-10",TRUE,"10+")</f>
        <v>6-10</v>
      </c>
    </row>
    <row r="661" spans="1:28" x14ac:dyDescent="0.3">
      <c r="A661" s="2">
        <v>28</v>
      </c>
      <c r="B661" t="s">
        <v>43</v>
      </c>
      <c r="C661">
        <v>0</v>
      </c>
      <c r="D661" t="s">
        <v>36</v>
      </c>
      <c r="E661" t="s">
        <v>37</v>
      </c>
      <c r="F661">
        <v>5</v>
      </c>
      <c r="G661" t="s">
        <v>51</v>
      </c>
      <c r="H661" t="s">
        <v>731</v>
      </c>
      <c r="I661">
        <v>1</v>
      </c>
      <c r="J661" t="s">
        <v>46</v>
      </c>
      <c r="K661">
        <v>3</v>
      </c>
      <c r="L661">
        <v>2</v>
      </c>
      <c r="M661" t="s">
        <v>40</v>
      </c>
      <c r="N661">
        <v>4</v>
      </c>
      <c r="O661" t="s">
        <v>41</v>
      </c>
      <c r="P661" s="1">
        <v>4908</v>
      </c>
      <c r="Q661" t="s">
        <v>72</v>
      </c>
      <c r="R661" t="s">
        <v>43</v>
      </c>
      <c r="S661">
        <v>3</v>
      </c>
      <c r="T661">
        <v>4</v>
      </c>
      <c r="U661">
        <v>3</v>
      </c>
      <c r="V661">
        <v>4</v>
      </c>
      <c r="W661">
        <v>2</v>
      </c>
      <c r="X661">
        <v>0</v>
      </c>
      <c r="Y661">
        <v>2</v>
      </c>
      <c r="Z661" t="s">
        <v>1551</v>
      </c>
      <c r="AA661" t="s">
        <v>78</v>
      </c>
      <c r="AB661" t="str" cm="1">
        <f t="array" ref="AB661">_xlfn.IFS(cleaned_data[[#This Row],[YearsAtCompany]]&lt;=5, "0-5",cleaned_data[[#This Row],[YearsAtCompany]]&lt;=10,"6-10",TRUE,"10+")</f>
        <v>0-5</v>
      </c>
    </row>
    <row r="662" spans="1:28" x14ac:dyDescent="0.3">
      <c r="A662" s="2">
        <v>58</v>
      </c>
      <c r="B662" t="s">
        <v>35</v>
      </c>
      <c r="C662">
        <v>1</v>
      </c>
      <c r="D662" t="s">
        <v>44</v>
      </c>
      <c r="E662" t="s">
        <v>45</v>
      </c>
      <c r="F662">
        <v>2</v>
      </c>
      <c r="G662" t="s">
        <v>38</v>
      </c>
      <c r="H662" t="s">
        <v>732</v>
      </c>
      <c r="I662">
        <v>4</v>
      </c>
      <c r="J662" t="s">
        <v>46</v>
      </c>
      <c r="K662">
        <v>2</v>
      </c>
      <c r="L662">
        <v>1</v>
      </c>
      <c r="M662" t="s">
        <v>50</v>
      </c>
      <c r="N662">
        <v>4</v>
      </c>
      <c r="O662" t="s">
        <v>52</v>
      </c>
      <c r="P662" s="1">
        <v>2380</v>
      </c>
      <c r="Q662" t="s">
        <v>72</v>
      </c>
      <c r="R662" t="s">
        <v>35</v>
      </c>
      <c r="S662">
        <v>3</v>
      </c>
      <c r="T662">
        <v>3</v>
      </c>
      <c r="U662">
        <v>2</v>
      </c>
      <c r="V662">
        <v>1</v>
      </c>
      <c r="W662">
        <v>0</v>
      </c>
      <c r="X662">
        <v>0</v>
      </c>
      <c r="Y662">
        <v>0</v>
      </c>
      <c r="Z662" t="s">
        <v>106</v>
      </c>
      <c r="AA662" t="s">
        <v>78</v>
      </c>
      <c r="AB662" t="str" cm="1">
        <f t="array" ref="AB662">_xlfn.IFS(cleaned_data[[#This Row],[YearsAtCompany]]&lt;=5, "0-5",cleaned_data[[#This Row],[YearsAtCompany]]&lt;=10,"6-10",TRUE,"10+")</f>
        <v>0-5</v>
      </c>
    </row>
    <row r="663" spans="1:28" x14ac:dyDescent="0.3">
      <c r="A663" s="2">
        <v>43</v>
      </c>
      <c r="B663" t="s">
        <v>43</v>
      </c>
      <c r="C663">
        <v>0</v>
      </c>
      <c r="D663" t="s">
        <v>36</v>
      </c>
      <c r="E663" t="s">
        <v>45</v>
      </c>
      <c r="F663">
        <v>8</v>
      </c>
      <c r="G663" t="s">
        <v>38</v>
      </c>
      <c r="H663" t="s">
        <v>733</v>
      </c>
      <c r="I663">
        <v>1</v>
      </c>
      <c r="J663" t="s">
        <v>39</v>
      </c>
      <c r="K663">
        <v>3</v>
      </c>
      <c r="L663">
        <v>2</v>
      </c>
      <c r="M663" t="s">
        <v>53</v>
      </c>
      <c r="N663">
        <v>2</v>
      </c>
      <c r="O663" t="s">
        <v>52</v>
      </c>
      <c r="P663" s="1">
        <v>4765</v>
      </c>
      <c r="Q663" t="s">
        <v>72</v>
      </c>
      <c r="R663" t="s">
        <v>43</v>
      </c>
      <c r="S663">
        <v>4</v>
      </c>
      <c r="T663">
        <v>4</v>
      </c>
      <c r="U663">
        <v>4</v>
      </c>
      <c r="V663">
        <v>1</v>
      </c>
      <c r="W663">
        <v>0</v>
      </c>
      <c r="X663">
        <v>0</v>
      </c>
      <c r="Y663">
        <v>0</v>
      </c>
      <c r="Z663" t="s">
        <v>1550</v>
      </c>
      <c r="AA663" t="s">
        <v>78</v>
      </c>
      <c r="AB663" t="str" cm="1">
        <f t="array" ref="AB663">_xlfn.IFS(cleaned_data[[#This Row],[YearsAtCompany]]&lt;=5, "0-5",cleaned_data[[#This Row],[YearsAtCompany]]&lt;=10,"6-10",TRUE,"10+")</f>
        <v>0-5</v>
      </c>
    </row>
    <row r="664" spans="1:28" x14ac:dyDescent="0.3">
      <c r="A664" s="2">
        <v>20</v>
      </c>
      <c r="B664" t="s">
        <v>35</v>
      </c>
      <c r="C664">
        <v>1</v>
      </c>
      <c r="D664" t="s">
        <v>36</v>
      </c>
      <c r="E664" t="s">
        <v>37</v>
      </c>
      <c r="F664">
        <v>2</v>
      </c>
      <c r="G664" t="s">
        <v>51</v>
      </c>
      <c r="H664" t="s">
        <v>734</v>
      </c>
      <c r="I664">
        <v>3</v>
      </c>
      <c r="J664" t="s">
        <v>39</v>
      </c>
      <c r="K664">
        <v>2</v>
      </c>
      <c r="L664">
        <v>1</v>
      </c>
      <c r="M664" t="s">
        <v>57</v>
      </c>
      <c r="N664">
        <v>3</v>
      </c>
      <c r="O664" t="s">
        <v>41</v>
      </c>
      <c r="P664" s="1">
        <v>2044</v>
      </c>
      <c r="Q664" t="s">
        <v>72</v>
      </c>
      <c r="R664" t="s">
        <v>43</v>
      </c>
      <c r="S664">
        <v>3</v>
      </c>
      <c r="T664">
        <v>2</v>
      </c>
      <c r="U664">
        <v>2</v>
      </c>
      <c r="V664">
        <v>2</v>
      </c>
      <c r="W664">
        <v>2</v>
      </c>
      <c r="X664">
        <v>0</v>
      </c>
      <c r="Y664">
        <v>2</v>
      </c>
      <c r="Z664" t="s">
        <v>68</v>
      </c>
      <c r="AA664" t="s">
        <v>78</v>
      </c>
      <c r="AB664" t="str" cm="1">
        <f t="array" ref="AB664">_xlfn.IFS(cleaned_data[[#This Row],[YearsAtCompany]]&lt;=5, "0-5",cleaned_data[[#This Row],[YearsAtCompany]]&lt;=10,"6-10",TRUE,"10+")</f>
        <v>0-5</v>
      </c>
    </row>
    <row r="665" spans="1:28" x14ac:dyDescent="0.3">
      <c r="A665" s="2">
        <v>21</v>
      </c>
      <c r="B665" t="s">
        <v>35</v>
      </c>
      <c r="C665">
        <v>1</v>
      </c>
      <c r="D665" t="s">
        <v>36</v>
      </c>
      <c r="E665" t="s">
        <v>45</v>
      </c>
      <c r="F665">
        <v>18</v>
      </c>
      <c r="G665" t="s">
        <v>49</v>
      </c>
      <c r="H665" t="s">
        <v>735</v>
      </c>
      <c r="I665">
        <v>4</v>
      </c>
      <c r="J665" t="s">
        <v>39</v>
      </c>
      <c r="K665">
        <v>3</v>
      </c>
      <c r="L665">
        <v>1</v>
      </c>
      <c r="M665" t="s">
        <v>47</v>
      </c>
      <c r="N665">
        <v>4</v>
      </c>
      <c r="O665" t="s">
        <v>41</v>
      </c>
      <c r="P665" s="1">
        <v>2693</v>
      </c>
      <c r="Q665" t="s">
        <v>72</v>
      </c>
      <c r="R665" t="s">
        <v>43</v>
      </c>
      <c r="S665">
        <v>3</v>
      </c>
      <c r="T665">
        <v>1</v>
      </c>
      <c r="U665">
        <v>2</v>
      </c>
      <c r="V665">
        <v>1</v>
      </c>
      <c r="W665">
        <v>0</v>
      </c>
      <c r="X665">
        <v>0</v>
      </c>
      <c r="Y665">
        <v>0</v>
      </c>
      <c r="Z665" t="s">
        <v>68</v>
      </c>
      <c r="AA665" t="s">
        <v>78</v>
      </c>
      <c r="AB665" t="str" cm="1">
        <f t="array" ref="AB665">_xlfn.IFS(cleaned_data[[#This Row],[YearsAtCompany]]&lt;=5, "0-5",cleaned_data[[#This Row],[YearsAtCompany]]&lt;=10,"6-10",TRUE,"10+")</f>
        <v>0-5</v>
      </c>
    </row>
    <row r="666" spans="1:28" x14ac:dyDescent="0.3">
      <c r="A666" s="2">
        <v>36</v>
      </c>
      <c r="B666" t="s">
        <v>43</v>
      </c>
      <c r="C666">
        <v>0</v>
      </c>
      <c r="D666" t="s">
        <v>36</v>
      </c>
      <c r="E666" t="s">
        <v>45</v>
      </c>
      <c r="F666">
        <v>14</v>
      </c>
      <c r="G666" t="s">
        <v>38</v>
      </c>
      <c r="H666" t="s">
        <v>736</v>
      </c>
      <c r="I666">
        <v>3</v>
      </c>
      <c r="J666" t="s">
        <v>46</v>
      </c>
      <c r="K666">
        <v>3</v>
      </c>
      <c r="L666">
        <v>2</v>
      </c>
      <c r="M666" t="s">
        <v>54</v>
      </c>
      <c r="N666">
        <v>4</v>
      </c>
      <c r="O666" t="s">
        <v>48</v>
      </c>
      <c r="P666" s="1">
        <v>6586</v>
      </c>
      <c r="Q666" t="s">
        <v>67</v>
      </c>
      <c r="R666" t="s">
        <v>35</v>
      </c>
      <c r="S666">
        <v>3</v>
      </c>
      <c r="T666">
        <v>17</v>
      </c>
      <c r="U666">
        <v>2</v>
      </c>
      <c r="V666">
        <v>16</v>
      </c>
      <c r="W666">
        <v>8</v>
      </c>
      <c r="X666">
        <v>4</v>
      </c>
      <c r="Y666">
        <v>11</v>
      </c>
      <c r="Z666" t="s">
        <v>1550</v>
      </c>
      <c r="AA666" t="s">
        <v>82</v>
      </c>
      <c r="AB666" t="str" cm="1">
        <f t="array" ref="AB666">_xlfn.IFS(cleaned_data[[#This Row],[YearsAtCompany]]&lt;=5, "0-5",cleaned_data[[#This Row],[YearsAtCompany]]&lt;=10,"6-10",TRUE,"10+")</f>
        <v>10+</v>
      </c>
    </row>
    <row r="667" spans="1:28" x14ac:dyDescent="0.3">
      <c r="A667" s="2">
        <v>47</v>
      </c>
      <c r="B667" t="s">
        <v>43</v>
      </c>
      <c r="C667">
        <v>0</v>
      </c>
      <c r="D667" t="s">
        <v>36</v>
      </c>
      <c r="E667" t="s">
        <v>37</v>
      </c>
      <c r="F667">
        <v>2</v>
      </c>
      <c r="G667" t="s">
        <v>38</v>
      </c>
      <c r="H667" t="s">
        <v>737</v>
      </c>
      <c r="I667">
        <v>4</v>
      </c>
      <c r="J667" t="s">
        <v>39</v>
      </c>
      <c r="K667">
        <v>2</v>
      </c>
      <c r="L667">
        <v>1</v>
      </c>
      <c r="M667" t="s">
        <v>57</v>
      </c>
      <c r="N667">
        <v>4</v>
      </c>
      <c r="O667" t="s">
        <v>41</v>
      </c>
      <c r="P667" s="1">
        <v>3294</v>
      </c>
      <c r="Q667" t="s">
        <v>72</v>
      </c>
      <c r="R667" t="s">
        <v>35</v>
      </c>
      <c r="S667">
        <v>3</v>
      </c>
      <c r="T667">
        <v>3</v>
      </c>
      <c r="U667">
        <v>2</v>
      </c>
      <c r="V667">
        <v>3</v>
      </c>
      <c r="W667">
        <v>2</v>
      </c>
      <c r="X667">
        <v>1</v>
      </c>
      <c r="Y667">
        <v>2</v>
      </c>
      <c r="Z667" t="s">
        <v>106</v>
      </c>
      <c r="AA667" t="s">
        <v>78</v>
      </c>
      <c r="AB667" t="str" cm="1">
        <f t="array" ref="AB667">_xlfn.IFS(cleaned_data[[#This Row],[YearsAtCompany]]&lt;=5, "0-5",cleaned_data[[#This Row],[YearsAtCompany]]&lt;=10,"6-10",TRUE,"10+")</f>
        <v>0-5</v>
      </c>
    </row>
    <row r="668" spans="1:28" x14ac:dyDescent="0.3">
      <c r="A668" s="2">
        <v>22</v>
      </c>
      <c r="B668" t="s">
        <v>35</v>
      </c>
      <c r="C668">
        <v>1</v>
      </c>
      <c r="D668" t="s">
        <v>36</v>
      </c>
      <c r="E668" t="s">
        <v>45</v>
      </c>
      <c r="F668">
        <v>3</v>
      </c>
      <c r="G668" t="s">
        <v>38</v>
      </c>
      <c r="H668" t="s">
        <v>738</v>
      </c>
      <c r="I668">
        <v>2</v>
      </c>
      <c r="J668" t="s">
        <v>39</v>
      </c>
      <c r="K668">
        <v>3</v>
      </c>
      <c r="L668">
        <v>2</v>
      </c>
      <c r="M668" t="s">
        <v>53</v>
      </c>
      <c r="N668">
        <v>3</v>
      </c>
      <c r="O668" t="s">
        <v>48</v>
      </c>
      <c r="P668" s="1">
        <v>4171</v>
      </c>
      <c r="Q668" t="s">
        <v>72</v>
      </c>
      <c r="R668" t="s">
        <v>35</v>
      </c>
      <c r="S668">
        <v>3</v>
      </c>
      <c r="T668">
        <v>4</v>
      </c>
      <c r="U668">
        <v>4</v>
      </c>
      <c r="V668">
        <v>3</v>
      </c>
      <c r="W668">
        <v>2</v>
      </c>
      <c r="X668">
        <v>0</v>
      </c>
      <c r="Y668">
        <v>2</v>
      </c>
      <c r="Z668" t="s">
        <v>68</v>
      </c>
      <c r="AA668" t="s">
        <v>78</v>
      </c>
      <c r="AB668" t="str" cm="1">
        <f t="array" ref="AB668">_xlfn.IFS(cleaned_data[[#This Row],[YearsAtCompany]]&lt;=5, "0-5",cleaned_data[[#This Row],[YearsAtCompany]]&lt;=10,"6-10",TRUE,"10+")</f>
        <v>0-5</v>
      </c>
    </row>
    <row r="669" spans="1:28" x14ac:dyDescent="0.3">
      <c r="A669" s="2">
        <v>41</v>
      </c>
      <c r="B669" t="s">
        <v>35</v>
      </c>
      <c r="C669">
        <v>1</v>
      </c>
      <c r="D669" t="s">
        <v>36</v>
      </c>
      <c r="E669" t="s">
        <v>45</v>
      </c>
      <c r="F669">
        <v>2</v>
      </c>
      <c r="G669" t="s">
        <v>38</v>
      </c>
      <c r="H669" t="s">
        <v>739</v>
      </c>
      <c r="I669">
        <v>2</v>
      </c>
      <c r="J669" t="s">
        <v>39</v>
      </c>
      <c r="K669">
        <v>1</v>
      </c>
      <c r="L669">
        <v>1</v>
      </c>
      <c r="M669" t="s">
        <v>50</v>
      </c>
      <c r="N669">
        <v>4</v>
      </c>
      <c r="O669" t="s">
        <v>52</v>
      </c>
      <c r="P669" s="1">
        <v>2778</v>
      </c>
      <c r="Q669" t="s">
        <v>72</v>
      </c>
      <c r="R669" t="s">
        <v>35</v>
      </c>
      <c r="S669">
        <v>3</v>
      </c>
      <c r="T669">
        <v>10</v>
      </c>
      <c r="U669">
        <v>2</v>
      </c>
      <c r="V669">
        <v>7</v>
      </c>
      <c r="W669">
        <v>7</v>
      </c>
      <c r="X669">
        <v>1</v>
      </c>
      <c r="Y669">
        <v>0</v>
      </c>
      <c r="Z669" t="s">
        <v>1550</v>
      </c>
      <c r="AA669" t="s">
        <v>69</v>
      </c>
      <c r="AB669" t="str" cm="1">
        <f t="array" ref="AB669">_xlfn.IFS(cleaned_data[[#This Row],[YearsAtCompany]]&lt;=5, "0-5",cleaned_data[[#This Row],[YearsAtCompany]]&lt;=10,"6-10",TRUE,"10+")</f>
        <v>6-10</v>
      </c>
    </row>
    <row r="670" spans="1:28" x14ac:dyDescent="0.3">
      <c r="A670" s="2">
        <v>28</v>
      </c>
      <c r="B670" t="s">
        <v>43</v>
      </c>
      <c r="C670">
        <v>0</v>
      </c>
      <c r="D670" t="s">
        <v>36</v>
      </c>
      <c r="E670" t="s">
        <v>45</v>
      </c>
      <c r="F670">
        <v>9</v>
      </c>
      <c r="G670" t="s">
        <v>51</v>
      </c>
      <c r="H670" t="s">
        <v>740</v>
      </c>
      <c r="I670">
        <v>3</v>
      </c>
      <c r="J670" t="s">
        <v>39</v>
      </c>
      <c r="K670">
        <v>3</v>
      </c>
      <c r="L670">
        <v>1</v>
      </c>
      <c r="M670" t="s">
        <v>47</v>
      </c>
      <c r="N670">
        <v>3</v>
      </c>
      <c r="O670" t="s">
        <v>52</v>
      </c>
      <c r="P670" s="1">
        <v>2377</v>
      </c>
      <c r="Q670" t="s">
        <v>72</v>
      </c>
      <c r="R670" t="s">
        <v>43</v>
      </c>
      <c r="S670">
        <v>3</v>
      </c>
      <c r="T670">
        <v>6</v>
      </c>
      <c r="U670">
        <v>3</v>
      </c>
      <c r="V670">
        <v>2</v>
      </c>
      <c r="W670">
        <v>2</v>
      </c>
      <c r="X670">
        <v>2</v>
      </c>
      <c r="Y670">
        <v>2</v>
      </c>
      <c r="Z670" t="s">
        <v>1551</v>
      </c>
      <c r="AA670" t="s">
        <v>69</v>
      </c>
      <c r="AB670" t="str" cm="1">
        <f t="array" ref="AB670">_xlfn.IFS(cleaned_data[[#This Row],[YearsAtCompany]]&lt;=5, "0-5",cleaned_data[[#This Row],[YearsAtCompany]]&lt;=10,"6-10",TRUE,"10+")</f>
        <v>0-5</v>
      </c>
    </row>
    <row r="671" spans="1:28" x14ac:dyDescent="0.3">
      <c r="A671" s="2">
        <v>39</v>
      </c>
      <c r="B671" t="s">
        <v>35</v>
      </c>
      <c r="C671">
        <v>1</v>
      </c>
      <c r="D671" t="s">
        <v>36</v>
      </c>
      <c r="E671" t="s">
        <v>45</v>
      </c>
      <c r="F671">
        <v>6</v>
      </c>
      <c r="G671" t="s">
        <v>51</v>
      </c>
      <c r="H671" t="s">
        <v>741</v>
      </c>
      <c r="I671">
        <v>4</v>
      </c>
      <c r="J671" t="s">
        <v>46</v>
      </c>
      <c r="K671">
        <v>3</v>
      </c>
      <c r="L671">
        <v>1</v>
      </c>
      <c r="M671" t="s">
        <v>50</v>
      </c>
      <c r="N671">
        <v>1</v>
      </c>
      <c r="O671" t="s">
        <v>48</v>
      </c>
      <c r="P671" s="6">
        <v>2404</v>
      </c>
      <c r="Q671" t="s">
        <v>72</v>
      </c>
      <c r="R671" t="s">
        <v>35</v>
      </c>
      <c r="S671">
        <v>4</v>
      </c>
      <c r="T671">
        <v>8</v>
      </c>
      <c r="U671">
        <v>1</v>
      </c>
      <c r="V671">
        <v>2</v>
      </c>
      <c r="W671">
        <v>2</v>
      </c>
      <c r="X671">
        <v>2</v>
      </c>
      <c r="Y671">
        <v>2</v>
      </c>
      <c r="Z671" t="s">
        <v>1550</v>
      </c>
      <c r="AA671" t="s">
        <v>69</v>
      </c>
      <c r="AB671" t="str" cm="1">
        <f t="array" ref="AB671">_xlfn.IFS(cleaned_data[[#This Row],[YearsAtCompany]]&lt;=5, "0-5",cleaned_data[[#This Row],[YearsAtCompany]]&lt;=10,"6-10",TRUE,"10+")</f>
        <v>0-5</v>
      </c>
    </row>
    <row r="672" spans="1:28" x14ac:dyDescent="0.3">
      <c r="A672" s="2">
        <v>27</v>
      </c>
      <c r="B672" t="s">
        <v>43</v>
      </c>
      <c r="C672">
        <v>0</v>
      </c>
      <c r="D672" t="s">
        <v>36</v>
      </c>
      <c r="E672" t="s">
        <v>45</v>
      </c>
      <c r="F672">
        <v>4</v>
      </c>
      <c r="G672" t="s">
        <v>38</v>
      </c>
      <c r="H672" t="s">
        <v>742</v>
      </c>
      <c r="I672">
        <v>2</v>
      </c>
      <c r="J672" t="s">
        <v>39</v>
      </c>
      <c r="K672">
        <v>3</v>
      </c>
      <c r="L672">
        <v>1</v>
      </c>
      <c r="M672" t="s">
        <v>47</v>
      </c>
      <c r="N672">
        <v>3</v>
      </c>
      <c r="O672" t="s">
        <v>41</v>
      </c>
      <c r="P672" s="1">
        <v>2318</v>
      </c>
      <c r="Q672" t="s">
        <v>72</v>
      </c>
      <c r="R672" t="s">
        <v>43</v>
      </c>
      <c r="S672">
        <v>3</v>
      </c>
      <c r="T672">
        <v>1</v>
      </c>
      <c r="U672">
        <v>3</v>
      </c>
      <c r="V672">
        <v>1</v>
      </c>
      <c r="W672">
        <v>1</v>
      </c>
      <c r="X672">
        <v>0</v>
      </c>
      <c r="Y672">
        <v>0</v>
      </c>
      <c r="Z672" t="s">
        <v>1551</v>
      </c>
      <c r="AA672" t="s">
        <v>78</v>
      </c>
      <c r="AB672" t="str" cm="1">
        <f t="array" ref="AB672">_xlfn.IFS(cleaned_data[[#This Row],[YearsAtCompany]]&lt;=5, "0-5",cleaned_data[[#This Row],[YearsAtCompany]]&lt;=10,"6-10",TRUE,"10+")</f>
        <v>0-5</v>
      </c>
    </row>
    <row r="673" spans="1:28" x14ac:dyDescent="0.3">
      <c r="A673" s="2">
        <v>34</v>
      </c>
      <c r="B673" t="s">
        <v>43</v>
      </c>
      <c r="C673">
        <v>0</v>
      </c>
      <c r="D673" t="s">
        <v>36</v>
      </c>
      <c r="E673" t="s">
        <v>45</v>
      </c>
      <c r="F673">
        <v>10</v>
      </c>
      <c r="G673" t="s">
        <v>38</v>
      </c>
      <c r="H673" t="s">
        <v>743</v>
      </c>
      <c r="I673">
        <v>2</v>
      </c>
      <c r="J673" t="s">
        <v>46</v>
      </c>
      <c r="K673">
        <v>3</v>
      </c>
      <c r="L673">
        <v>1</v>
      </c>
      <c r="M673" t="s">
        <v>50</v>
      </c>
      <c r="N673">
        <v>2</v>
      </c>
      <c r="O673" t="s">
        <v>52</v>
      </c>
      <c r="P673" s="1">
        <v>2008</v>
      </c>
      <c r="Q673" t="s">
        <v>72</v>
      </c>
      <c r="R673" t="s">
        <v>43</v>
      </c>
      <c r="S673">
        <v>3</v>
      </c>
      <c r="T673">
        <v>1</v>
      </c>
      <c r="U673">
        <v>3</v>
      </c>
      <c r="V673">
        <v>1</v>
      </c>
      <c r="W673">
        <v>0</v>
      </c>
      <c r="X673">
        <v>1</v>
      </c>
      <c r="Y673">
        <v>0</v>
      </c>
      <c r="Z673" t="s">
        <v>1551</v>
      </c>
      <c r="AA673" t="s">
        <v>78</v>
      </c>
      <c r="AB673" t="str" cm="1">
        <f t="array" ref="AB673">_xlfn.IFS(cleaned_data[[#This Row],[YearsAtCompany]]&lt;=5, "0-5",cleaned_data[[#This Row],[YearsAtCompany]]&lt;=10,"6-10",TRUE,"10+")</f>
        <v>0-5</v>
      </c>
    </row>
    <row r="674" spans="1:28" x14ac:dyDescent="0.3">
      <c r="A674" s="2">
        <v>42</v>
      </c>
      <c r="B674" t="s">
        <v>43</v>
      </c>
      <c r="C674">
        <v>0</v>
      </c>
      <c r="D674" t="s">
        <v>36</v>
      </c>
      <c r="E674" t="s">
        <v>37</v>
      </c>
      <c r="F674">
        <v>14</v>
      </c>
      <c r="G674" t="s">
        <v>51</v>
      </c>
      <c r="H674" t="s">
        <v>744</v>
      </c>
      <c r="I674">
        <v>3</v>
      </c>
      <c r="J674" t="s">
        <v>39</v>
      </c>
      <c r="K674">
        <v>2</v>
      </c>
      <c r="L674">
        <v>2</v>
      </c>
      <c r="M674" t="s">
        <v>40</v>
      </c>
      <c r="N674">
        <v>3</v>
      </c>
      <c r="O674" t="s">
        <v>41</v>
      </c>
      <c r="P674" s="1">
        <v>6244</v>
      </c>
      <c r="Q674" t="s">
        <v>67</v>
      </c>
      <c r="R674" t="s">
        <v>43</v>
      </c>
      <c r="S674">
        <v>3</v>
      </c>
      <c r="T674">
        <v>10</v>
      </c>
      <c r="U674">
        <v>3</v>
      </c>
      <c r="V674">
        <v>5</v>
      </c>
      <c r="W674">
        <v>4</v>
      </c>
      <c r="X674">
        <v>0</v>
      </c>
      <c r="Y674">
        <v>3</v>
      </c>
      <c r="Z674" t="s">
        <v>1550</v>
      </c>
      <c r="AA674" t="s">
        <v>69</v>
      </c>
      <c r="AB674" t="str" cm="1">
        <f t="array" ref="AB674">_xlfn.IFS(cleaned_data[[#This Row],[YearsAtCompany]]&lt;=5, "0-5",cleaned_data[[#This Row],[YearsAtCompany]]&lt;=10,"6-10",TRUE,"10+")</f>
        <v>0-5</v>
      </c>
    </row>
    <row r="675" spans="1:28" x14ac:dyDescent="0.3">
      <c r="A675" s="2">
        <v>33</v>
      </c>
      <c r="B675" t="s">
        <v>43</v>
      </c>
      <c r="C675">
        <v>0</v>
      </c>
      <c r="D675" t="s">
        <v>36</v>
      </c>
      <c r="E675" t="s">
        <v>45</v>
      </c>
      <c r="F675">
        <v>1</v>
      </c>
      <c r="G675" t="s">
        <v>49</v>
      </c>
      <c r="H675" t="s">
        <v>745</v>
      </c>
      <c r="I675">
        <v>3</v>
      </c>
      <c r="J675" t="s">
        <v>46</v>
      </c>
      <c r="K675">
        <v>2</v>
      </c>
      <c r="L675">
        <v>1</v>
      </c>
      <c r="M675" t="s">
        <v>47</v>
      </c>
      <c r="N675">
        <v>1</v>
      </c>
      <c r="O675" t="s">
        <v>41</v>
      </c>
      <c r="P675" s="6">
        <v>2799</v>
      </c>
      <c r="Q675" t="s">
        <v>72</v>
      </c>
      <c r="R675" t="s">
        <v>35</v>
      </c>
      <c r="S675">
        <v>3</v>
      </c>
      <c r="T675">
        <v>6</v>
      </c>
      <c r="U675">
        <v>3</v>
      </c>
      <c r="V675">
        <v>3</v>
      </c>
      <c r="W675">
        <v>2</v>
      </c>
      <c r="X675">
        <v>0</v>
      </c>
      <c r="Y675">
        <v>2</v>
      </c>
      <c r="Z675" t="s">
        <v>1551</v>
      </c>
      <c r="AA675" t="s">
        <v>69</v>
      </c>
      <c r="AB675" t="str" cm="1">
        <f t="array" ref="AB675">_xlfn.IFS(cleaned_data[[#This Row],[YearsAtCompany]]&lt;=5, "0-5",cleaned_data[[#This Row],[YearsAtCompany]]&lt;=10,"6-10",TRUE,"10+")</f>
        <v>0-5</v>
      </c>
    </row>
    <row r="676" spans="1:28" x14ac:dyDescent="0.3">
      <c r="A676" s="2">
        <v>58</v>
      </c>
      <c r="B676" t="s">
        <v>43</v>
      </c>
      <c r="C676">
        <v>0</v>
      </c>
      <c r="D676" t="s">
        <v>36</v>
      </c>
      <c r="E676" t="s">
        <v>45</v>
      </c>
      <c r="F676">
        <v>5</v>
      </c>
      <c r="G676" t="s">
        <v>60</v>
      </c>
      <c r="H676" t="s">
        <v>746</v>
      </c>
      <c r="I676">
        <v>3</v>
      </c>
      <c r="J676" t="s">
        <v>39</v>
      </c>
      <c r="K676">
        <v>2</v>
      </c>
      <c r="L676">
        <v>3</v>
      </c>
      <c r="M676" t="s">
        <v>54</v>
      </c>
      <c r="N676">
        <v>2</v>
      </c>
      <c r="O676" t="s">
        <v>52</v>
      </c>
      <c r="P676" s="1">
        <v>10552</v>
      </c>
      <c r="Q676" t="s">
        <v>67</v>
      </c>
      <c r="R676" t="s">
        <v>35</v>
      </c>
      <c r="S676">
        <v>3</v>
      </c>
      <c r="T676">
        <v>24</v>
      </c>
      <c r="U676">
        <v>3</v>
      </c>
      <c r="V676">
        <v>6</v>
      </c>
      <c r="W676">
        <v>0</v>
      </c>
      <c r="X676">
        <v>0</v>
      </c>
      <c r="Y676">
        <v>4</v>
      </c>
      <c r="Z676" t="s">
        <v>106</v>
      </c>
      <c r="AA676" t="s">
        <v>82</v>
      </c>
      <c r="AB676" t="str" cm="1">
        <f t="array" ref="AB676">_xlfn.IFS(cleaned_data[[#This Row],[YearsAtCompany]]&lt;=5, "0-5",cleaned_data[[#This Row],[YearsAtCompany]]&lt;=10,"6-10",TRUE,"10+")</f>
        <v>6-10</v>
      </c>
    </row>
    <row r="677" spans="1:28" x14ac:dyDescent="0.3">
      <c r="A677" s="2">
        <v>31</v>
      </c>
      <c r="B677" t="s">
        <v>43</v>
      </c>
      <c r="C677">
        <v>0</v>
      </c>
      <c r="D677" t="s">
        <v>36</v>
      </c>
      <c r="E677" t="s">
        <v>37</v>
      </c>
      <c r="F677">
        <v>7</v>
      </c>
      <c r="G677" t="s">
        <v>38</v>
      </c>
      <c r="H677" t="s">
        <v>747</v>
      </c>
      <c r="I677">
        <v>2</v>
      </c>
      <c r="J677" t="s">
        <v>46</v>
      </c>
      <c r="K677">
        <v>2</v>
      </c>
      <c r="L677">
        <v>1</v>
      </c>
      <c r="M677" t="s">
        <v>57</v>
      </c>
      <c r="N677">
        <v>3</v>
      </c>
      <c r="O677" t="s">
        <v>48</v>
      </c>
      <c r="P677" s="1">
        <v>2329</v>
      </c>
      <c r="Q677" t="s">
        <v>72</v>
      </c>
      <c r="R677" t="s">
        <v>43</v>
      </c>
      <c r="S677">
        <v>3</v>
      </c>
      <c r="T677">
        <v>13</v>
      </c>
      <c r="U677">
        <v>4</v>
      </c>
      <c r="V677">
        <v>7</v>
      </c>
      <c r="W677">
        <v>7</v>
      </c>
      <c r="X677">
        <v>5</v>
      </c>
      <c r="Y677">
        <v>2</v>
      </c>
      <c r="Z677" t="s">
        <v>1551</v>
      </c>
      <c r="AA677" t="s">
        <v>69</v>
      </c>
      <c r="AB677" t="str" cm="1">
        <f t="array" ref="AB677">_xlfn.IFS(cleaned_data[[#This Row],[YearsAtCompany]]&lt;=5, "0-5",cleaned_data[[#This Row],[YearsAtCompany]]&lt;=10,"6-10",TRUE,"10+")</f>
        <v>6-10</v>
      </c>
    </row>
    <row r="678" spans="1:28" x14ac:dyDescent="0.3">
      <c r="A678" s="2">
        <v>35</v>
      </c>
      <c r="B678" t="s">
        <v>43</v>
      </c>
      <c r="C678">
        <v>0</v>
      </c>
      <c r="D678" t="s">
        <v>36</v>
      </c>
      <c r="E678" t="s">
        <v>45</v>
      </c>
      <c r="F678">
        <v>21</v>
      </c>
      <c r="G678" t="s">
        <v>38</v>
      </c>
      <c r="H678" t="s">
        <v>748</v>
      </c>
      <c r="I678">
        <v>4</v>
      </c>
      <c r="J678" t="s">
        <v>39</v>
      </c>
      <c r="K678">
        <v>3</v>
      </c>
      <c r="L678">
        <v>2</v>
      </c>
      <c r="M678" t="s">
        <v>54</v>
      </c>
      <c r="N678">
        <v>4</v>
      </c>
      <c r="O678" t="s">
        <v>48</v>
      </c>
      <c r="P678" s="1">
        <v>4014</v>
      </c>
      <c r="Q678" t="s">
        <v>72</v>
      </c>
      <c r="R678" t="s">
        <v>35</v>
      </c>
      <c r="S678">
        <v>4</v>
      </c>
      <c r="T678">
        <v>10</v>
      </c>
      <c r="U678">
        <v>1</v>
      </c>
      <c r="V678">
        <v>10</v>
      </c>
      <c r="W678">
        <v>6</v>
      </c>
      <c r="X678">
        <v>0</v>
      </c>
      <c r="Y678">
        <v>7</v>
      </c>
      <c r="Z678" t="s">
        <v>1551</v>
      </c>
      <c r="AA678" t="s">
        <v>69</v>
      </c>
      <c r="AB678" t="str" cm="1">
        <f t="array" ref="AB678">_xlfn.IFS(cleaned_data[[#This Row],[YearsAtCompany]]&lt;=5, "0-5",cleaned_data[[#This Row],[YearsAtCompany]]&lt;=10,"6-10",TRUE,"10+")</f>
        <v>6-10</v>
      </c>
    </row>
    <row r="679" spans="1:28" x14ac:dyDescent="0.3">
      <c r="A679" s="2">
        <v>49</v>
      </c>
      <c r="B679" t="s">
        <v>43</v>
      </c>
      <c r="C679">
        <v>0</v>
      </c>
      <c r="D679" t="s">
        <v>36</v>
      </c>
      <c r="E679" t="s">
        <v>45</v>
      </c>
      <c r="F679">
        <v>8</v>
      </c>
      <c r="G679" t="s">
        <v>49</v>
      </c>
      <c r="H679" t="s">
        <v>749</v>
      </c>
      <c r="I679">
        <v>1</v>
      </c>
      <c r="J679" t="s">
        <v>39</v>
      </c>
      <c r="K679">
        <v>3</v>
      </c>
      <c r="L679">
        <v>3</v>
      </c>
      <c r="M679" t="s">
        <v>50</v>
      </c>
      <c r="N679">
        <v>2</v>
      </c>
      <c r="O679" t="s">
        <v>48</v>
      </c>
      <c r="P679" s="1">
        <v>7403</v>
      </c>
      <c r="Q679" t="s">
        <v>67</v>
      </c>
      <c r="R679" t="s">
        <v>43</v>
      </c>
      <c r="S679">
        <v>3</v>
      </c>
      <c r="T679">
        <v>29</v>
      </c>
      <c r="U679">
        <v>2</v>
      </c>
      <c r="V679">
        <v>26</v>
      </c>
      <c r="W679">
        <v>9</v>
      </c>
      <c r="X679">
        <v>1</v>
      </c>
      <c r="Y679">
        <v>7</v>
      </c>
      <c r="Z679" t="s">
        <v>106</v>
      </c>
      <c r="AA679" t="s">
        <v>82</v>
      </c>
      <c r="AB679" t="str" cm="1">
        <f t="array" ref="AB679">_xlfn.IFS(cleaned_data[[#This Row],[YearsAtCompany]]&lt;=5, "0-5",cleaned_data[[#This Row],[YearsAtCompany]]&lt;=10,"6-10",TRUE,"10+")</f>
        <v>10+</v>
      </c>
    </row>
    <row r="680" spans="1:28" x14ac:dyDescent="0.3">
      <c r="A680" s="2">
        <v>48</v>
      </c>
      <c r="B680" t="s">
        <v>43</v>
      </c>
      <c r="C680">
        <v>0</v>
      </c>
      <c r="D680" t="s">
        <v>36</v>
      </c>
      <c r="E680" t="s">
        <v>45</v>
      </c>
      <c r="F680">
        <v>20</v>
      </c>
      <c r="G680" t="s">
        <v>51</v>
      </c>
      <c r="H680" t="s">
        <v>750</v>
      </c>
      <c r="I680">
        <v>4</v>
      </c>
      <c r="J680" t="s">
        <v>46</v>
      </c>
      <c r="K680">
        <v>3</v>
      </c>
      <c r="L680">
        <v>1</v>
      </c>
      <c r="M680" t="s">
        <v>47</v>
      </c>
      <c r="N680">
        <v>3</v>
      </c>
      <c r="O680" t="s">
        <v>48</v>
      </c>
      <c r="P680" s="1">
        <v>2259</v>
      </c>
      <c r="Q680" t="s">
        <v>72</v>
      </c>
      <c r="R680" t="s">
        <v>43</v>
      </c>
      <c r="S680">
        <v>3</v>
      </c>
      <c r="T680">
        <v>13</v>
      </c>
      <c r="U680">
        <v>2</v>
      </c>
      <c r="V680">
        <v>0</v>
      </c>
      <c r="W680">
        <v>0</v>
      </c>
      <c r="X680">
        <v>0</v>
      </c>
      <c r="Y680">
        <v>0</v>
      </c>
      <c r="Z680" t="s">
        <v>106</v>
      </c>
      <c r="AA680" t="s">
        <v>69</v>
      </c>
      <c r="AB680" t="str" cm="1">
        <f t="array" ref="AB680">_xlfn.IFS(cleaned_data[[#This Row],[YearsAtCompany]]&lt;=5, "0-5",cleaned_data[[#This Row],[YearsAtCompany]]&lt;=10,"6-10",TRUE,"10+")</f>
        <v>0-5</v>
      </c>
    </row>
    <row r="681" spans="1:28" x14ac:dyDescent="0.3">
      <c r="A681" s="2">
        <v>31</v>
      </c>
      <c r="B681" t="s">
        <v>43</v>
      </c>
      <c r="C681">
        <v>0</v>
      </c>
      <c r="D681" t="s">
        <v>55</v>
      </c>
      <c r="E681" t="s">
        <v>37</v>
      </c>
      <c r="F681">
        <v>20</v>
      </c>
      <c r="G681" t="s">
        <v>59</v>
      </c>
      <c r="H681" t="s">
        <v>751</v>
      </c>
      <c r="I681">
        <v>4</v>
      </c>
      <c r="J681" t="s">
        <v>39</v>
      </c>
      <c r="K681">
        <v>3</v>
      </c>
      <c r="L681">
        <v>2</v>
      </c>
      <c r="M681" t="s">
        <v>40</v>
      </c>
      <c r="N681">
        <v>3</v>
      </c>
      <c r="O681" t="s">
        <v>48</v>
      </c>
      <c r="P681" s="1">
        <v>6932</v>
      </c>
      <c r="Q681" t="s">
        <v>67</v>
      </c>
      <c r="R681" t="s">
        <v>43</v>
      </c>
      <c r="S681">
        <v>3</v>
      </c>
      <c r="T681">
        <v>9</v>
      </c>
      <c r="U681">
        <v>2</v>
      </c>
      <c r="V681">
        <v>9</v>
      </c>
      <c r="W681">
        <v>8</v>
      </c>
      <c r="X681">
        <v>0</v>
      </c>
      <c r="Y681">
        <v>0</v>
      </c>
      <c r="Z681" t="s">
        <v>1551</v>
      </c>
      <c r="AA681" t="s">
        <v>69</v>
      </c>
      <c r="AB681" t="str" cm="1">
        <f t="array" ref="AB681">_xlfn.IFS(cleaned_data[[#This Row],[YearsAtCompany]]&lt;=5, "0-5",cleaned_data[[#This Row],[YearsAtCompany]]&lt;=10,"6-10",TRUE,"10+")</f>
        <v>6-10</v>
      </c>
    </row>
    <row r="682" spans="1:28" x14ac:dyDescent="0.3">
      <c r="A682" s="2">
        <v>36</v>
      </c>
      <c r="B682" t="s">
        <v>43</v>
      </c>
      <c r="C682">
        <v>0</v>
      </c>
      <c r="D682" t="s">
        <v>36</v>
      </c>
      <c r="E682" t="s">
        <v>45</v>
      </c>
      <c r="F682">
        <v>7</v>
      </c>
      <c r="G682" t="s">
        <v>49</v>
      </c>
      <c r="H682" t="s">
        <v>752</v>
      </c>
      <c r="I682">
        <v>2</v>
      </c>
      <c r="J682" t="s">
        <v>46</v>
      </c>
      <c r="K682">
        <v>3</v>
      </c>
      <c r="L682">
        <v>1</v>
      </c>
      <c r="M682" t="s">
        <v>47</v>
      </c>
      <c r="N682">
        <v>4</v>
      </c>
      <c r="O682" t="s">
        <v>41</v>
      </c>
      <c r="P682" s="1">
        <v>4678</v>
      </c>
      <c r="Q682" t="s">
        <v>72</v>
      </c>
      <c r="R682" t="s">
        <v>43</v>
      </c>
      <c r="S682">
        <v>3</v>
      </c>
      <c r="T682">
        <v>8</v>
      </c>
      <c r="U682">
        <v>3</v>
      </c>
      <c r="V682">
        <v>6</v>
      </c>
      <c r="W682">
        <v>2</v>
      </c>
      <c r="X682">
        <v>0</v>
      </c>
      <c r="Y682">
        <v>1</v>
      </c>
      <c r="Z682" t="s">
        <v>1550</v>
      </c>
      <c r="AA682" t="s">
        <v>69</v>
      </c>
      <c r="AB682" t="str" cm="1">
        <f t="array" ref="AB682">_xlfn.IFS(cleaned_data[[#This Row],[YearsAtCompany]]&lt;=5, "0-5",cleaned_data[[#This Row],[YearsAtCompany]]&lt;=10,"6-10",TRUE,"10+")</f>
        <v>6-10</v>
      </c>
    </row>
    <row r="683" spans="1:28" x14ac:dyDescent="0.3">
      <c r="A683" s="2">
        <v>38</v>
      </c>
      <c r="B683" t="s">
        <v>43</v>
      </c>
      <c r="C683">
        <v>0</v>
      </c>
      <c r="D683" t="s">
        <v>36</v>
      </c>
      <c r="E683" t="s">
        <v>45</v>
      </c>
      <c r="F683">
        <v>1</v>
      </c>
      <c r="G683" t="s">
        <v>60</v>
      </c>
      <c r="H683" t="s">
        <v>753</v>
      </c>
      <c r="I683">
        <v>4</v>
      </c>
      <c r="J683" t="s">
        <v>39</v>
      </c>
      <c r="K683">
        <v>3</v>
      </c>
      <c r="L683">
        <v>3</v>
      </c>
      <c r="M683" t="s">
        <v>58</v>
      </c>
      <c r="N683">
        <v>1</v>
      </c>
      <c r="O683" t="s">
        <v>48</v>
      </c>
      <c r="P683" s="6">
        <v>13582</v>
      </c>
      <c r="Q683" t="s">
        <v>90</v>
      </c>
      <c r="R683" t="s">
        <v>43</v>
      </c>
      <c r="S683">
        <v>3</v>
      </c>
      <c r="T683">
        <v>15</v>
      </c>
      <c r="U683">
        <v>3</v>
      </c>
      <c r="V683">
        <v>15</v>
      </c>
      <c r="W683">
        <v>12</v>
      </c>
      <c r="X683">
        <v>5</v>
      </c>
      <c r="Y683">
        <v>11</v>
      </c>
      <c r="Z683" t="s">
        <v>1550</v>
      </c>
      <c r="AA683" t="s">
        <v>69</v>
      </c>
      <c r="AB683" t="str" cm="1">
        <f t="array" ref="AB683">_xlfn.IFS(cleaned_data[[#This Row],[YearsAtCompany]]&lt;=5, "0-5",cleaned_data[[#This Row],[YearsAtCompany]]&lt;=10,"6-10",TRUE,"10+")</f>
        <v>10+</v>
      </c>
    </row>
    <row r="684" spans="1:28" x14ac:dyDescent="0.3">
      <c r="A684" s="2">
        <v>32</v>
      </c>
      <c r="B684" t="s">
        <v>43</v>
      </c>
      <c r="C684">
        <v>0</v>
      </c>
      <c r="D684" t="s">
        <v>55</v>
      </c>
      <c r="E684" t="s">
        <v>45</v>
      </c>
      <c r="F684">
        <v>1</v>
      </c>
      <c r="G684" t="s">
        <v>38</v>
      </c>
      <c r="H684" t="s">
        <v>754</v>
      </c>
      <c r="I684">
        <v>3</v>
      </c>
      <c r="J684" t="s">
        <v>39</v>
      </c>
      <c r="K684">
        <v>2</v>
      </c>
      <c r="L684">
        <v>1</v>
      </c>
      <c r="M684" t="s">
        <v>50</v>
      </c>
      <c r="N684">
        <v>2</v>
      </c>
      <c r="O684" t="s">
        <v>48</v>
      </c>
      <c r="P684" s="1">
        <v>2332</v>
      </c>
      <c r="Q684" t="s">
        <v>72</v>
      </c>
      <c r="R684" t="s">
        <v>43</v>
      </c>
      <c r="S684">
        <v>4</v>
      </c>
      <c r="T684">
        <v>5</v>
      </c>
      <c r="U684">
        <v>3</v>
      </c>
      <c r="V684">
        <v>3</v>
      </c>
      <c r="W684">
        <v>0</v>
      </c>
      <c r="X684">
        <v>0</v>
      </c>
      <c r="Y684">
        <v>2</v>
      </c>
      <c r="Z684" t="s">
        <v>1551</v>
      </c>
      <c r="AA684" t="s">
        <v>78</v>
      </c>
      <c r="AB684" t="str" cm="1">
        <f t="array" ref="AB684">_xlfn.IFS(cleaned_data[[#This Row],[YearsAtCompany]]&lt;=5, "0-5",cleaned_data[[#This Row],[YearsAtCompany]]&lt;=10,"6-10",TRUE,"10+")</f>
        <v>0-5</v>
      </c>
    </row>
    <row r="685" spans="1:28" x14ac:dyDescent="0.3">
      <c r="A685" s="2">
        <v>25</v>
      </c>
      <c r="B685" t="s">
        <v>35</v>
      </c>
      <c r="C685">
        <v>1</v>
      </c>
      <c r="D685" t="s">
        <v>36</v>
      </c>
      <c r="E685" t="s">
        <v>37</v>
      </c>
      <c r="F685">
        <v>19</v>
      </c>
      <c r="G685" t="s">
        <v>59</v>
      </c>
      <c r="H685" t="s">
        <v>755</v>
      </c>
      <c r="I685">
        <v>3</v>
      </c>
      <c r="J685" t="s">
        <v>46</v>
      </c>
      <c r="K685">
        <v>2</v>
      </c>
      <c r="L685">
        <v>1</v>
      </c>
      <c r="M685" t="s">
        <v>57</v>
      </c>
      <c r="N685">
        <v>2</v>
      </c>
      <c r="O685" t="s">
        <v>48</v>
      </c>
      <c r="P685" s="1">
        <v>2413</v>
      </c>
      <c r="Q685" t="s">
        <v>72</v>
      </c>
      <c r="R685" t="s">
        <v>35</v>
      </c>
      <c r="S685">
        <v>3</v>
      </c>
      <c r="T685">
        <v>1</v>
      </c>
      <c r="U685">
        <v>3</v>
      </c>
      <c r="V685">
        <v>1</v>
      </c>
      <c r="W685">
        <v>0</v>
      </c>
      <c r="X685">
        <v>0</v>
      </c>
      <c r="Y685">
        <v>0</v>
      </c>
      <c r="Z685" t="s">
        <v>68</v>
      </c>
      <c r="AA685" t="s">
        <v>78</v>
      </c>
      <c r="AB685" t="str" cm="1">
        <f t="array" ref="AB685">_xlfn.IFS(cleaned_data[[#This Row],[YearsAtCompany]]&lt;=5, "0-5",cleaned_data[[#This Row],[YearsAtCompany]]&lt;=10,"6-10",TRUE,"10+")</f>
        <v>0-5</v>
      </c>
    </row>
    <row r="686" spans="1:28" x14ac:dyDescent="0.3">
      <c r="A686" s="2">
        <v>40</v>
      </c>
      <c r="B686" t="s">
        <v>43</v>
      </c>
      <c r="C686">
        <v>0</v>
      </c>
      <c r="D686" t="s">
        <v>36</v>
      </c>
      <c r="E686" t="s">
        <v>37</v>
      </c>
      <c r="F686">
        <v>10</v>
      </c>
      <c r="G686" t="s">
        <v>59</v>
      </c>
      <c r="H686" t="s">
        <v>756</v>
      </c>
      <c r="I686">
        <v>1</v>
      </c>
      <c r="J686" t="s">
        <v>46</v>
      </c>
      <c r="K686">
        <v>2</v>
      </c>
      <c r="L686">
        <v>3</v>
      </c>
      <c r="M686" t="s">
        <v>40</v>
      </c>
      <c r="N686">
        <v>2</v>
      </c>
      <c r="O686" t="s">
        <v>52</v>
      </c>
      <c r="P686" s="1">
        <v>9705</v>
      </c>
      <c r="Q686" t="s">
        <v>67</v>
      </c>
      <c r="R686" t="s">
        <v>43</v>
      </c>
      <c r="S686">
        <v>3</v>
      </c>
      <c r="T686">
        <v>11</v>
      </c>
      <c r="U686">
        <v>2</v>
      </c>
      <c r="V686">
        <v>1</v>
      </c>
      <c r="W686">
        <v>0</v>
      </c>
      <c r="X686">
        <v>0</v>
      </c>
      <c r="Y686">
        <v>0</v>
      </c>
      <c r="Z686" t="s">
        <v>1550</v>
      </c>
      <c r="AA686" t="s">
        <v>69</v>
      </c>
      <c r="AB686" t="str" cm="1">
        <f t="array" ref="AB686">_xlfn.IFS(cleaned_data[[#This Row],[YearsAtCompany]]&lt;=5, "0-5",cleaned_data[[#This Row],[YearsAtCompany]]&lt;=10,"6-10",TRUE,"10+")</f>
        <v>0-5</v>
      </c>
    </row>
    <row r="687" spans="1:28" x14ac:dyDescent="0.3">
      <c r="A687" s="2">
        <v>26</v>
      </c>
      <c r="B687" t="s">
        <v>43</v>
      </c>
      <c r="C687">
        <v>0</v>
      </c>
      <c r="D687" t="s">
        <v>44</v>
      </c>
      <c r="E687" t="s">
        <v>37</v>
      </c>
      <c r="F687">
        <v>1</v>
      </c>
      <c r="G687" t="s">
        <v>51</v>
      </c>
      <c r="H687" t="s">
        <v>757</v>
      </c>
      <c r="I687">
        <v>3</v>
      </c>
      <c r="J687" t="s">
        <v>46</v>
      </c>
      <c r="K687">
        <v>2</v>
      </c>
      <c r="L687">
        <v>2</v>
      </c>
      <c r="M687" t="s">
        <v>40</v>
      </c>
      <c r="N687">
        <v>1</v>
      </c>
      <c r="O687" t="s">
        <v>41</v>
      </c>
      <c r="P687" s="6">
        <v>4294</v>
      </c>
      <c r="Q687" t="s">
        <v>72</v>
      </c>
      <c r="R687" t="s">
        <v>43</v>
      </c>
      <c r="S687">
        <v>3</v>
      </c>
      <c r="T687">
        <v>7</v>
      </c>
      <c r="U687">
        <v>3</v>
      </c>
      <c r="V687">
        <v>7</v>
      </c>
      <c r="W687">
        <v>7</v>
      </c>
      <c r="X687">
        <v>0</v>
      </c>
      <c r="Y687">
        <v>7</v>
      </c>
      <c r="Z687" t="s">
        <v>1551</v>
      </c>
      <c r="AA687" t="s">
        <v>69</v>
      </c>
      <c r="AB687" t="str" cm="1">
        <f t="array" ref="AB687">_xlfn.IFS(cleaned_data[[#This Row],[YearsAtCompany]]&lt;=5, "0-5",cleaned_data[[#This Row],[YearsAtCompany]]&lt;=10,"6-10",TRUE,"10+")</f>
        <v>6-10</v>
      </c>
    </row>
    <row r="688" spans="1:28" x14ac:dyDescent="0.3">
      <c r="A688" s="2">
        <v>41</v>
      </c>
      <c r="B688" t="s">
        <v>43</v>
      </c>
      <c r="C688">
        <v>0</v>
      </c>
      <c r="D688" t="s">
        <v>36</v>
      </c>
      <c r="E688" t="s">
        <v>45</v>
      </c>
      <c r="F688">
        <v>6</v>
      </c>
      <c r="G688" t="s">
        <v>51</v>
      </c>
      <c r="H688" t="s">
        <v>758</v>
      </c>
      <c r="I688">
        <v>4</v>
      </c>
      <c r="J688" t="s">
        <v>46</v>
      </c>
      <c r="K688">
        <v>3</v>
      </c>
      <c r="L688">
        <v>1</v>
      </c>
      <c r="M688" t="s">
        <v>50</v>
      </c>
      <c r="N688">
        <v>1</v>
      </c>
      <c r="O688" t="s">
        <v>41</v>
      </c>
      <c r="P688" s="6">
        <v>4721</v>
      </c>
      <c r="Q688" t="s">
        <v>72</v>
      </c>
      <c r="R688" t="s">
        <v>35</v>
      </c>
      <c r="S688">
        <v>3</v>
      </c>
      <c r="T688">
        <v>20</v>
      </c>
      <c r="U688">
        <v>3</v>
      </c>
      <c r="V688">
        <v>18</v>
      </c>
      <c r="W688">
        <v>13</v>
      </c>
      <c r="X688">
        <v>2</v>
      </c>
      <c r="Y688">
        <v>17</v>
      </c>
      <c r="Z688" t="s">
        <v>1550</v>
      </c>
      <c r="AA688" t="s">
        <v>82</v>
      </c>
      <c r="AB688" t="str" cm="1">
        <f t="array" ref="AB688">_xlfn.IFS(cleaned_data[[#This Row],[YearsAtCompany]]&lt;=5, "0-5",cleaned_data[[#This Row],[YearsAtCompany]]&lt;=10,"6-10",TRUE,"10+")</f>
        <v>10+</v>
      </c>
    </row>
    <row r="689" spans="1:28" x14ac:dyDescent="0.3">
      <c r="A689" s="2">
        <v>36</v>
      </c>
      <c r="B689" t="s">
        <v>43</v>
      </c>
      <c r="C689">
        <v>0</v>
      </c>
      <c r="D689" t="s">
        <v>36</v>
      </c>
      <c r="E689" t="s">
        <v>45</v>
      </c>
      <c r="F689">
        <v>2</v>
      </c>
      <c r="G689" t="s">
        <v>51</v>
      </c>
      <c r="H689" t="s">
        <v>759</v>
      </c>
      <c r="I689">
        <v>3</v>
      </c>
      <c r="J689" t="s">
        <v>46</v>
      </c>
      <c r="K689">
        <v>3</v>
      </c>
      <c r="L689">
        <v>1</v>
      </c>
      <c r="M689" t="s">
        <v>50</v>
      </c>
      <c r="N689">
        <v>3</v>
      </c>
      <c r="O689" t="s">
        <v>41</v>
      </c>
      <c r="P689" s="1">
        <v>2519</v>
      </c>
      <c r="Q689" t="s">
        <v>72</v>
      </c>
      <c r="R689" t="s">
        <v>43</v>
      </c>
      <c r="S689">
        <v>4</v>
      </c>
      <c r="T689">
        <v>16</v>
      </c>
      <c r="U689">
        <v>3</v>
      </c>
      <c r="V689">
        <v>11</v>
      </c>
      <c r="W689">
        <v>8</v>
      </c>
      <c r="X689">
        <v>3</v>
      </c>
      <c r="Y689">
        <v>9</v>
      </c>
      <c r="Z689" t="s">
        <v>1550</v>
      </c>
      <c r="AA689" t="s">
        <v>82</v>
      </c>
      <c r="AB689" t="str" cm="1">
        <f t="array" ref="AB689">_xlfn.IFS(cleaned_data[[#This Row],[YearsAtCompany]]&lt;=5, "0-5",cleaned_data[[#This Row],[YearsAtCompany]]&lt;=10,"6-10",TRUE,"10+")</f>
        <v>10+</v>
      </c>
    </row>
    <row r="690" spans="1:28" x14ac:dyDescent="0.3">
      <c r="A690" s="2">
        <v>19</v>
      </c>
      <c r="B690" t="s">
        <v>35</v>
      </c>
      <c r="C690">
        <v>1</v>
      </c>
      <c r="D690" t="s">
        <v>36</v>
      </c>
      <c r="E690" t="s">
        <v>37</v>
      </c>
      <c r="F690">
        <v>21</v>
      </c>
      <c r="G690" t="s">
        <v>49</v>
      </c>
      <c r="H690" t="s">
        <v>760</v>
      </c>
      <c r="I690">
        <v>4</v>
      </c>
      <c r="J690" t="s">
        <v>46</v>
      </c>
      <c r="K690">
        <v>2</v>
      </c>
      <c r="L690">
        <v>1</v>
      </c>
      <c r="M690" t="s">
        <v>57</v>
      </c>
      <c r="N690">
        <v>2</v>
      </c>
      <c r="O690" t="s">
        <v>41</v>
      </c>
      <c r="P690" s="1">
        <v>2121</v>
      </c>
      <c r="Q690" t="s">
        <v>72</v>
      </c>
      <c r="R690" t="s">
        <v>35</v>
      </c>
      <c r="S690">
        <v>3</v>
      </c>
      <c r="T690">
        <v>1</v>
      </c>
      <c r="U690">
        <v>4</v>
      </c>
      <c r="V690">
        <v>1</v>
      </c>
      <c r="W690">
        <v>0</v>
      </c>
      <c r="X690">
        <v>0</v>
      </c>
      <c r="Y690">
        <v>0</v>
      </c>
      <c r="Z690" t="s">
        <v>68</v>
      </c>
      <c r="AA690" t="s">
        <v>78</v>
      </c>
      <c r="AB690" t="str" cm="1">
        <f t="array" ref="AB690">_xlfn.IFS(cleaned_data[[#This Row],[YearsAtCompany]]&lt;=5, "0-5",cleaned_data[[#This Row],[YearsAtCompany]]&lt;=10,"6-10",TRUE,"10+")</f>
        <v>0-5</v>
      </c>
    </row>
    <row r="691" spans="1:28" x14ac:dyDescent="0.3">
      <c r="A691" s="2">
        <v>20</v>
      </c>
      <c r="B691" t="s">
        <v>35</v>
      </c>
      <c r="C691">
        <v>1</v>
      </c>
      <c r="D691" t="s">
        <v>36</v>
      </c>
      <c r="E691" t="s">
        <v>45</v>
      </c>
      <c r="F691">
        <v>4</v>
      </c>
      <c r="G691" t="s">
        <v>60</v>
      </c>
      <c r="H691" t="s">
        <v>761</v>
      </c>
      <c r="I691">
        <v>1</v>
      </c>
      <c r="J691" t="s">
        <v>46</v>
      </c>
      <c r="K691">
        <v>3</v>
      </c>
      <c r="L691">
        <v>1</v>
      </c>
      <c r="M691" t="s">
        <v>50</v>
      </c>
      <c r="N691">
        <v>1</v>
      </c>
      <c r="O691" t="s">
        <v>41</v>
      </c>
      <c r="P691" s="6">
        <v>2973</v>
      </c>
      <c r="Q691" t="s">
        <v>72</v>
      </c>
      <c r="R691" t="s">
        <v>43</v>
      </c>
      <c r="S691">
        <v>3</v>
      </c>
      <c r="T691">
        <v>1</v>
      </c>
      <c r="U691">
        <v>3</v>
      </c>
      <c r="V691">
        <v>1</v>
      </c>
      <c r="W691">
        <v>0</v>
      </c>
      <c r="X691">
        <v>0</v>
      </c>
      <c r="Y691">
        <v>0</v>
      </c>
      <c r="Z691" t="s">
        <v>68</v>
      </c>
      <c r="AA691" t="s">
        <v>78</v>
      </c>
      <c r="AB691" t="str" cm="1">
        <f t="array" ref="AB691">_xlfn.IFS(cleaned_data[[#This Row],[YearsAtCompany]]&lt;=5, "0-5",cleaned_data[[#This Row],[YearsAtCompany]]&lt;=10,"6-10",TRUE,"10+")</f>
        <v>0-5</v>
      </c>
    </row>
    <row r="692" spans="1:28" x14ac:dyDescent="0.3">
      <c r="A692" s="2">
        <v>31</v>
      </c>
      <c r="B692" t="s">
        <v>43</v>
      </c>
      <c r="C692">
        <v>0</v>
      </c>
      <c r="D692" t="s">
        <v>36</v>
      </c>
      <c r="E692" t="s">
        <v>45</v>
      </c>
      <c r="F692">
        <v>12</v>
      </c>
      <c r="G692" t="s">
        <v>51</v>
      </c>
      <c r="H692" t="s">
        <v>762</v>
      </c>
      <c r="I692">
        <v>4</v>
      </c>
      <c r="J692" t="s">
        <v>39</v>
      </c>
      <c r="K692">
        <v>3</v>
      </c>
      <c r="L692">
        <v>2</v>
      </c>
      <c r="M692" t="s">
        <v>54</v>
      </c>
      <c r="N692">
        <v>4</v>
      </c>
      <c r="O692" t="s">
        <v>48</v>
      </c>
      <c r="P692" s="1">
        <v>5855</v>
      </c>
      <c r="Q692" t="s">
        <v>67</v>
      </c>
      <c r="R692" t="s">
        <v>35</v>
      </c>
      <c r="S692">
        <v>3</v>
      </c>
      <c r="T692">
        <v>10</v>
      </c>
      <c r="U692">
        <v>1</v>
      </c>
      <c r="V692">
        <v>9</v>
      </c>
      <c r="W692">
        <v>7</v>
      </c>
      <c r="X692">
        <v>8</v>
      </c>
      <c r="Y692">
        <v>5</v>
      </c>
      <c r="Z692" t="s">
        <v>1551</v>
      </c>
      <c r="AA692" t="s">
        <v>69</v>
      </c>
      <c r="AB692" t="str" cm="1">
        <f t="array" ref="AB692">_xlfn.IFS(cleaned_data[[#This Row],[YearsAtCompany]]&lt;=5, "0-5",cleaned_data[[#This Row],[YearsAtCompany]]&lt;=10,"6-10",TRUE,"10+")</f>
        <v>6-10</v>
      </c>
    </row>
    <row r="693" spans="1:28" x14ac:dyDescent="0.3">
      <c r="A693" s="2">
        <v>40</v>
      </c>
      <c r="B693" t="s">
        <v>43</v>
      </c>
      <c r="C693">
        <v>0</v>
      </c>
      <c r="D693" t="s">
        <v>44</v>
      </c>
      <c r="E693" t="s">
        <v>45</v>
      </c>
      <c r="F693">
        <v>9</v>
      </c>
      <c r="G693" t="s">
        <v>51</v>
      </c>
      <c r="H693" t="s">
        <v>763</v>
      </c>
      <c r="I693">
        <v>4</v>
      </c>
      <c r="J693" t="s">
        <v>46</v>
      </c>
      <c r="K693">
        <v>3</v>
      </c>
      <c r="L693">
        <v>1</v>
      </c>
      <c r="M693" t="s">
        <v>47</v>
      </c>
      <c r="N693">
        <v>2</v>
      </c>
      <c r="O693" t="s">
        <v>52</v>
      </c>
      <c r="P693" s="1">
        <v>3617</v>
      </c>
      <c r="Q693" t="s">
        <v>72</v>
      </c>
      <c r="R693" t="s">
        <v>35</v>
      </c>
      <c r="S693">
        <v>3</v>
      </c>
      <c r="T693">
        <v>3</v>
      </c>
      <c r="U693">
        <v>3</v>
      </c>
      <c r="V693">
        <v>1</v>
      </c>
      <c r="W693">
        <v>1</v>
      </c>
      <c r="X693">
        <v>0</v>
      </c>
      <c r="Y693">
        <v>0</v>
      </c>
      <c r="Z693" t="s">
        <v>1550</v>
      </c>
      <c r="AA693" t="s">
        <v>78</v>
      </c>
      <c r="AB693" t="str" cm="1">
        <f t="array" ref="AB693">_xlfn.IFS(cleaned_data[[#This Row],[YearsAtCompany]]&lt;=5, "0-5",cleaned_data[[#This Row],[YearsAtCompany]]&lt;=10,"6-10",TRUE,"10+")</f>
        <v>0-5</v>
      </c>
    </row>
    <row r="694" spans="1:28" x14ac:dyDescent="0.3">
      <c r="A694" s="2">
        <v>32</v>
      </c>
      <c r="B694" t="s">
        <v>43</v>
      </c>
      <c r="C694">
        <v>0</v>
      </c>
      <c r="D694" t="s">
        <v>36</v>
      </c>
      <c r="E694" t="s">
        <v>45</v>
      </c>
      <c r="F694">
        <v>3</v>
      </c>
      <c r="G694" t="s">
        <v>51</v>
      </c>
      <c r="H694" t="s">
        <v>764</v>
      </c>
      <c r="I694">
        <v>3</v>
      </c>
      <c r="J694" t="s">
        <v>39</v>
      </c>
      <c r="K694">
        <v>3</v>
      </c>
      <c r="L694">
        <v>2</v>
      </c>
      <c r="M694" t="s">
        <v>53</v>
      </c>
      <c r="N694">
        <v>1</v>
      </c>
      <c r="O694" t="s">
        <v>48</v>
      </c>
      <c r="P694" s="6">
        <v>6725</v>
      </c>
      <c r="Q694" t="s">
        <v>67</v>
      </c>
      <c r="R694" t="s">
        <v>43</v>
      </c>
      <c r="S694">
        <v>3</v>
      </c>
      <c r="T694">
        <v>8</v>
      </c>
      <c r="U694">
        <v>4</v>
      </c>
      <c r="V694">
        <v>8</v>
      </c>
      <c r="W694">
        <v>7</v>
      </c>
      <c r="X694">
        <v>6</v>
      </c>
      <c r="Y694">
        <v>3</v>
      </c>
      <c r="Z694" t="s">
        <v>1551</v>
      </c>
      <c r="AA694" t="s">
        <v>69</v>
      </c>
      <c r="AB694" t="str" cm="1">
        <f t="array" ref="AB694">_xlfn.IFS(cleaned_data[[#This Row],[YearsAtCompany]]&lt;=5, "0-5",cleaned_data[[#This Row],[YearsAtCompany]]&lt;=10,"6-10",TRUE,"10+")</f>
        <v>6-10</v>
      </c>
    </row>
    <row r="695" spans="1:28" x14ac:dyDescent="0.3">
      <c r="A695" s="2">
        <v>36</v>
      </c>
      <c r="B695" t="s">
        <v>35</v>
      </c>
      <c r="C695">
        <v>1</v>
      </c>
      <c r="D695" t="s">
        <v>36</v>
      </c>
      <c r="E695" t="s">
        <v>37</v>
      </c>
      <c r="F695">
        <v>3</v>
      </c>
      <c r="G695" t="s">
        <v>38</v>
      </c>
      <c r="H695" t="s">
        <v>765</v>
      </c>
      <c r="I695">
        <v>3</v>
      </c>
      <c r="J695" t="s">
        <v>46</v>
      </c>
      <c r="K695">
        <v>2</v>
      </c>
      <c r="L695">
        <v>3</v>
      </c>
      <c r="M695" t="s">
        <v>40</v>
      </c>
      <c r="N695">
        <v>4</v>
      </c>
      <c r="O695" t="s">
        <v>48</v>
      </c>
      <c r="P695" s="1">
        <v>10325</v>
      </c>
      <c r="Q695" t="s">
        <v>67</v>
      </c>
      <c r="R695" t="s">
        <v>35</v>
      </c>
      <c r="S695">
        <v>3</v>
      </c>
      <c r="T695">
        <v>16</v>
      </c>
      <c r="U695">
        <v>3</v>
      </c>
      <c r="V695">
        <v>16</v>
      </c>
      <c r="W695">
        <v>7</v>
      </c>
      <c r="X695">
        <v>3</v>
      </c>
      <c r="Y695">
        <v>7</v>
      </c>
      <c r="Z695" t="s">
        <v>1550</v>
      </c>
      <c r="AA695" t="s">
        <v>82</v>
      </c>
      <c r="AB695" t="str" cm="1">
        <f t="array" ref="AB695">_xlfn.IFS(cleaned_data[[#This Row],[YearsAtCompany]]&lt;=5, "0-5",cleaned_data[[#This Row],[YearsAtCompany]]&lt;=10,"6-10",TRUE,"10+")</f>
        <v>10+</v>
      </c>
    </row>
    <row r="696" spans="1:28" x14ac:dyDescent="0.3">
      <c r="A696" s="2">
        <v>33</v>
      </c>
      <c r="B696" t="s">
        <v>43</v>
      </c>
      <c r="C696">
        <v>0</v>
      </c>
      <c r="D696" t="s">
        <v>36</v>
      </c>
      <c r="E696" t="s">
        <v>45</v>
      </c>
      <c r="F696">
        <v>1</v>
      </c>
      <c r="G696" t="s">
        <v>38</v>
      </c>
      <c r="H696" t="s">
        <v>766</v>
      </c>
      <c r="I696">
        <v>2</v>
      </c>
      <c r="J696" t="s">
        <v>39</v>
      </c>
      <c r="K696">
        <v>2</v>
      </c>
      <c r="L696">
        <v>2</v>
      </c>
      <c r="M696" t="s">
        <v>54</v>
      </c>
      <c r="N696">
        <v>4</v>
      </c>
      <c r="O696" t="s">
        <v>41</v>
      </c>
      <c r="P696" s="1">
        <v>6949</v>
      </c>
      <c r="Q696" t="s">
        <v>67</v>
      </c>
      <c r="R696" t="s">
        <v>43</v>
      </c>
      <c r="S696">
        <v>3</v>
      </c>
      <c r="T696">
        <v>6</v>
      </c>
      <c r="U696">
        <v>3</v>
      </c>
      <c r="V696">
        <v>5</v>
      </c>
      <c r="W696">
        <v>0</v>
      </c>
      <c r="X696">
        <v>1</v>
      </c>
      <c r="Y696">
        <v>4</v>
      </c>
      <c r="Z696" t="s">
        <v>1551</v>
      </c>
      <c r="AA696" t="s">
        <v>69</v>
      </c>
      <c r="AB696" t="str" cm="1">
        <f t="array" ref="AB696">_xlfn.IFS(cleaned_data[[#This Row],[YearsAtCompany]]&lt;=5, "0-5",cleaned_data[[#This Row],[YearsAtCompany]]&lt;=10,"6-10",TRUE,"10+")</f>
        <v>0-5</v>
      </c>
    </row>
    <row r="697" spans="1:28" x14ac:dyDescent="0.3">
      <c r="A697" s="2">
        <v>37</v>
      </c>
      <c r="B697" t="s">
        <v>35</v>
      </c>
      <c r="C697">
        <v>1</v>
      </c>
      <c r="D697" t="s">
        <v>36</v>
      </c>
      <c r="E697" t="s">
        <v>37</v>
      </c>
      <c r="F697">
        <v>1</v>
      </c>
      <c r="G697" t="s">
        <v>38</v>
      </c>
      <c r="H697" t="s">
        <v>767</v>
      </c>
      <c r="I697">
        <v>1</v>
      </c>
      <c r="J697" t="s">
        <v>46</v>
      </c>
      <c r="K697">
        <v>2</v>
      </c>
      <c r="L697">
        <v>3</v>
      </c>
      <c r="M697" t="s">
        <v>40</v>
      </c>
      <c r="N697">
        <v>3</v>
      </c>
      <c r="O697" t="s">
        <v>48</v>
      </c>
      <c r="P697" s="1">
        <v>10609</v>
      </c>
      <c r="Q697" t="s">
        <v>67</v>
      </c>
      <c r="R697" t="s">
        <v>43</v>
      </c>
      <c r="S697">
        <v>3</v>
      </c>
      <c r="T697">
        <v>17</v>
      </c>
      <c r="U697">
        <v>1</v>
      </c>
      <c r="V697">
        <v>14</v>
      </c>
      <c r="W697">
        <v>1</v>
      </c>
      <c r="X697">
        <v>11</v>
      </c>
      <c r="Y697">
        <v>7</v>
      </c>
      <c r="Z697" t="s">
        <v>1550</v>
      </c>
      <c r="AA697" t="s">
        <v>82</v>
      </c>
      <c r="AB697" t="str" cm="1">
        <f t="array" ref="AB697">_xlfn.IFS(cleaned_data[[#This Row],[YearsAtCompany]]&lt;=5, "0-5",cleaned_data[[#This Row],[YearsAtCompany]]&lt;=10,"6-10",TRUE,"10+")</f>
        <v>10+</v>
      </c>
    </row>
    <row r="698" spans="1:28" x14ac:dyDescent="0.3">
      <c r="A698" s="2">
        <v>45</v>
      </c>
      <c r="B698" t="s">
        <v>43</v>
      </c>
      <c r="C698">
        <v>0</v>
      </c>
      <c r="D698" t="s">
        <v>55</v>
      </c>
      <c r="E698" t="s">
        <v>45</v>
      </c>
      <c r="F698">
        <v>4</v>
      </c>
      <c r="G698" t="s">
        <v>38</v>
      </c>
      <c r="H698" t="s">
        <v>768</v>
      </c>
      <c r="I698">
        <v>3</v>
      </c>
      <c r="J698" t="s">
        <v>46</v>
      </c>
      <c r="K698">
        <v>3</v>
      </c>
      <c r="L698">
        <v>2</v>
      </c>
      <c r="M698" t="s">
        <v>50</v>
      </c>
      <c r="N698">
        <v>2</v>
      </c>
      <c r="O698" t="s">
        <v>48</v>
      </c>
      <c r="P698" s="1">
        <v>4447</v>
      </c>
      <c r="Q698" t="s">
        <v>72</v>
      </c>
      <c r="R698" t="s">
        <v>43</v>
      </c>
      <c r="S698">
        <v>3</v>
      </c>
      <c r="T698">
        <v>9</v>
      </c>
      <c r="U698">
        <v>2</v>
      </c>
      <c r="V698">
        <v>9</v>
      </c>
      <c r="W698">
        <v>7</v>
      </c>
      <c r="X698">
        <v>0</v>
      </c>
      <c r="Y698">
        <v>8</v>
      </c>
      <c r="Z698" t="s">
        <v>1550</v>
      </c>
      <c r="AA698" t="s">
        <v>69</v>
      </c>
      <c r="AB698" t="str" cm="1">
        <f t="array" ref="AB698">_xlfn.IFS(cleaned_data[[#This Row],[YearsAtCompany]]&lt;=5, "0-5",cleaned_data[[#This Row],[YearsAtCompany]]&lt;=10,"6-10",TRUE,"10+")</f>
        <v>6-10</v>
      </c>
    </row>
    <row r="699" spans="1:28" x14ac:dyDescent="0.3">
      <c r="A699" s="2">
        <v>29</v>
      </c>
      <c r="B699" t="s">
        <v>43</v>
      </c>
      <c r="C699">
        <v>0</v>
      </c>
      <c r="D699" t="s">
        <v>44</v>
      </c>
      <c r="E699" t="s">
        <v>37</v>
      </c>
      <c r="F699">
        <v>20</v>
      </c>
      <c r="G699" t="s">
        <v>60</v>
      </c>
      <c r="H699" t="s">
        <v>769</v>
      </c>
      <c r="I699">
        <v>3</v>
      </c>
      <c r="J699" t="s">
        <v>39</v>
      </c>
      <c r="K699">
        <v>3</v>
      </c>
      <c r="L699">
        <v>1</v>
      </c>
      <c r="M699" t="s">
        <v>57</v>
      </c>
      <c r="N699">
        <v>4</v>
      </c>
      <c r="O699" t="s">
        <v>48</v>
      </c>
      <c r="P699" s="1">
        <v>2157</v>
      </c>
      <c r="Q699" t="s">
        <v>72</v>
      </c>
      <c r="R699" t="s">
        <v>43</v>
      </c>
      <c r="S699">
        <v>3</v>
      </c>
      <c r="T699">
        <v>3</v>
      </c>
      <c r="U699">
        <v>3</v>
      </c>
      <c r="V699">
        <v>3</v>
      </c>
      <c r="W699">
        <v>1</v>
      </c>
      <c r="X699">
        <v>0</v>
      </c>
      <c r="Y699">
        <v>2</v>
      </c>
      <c r="Z699" t="s">
        <v>1551</v>
      </c>
      <c r="AA699" t="s">
        <v>78</v>
      </c>
      <c r="AB699" t="str" cm="1">
        <f t="array" ref="AB699">_xlfn.IFS(cleaned_data[[#This Row],[YearsAtCompany]]&lt;=5, "0-5",cleaned_data[[#This Row],[YearsAtCompany]]&lt;=10,"6-10",TRUE,"10+")</f>
        <v>0-5</v>
      </c>
    </row>
    <row r="700" spans="1:28" x14ac:dyDescent="0.3">
      <c r="A700" s="2">
        <v>35</v>
      </c>
      <c r="B700" t="s">
        <v>43</v>
      </c>
      <c r="C700">
        <v>0</v>
      </c>
      <c r="D700" t="s">
        <v>36</v>
      </c>
      <c r="E700" t="s">
        <v>37</v>
      </c>
      <c r="F700">
        <v>18</v>
      </c>
      <c r="G700" t="s">
        <v>51</v>
      </c>
      <c r="H700" t="s">
        <v>770</v>
      </c>
      <c r="I700">
        <v>3</v>
      </c>
      <c r="J700" t="s">
        <v>39</v>
      </c>
      <c r="K700">
        <v>3</v>
      </c>
      <c r="L700">
        <v>2</v>
      </c>
      <c r="M700" t="s">
        <v>40</v>
      </c>
      <c r="N700">
        <v>3</v>
      </c>
      <c r="O700" t="s">
        <v>48</v>
      </c>
      <c r="P700" s="1">
        <v>4601</v>
      </c>
      <c r="Q700" t="s">
        <v>72</v>
      </c>
      <c r="R700" t="s">
        <v>43</v>
      </c>
      <c r="S700">
        <v>3</v>
      </c>
      <c r="T700">
        <v>5</v>
      </c>
      <c r="U700">
        <v>3</v>
      </c>
      <c r="V700">
        <v>5</v>
      </c>
      <c r="W700">
        <v>2</v>
      </c>
      <c r="X700">
        <v>1</v>
      </c>
      <c r="Y700">
        <v>0</v>
      </c>
      <c r="Z700" t="s">
        <v>1551</v>
      </c>
      <c r="AA700" t="s">
        <v>78</v>
      </c>
      <c r="AB700" t="str" cm="1">
        <f t="array" ref="AB700">_xlfn.IFS(cleaned_data[[#This Row],[YearsAtCompany]]&lt;=5, "0-5",cleaned_data[[#This Row],[YearsAtCompany]]&lt;=10,"6-10",TRUE,"10+")</f>
        <v>0-5</v>
      </c>
    </row>
    <row r="701" spans="1:28" x14ac:dyDescent="0.3">
      <c r="A701" s="2">
        <v>52</v>
      </c>
      <c r="B701" t="s">
        <v>43</v>
      </c>
      <c r="C701">
        <v>0</v>
      </c>
      <c r="D701" t="s">
        <v>36</v>
      </c>
      <c r="E701" t="s">
        <v>45</v>
      </c>
      <c r="F701">
        <v>1</v>
      </c>
      <c r="G701" t="s">
        <v>38</v>
      </c>
      <c r="H701" t="s">
        <v>771</v>
      </c>
      <c r="I701">
        <v>4</v>
      </c>
      <c r="J701" t="s">
        <v>46</v>
      </c>
      <c r="K701">
        <v>3</v>
      </c>
      <c r="L701">
        <v>4</v>
      </c>
      <c r="M701" t="s">
        <v>56</v>
      </c>
      <c r="N701">
        <v>4</v>
      </c>
      <c r="O701" t="s">
        <v>48</v>
      </c>
      <c r="P701" s="1">
        <v>17099</v>
      </c>
      <c r="Q701" t="s">
        <v>90</v>
      </c>
      <c r="R701" t="s">
        <v>43</v>
      </c>
      <c r="S701">
        <v>3</v>
      </c>
      <c r="T701">
        <v>26</v>
      </c>
      <c r="U701">
        <v>2</v>
      </c>
      <c r="V701">
        <v>9</v>
      </c>
      <c r="W701">
        <v>8</v>
      </c>
      <c r="X701">
        <v>7</v>
      </c>
      <c r="Y701">
        <v>8</v>
      </c>
      <c r="Z701" t="s">
        <v>106</v>
      </c>
      <c r="AA701" t="s">
        <v>82</v>
      </c>
      <c r="AB701" t="str" cm="1">
        <f t="array" ref="AB701">_xlfn.IFS(cleaned_data[[#This Row],[YearsAtCompany]]&lt;=5, "0-5",cleaned_data[[#This Row],[YearsAtCompany]]&lt;=10,"6-10",TRUE,"10+")</f>
        <v>6-10</v>
      </c>
    </row>
    <row r="702" spans="1:28" x14ac:dyDescent="0.3">
      <c r="A702" s="2">
        <v>58</v>
      </c>
      <c r="B702" t="s">
        <v>35</v>
      </c>
      <c r="C702">
        <v>1</v>
      </c>
      <c r="D702" t="s">
        <v>36</v>
      </c>
      <c r="E702" t="s">
        <v>45</v>
      </c>
      <c r="F702">
        <v>2</v>
      </c>
      <c r="G702" t="s">
        <v>60</v>
      </c>
      <c r="H702" t="s">
        <v>772</v>
      </c>
      <c r="I702">
        <v>4</v>
      </c>
      <c r="J702" t="s">
        <v>46</v>
      </c>
      <c r="K702">
        <v>3</v>
      </c>
      <c r="L702">
        <v>1</v>
      </c>
      <c r="M702" t="s">
        <v>47</v>
      </c>
      <c r="N702">
        <v>3</v>
      </c>
      <c r="O702" t="s">
        <v>41</v>
      </c>
      <c r="P702" s="1">
        <v>2479</v>
      </c>
      <c r="Q702" t="s">
        <v>72</v>
      </c>
      <c r="R702" t="s">
        <v>43</v>
      </c>
      <c r="S702">
        <v>4</v>
      </c>
      <c r="T702">
        <v>7</v>
      </c>
      <c r="U702">
        <v>3</v>
      </c>
      <c r="V702">
        <v>1</v>
      </c>
      <c r="W702">
        <v>0</v>
      </c>
      <c r="X702">
        <v>0</v>
      </c>
      <c r="Y702">
        <v>0</v>
      </c>
      <c r="Z702" t="s">
        <v>106</v>
      </c>
      <c r="AA702" t="s">
        <v>69</v>
      </c>
      <c r="AB702" t="str" cm="1">
        <f t="array" ref="AB702">_xlfn.IFS(cleaned_data[[#This Row],[YearsAtCompany]]&lt;=5, "0-5",cleaned_data[[#This Row],[YearsAtCompany]]&lt;=10,"6-10",TRUE,"10+")</f>
        <v>0-5</v>
      </c>
    </row>
    <row r="703" spans="1:28" x14ac:dyDescent="0.3">
      <c r="A703" s="2">
        <v>53</v>
      </c>
      <c r="B703" t="s">
        <v>43</v>
      </c>
      <c r="C703">
        <v>0</v>
      </c>
      <c r="D703" t="s">
        <v>36</v>
      </c>
      <c r="E703" t="s">
        <v>37</v>
      </c>
      <c r="F703">
        <v>2</v>
      </c>
      <c r="G703" t="s">
        <v>51</v>
      </c>
      <c r="H703" t="s">
        <v>773</v>
      </c>
      <c r="I703">
        <v>3</v>
      </c>
      <c r="J703" t="s">
        <v>46</v>
      </c>
      <c r="K703">
        <v>3</v>
      </c>
      <c r="L703">
        <v>4</v>
      </c>
      <c r="M703" t="s">
        <v>56</v>
      </c>
      <c r="N703">
        <v>3</v>
      </c>
      <c r="O703" t="s">
        <v>52</v>
      </c>
      <c r="P703" s="1">
        <v>14852</v>
      </c>
      <c r="Q703" t="s">
        <v>90</v>
      </c>
      <c r="R703" t="s">
        <v>43</v>
      </c>
      <c r="S703">
        <v>3</v>
      </c>
      <c r="T703">
        <v>22</v>
      </c>
      <c r="U703">
        <v>4</v>
      </c>
      <c r="V703">
        <v>17</v>
      </c>
      <c r="W703">
        <v>13</v>
      </c>
      <c r="X703">
        <v>15</v>
      </c>
      <c r="Y703">
        <v>2</v>
      </c>
      <c r="Z703" t="s">
        <v>106</v>
      </c>
      <c r="AA703" t="s">
        <v>82</v>
      </c>
      <c r="AB703" t="str" cm="1">
        <f t="array" ref="AB703">_xlfn.IFS(cleaned_data[[#This Row],[YearsAtCompany]]&lt;=5, "0-5",cleaned_data[[#This Row],[YearsAtCompany]]&lt;=10,"6-10",TRUE,"10+")</f>
        <v>10+</v>
      </c>
    </row>
    <row r="704" spans="1:28" x14ac:dyDescent="0.3">
      <c r="A704" s="2">
        <v>30</v>
      </c>
      <c r="B704" t="s">
        <v>43</v>
      </c>
      <c r="C704">
        <v>0</v>
      </c>
      <c r="D704" t="s">
        <v>36</v>
      </c>
      <c r="E704" t="s">
        <v>37</v>
      </c>
      <c r="F704">
        <v>8</v>
      </c>
      <c r="G704" t="s">
        <v>49</v>
      </c>
      <c r="H704" t="s">
        <v>774</v>
      </c>
      <c r="I704">
        <v>3</v>
      </c>
      <c r="J704" t="s">
        <v>46</v>
      </c>
      <c r="K704">
        <v>3</v>
      </c>
      <c r="L704">
        <v>3</v>
      </c>
      <c r="M704" t="s">
        <v>40</v>
      </c>
      <c r="N704">
        <v>3</v>
      </c>
      <c r="O704" t="s">
        <v>52</v>
      </c>
      <c r="P704" s="1">
        <v>7264</v>
      </c>
      <c r="Q704" t="s">
        <v>67</v>
      </c>
      <c r="R704" t="s">
        <v>43</v>
      </c>
      <c r="S704">
        <v>3</v>
      </c>
      <c r="T704">
        <v>10</v>
      </c>
      <c r="U704">
        <v>4</v>
      </c>
      <c r="V704">
        <v>8</v>
      </c>
      <c r="W704">
        <v>4</v>
      </c>
      <c r="X704">
        <v>7</v>
      </c>
      <c r="Y704">
        <v>7</v>
      </c>
      <c r="Z704" t="s">
        <v>1551</v>
      </c>
      <c r="AA704" t="s">
        <v>69</v>
      </c>
      <c r="AB704" t="str" cm="1">
        <f t="array" ref="AB704">_xlfn.IFS(cleaned_data[[#This Row],[YearsAtCompany]]&lt;=5, "0-5",cleaned_data[[#This Row],[YearsAtCompany]]&lt;=10,"6-10",TRUE,"10+")</f>
        <v>6-10</v>
      </c>
    </row>
    <row r="705" spans="1:28" x14ac:dyDescent="0.3">
      <c r="A705" s="2">
        <v>38</v>
      </c>
      <c r="B705" t="s">
        <v>43</v>
      </c>
      <c r="C705">
        <v>0</v>
      </c>
      <c r="D705" t="s">
        <v>55</v>
      </c>
      <c r="E705" t="s">
        <v>37</v>
      </c>
      <c r="F705">
        <v>10</v>
      </c>
      <c r="G705" t="s">
        <v>60</v>
      </c>
      <c r="H705" t="s">
        <v>775</v>
      </c>
      <c r="I705">
        <v>3</v>
      </c>
      <c r="J705" t="s">
        <v>39</v>
      </c>
      <c r="K705">
        <v>3</v>
      </c>
      <c r="L705">
        <v>2</v>
      </c>
      <c r="M705" t="s">
        <v>40</v>
      </c>
      <c r="N705">
        <v>4</v>
      </c>
      <c r="O705" t="s">
        <v>41</v>
      </c>
      <c r="P705" s="1">
        <v>5666</v>
      </c>
      <c r="Q705" t="s">
        <v>67</v>
      </c>
      <c r="R705" t="s">
        <v>35</v>
      </c>
      <c r="S705">
        <v>3</v>
      </c>
      <c r="T705">
        <v>6</v>
      </c>
      <c r="U705">
        <v>3</v>
      </c>
      <c r="V705">
        <v>5</v>
      </c>
      <c r="W705">
        <v>3</v>
      </c>
      <c r="X705">
        <v>1</v>
      </c>
      <c r="Y705">
        <v>3</v>
      </c>
      <c r="Z705" t="s">
        <v>1550</v>
      </c>
      <c r="AA705" t="s">
        <v>69</v>
      </c>
      <c r="AB705" t="str" cm="1">
        <f t="array" ref="AB705">_xlfn.IFS(cleaned_data[[#This Row],[YearsAtCompany]]&lt;=5, "0-5",cleaned_data[[#This Row],[YearsAtCompany]]&lt;=10,"6-10",TRUE,"10+")</f>
        <v>0-5</v>
      </c>
    </row>
    <row r="706" spans="1:28" x14ac:dyDescent="0.3">
      <c r="A706" s="2">
        <v>35</v>
      </c>
      <c r="B706" t="s">
        <v>43</v>
      </c>
      <c r="C706">
        <v>0</v>
      </c>
      <c r="D706" t="s">
        <v>36</v>
      </c>
      <c r="E706" t="s">
        <v>37</v>
      </c>
      <c r="F706">
        <v>3</v>
      </c>
      <c r="G706" t="s">
        <v>38</v>
      </c>
      <c r="H706" t="s">
        <v>776</v>
      </c>
      <c r="I706">
        <v>4</v>
      </c>
      <c r="J706" t="s">
        <v>46</v>
      </c>
      <c r="K706">
        <v>3</v>
      </c>
      <c r="L706">
        <v>3</v>
      </c>
      <c r="M706" t="s">
        <v>40</v>
      </c>
      <c r="N706">
        <v>4</v>
      </c>
      <c r="O706" t="s">
        <v>52</v>
      </c>
      <c r="P706" s="1">
        <v>7823</v>
      </c>
      <c r="Q706" t="s">
        <v>67</v>
      </c>
      <c r="R706" t="s">
        <v>43</v>
      </c>
      <c r="S706">
        <v>3</v>
      </c>
      <c r="T706">
        <v>12</v>
      </c>
      <c r="U706">
        <v>3</v>
      </c>
      <c r="V706">
        <v>10</v>
      </c>
      <c r="W706">
        <v>9</v>
      </c>
      <c r="X706">
        <v>0</v>
      </c>
      <c r="Y706">
        <v>8</v>
      </c>
      <c r="Z706" t="s">
        <v>1551</v>
      </c>
      <c r="AA706" t="s">
        <v>69</v>
      </c>
      <c r="AB706" t="str" cm="1">
        <f t="array" ref="AB706">_xlfn.IFS(cleaned_data[[#This Row],[YearsAtCompany]]&lt;=5, "0-5",cleaned_data[[#This Row],[YearsAtCompany]]&lt;=10,"6-10",TRUE,"10+")</f>
        <v>6-10</v>
      </c>
    </row>
    <row r="707" spans="1:28" x14ac:dyDescent="0.3">
      <c r="A707" s="2">
        <v>39</v>
      </c>
      <c r="B707" t="s">
        <v>43</v>
      </c>
      <c r="C707">
        <v>0</v>
      </c>
      <c r="D707" t="s">
        <v>36</v>
      </c>
      <c r="E707" t="s">
        <v>37</v>
      </c>
      <c r="F707">
        <v>2</v>
      </c>
      <c r="G707" t="s">
        <v>38</v>
      </c>
      <c r="H707" t="s">
        <v>777</v>
      </c>
      <c r="I707">
        <v>1</v>
      </c>
      <c r="J707" t="s">
        <v>46</v>
      </c>
      <c r="K707">
        <v>4</v>
      </c>
      <c r="L707">
        <v>3</v>
      </c>
      <c r="M707" t="s">
        <v>40</v>
      </c>
      <c r="N707">
        <v>3</v>
      </c>
      <c r="O707" t="s">
        <v>41</v>
      </c>
      <c r="P707" s="1">
        <v>7880</v>
      </c>
      <c r="Q707" t="s">
        <v>67</v>
      </c>
      <c r="R707" t="s">
        <v>43</v>
      </c>
      <c r="S707">
        <v>3</v>
      </c>
      <c r="T707">
        <v>9</v>
      </c>
      <c r="U707">
        <v>3</v>
      </c>
      <c r="V707">
        <v>8</v>
      </c>
      <c r="W707">
        <v>7</v>
      </c>
      <c r="X707">
        <v>0</v>
      </c>
      <c r="Y707">
        <v>7</v>
      </c>
      <c r="Z707" t="s">
        <v>1550</v>
      </c>
      <c r="AA707" t="s">
        <v>69</v>
      </c>
      <c r="AB707" t="str" cm="1">
        <f t="array" ref="AB707">_xlfn.IFS(cleaned_data[[#This Row],[YearsAtCompany]]&lt;=5, "0-5",cleaned_data[[#This Row],[YearsAtCompany]]&lt;=10,"6-10",TRUE,"10+")</f>
        <v>6-10</v>
      </c>
    </row>
    <row r="708" spans="1:28" x14ac:dyDescent="0.3">
      <c r="A708" s="2">
        <v>40</v>
      </c>
      <c r="B708" t="s">
        <v>35</v>
      </c>
      <c r="C708">
        <v>1</v>
      </c>
      <c r="D708" t="s">
        <v>55</v>
      </c>
      <c r="E708" t="s">
        <v>37</v>
      </c>
      <c r="F708">
        <v>24</v>
      </c>
      <c r="G708" t="s">
        <v>38</v>
      </c>
      <c r="H708" t="s">
        <v>778</v>
      </c>
      <c r="I708">
        <v>2</v>
      </c>
      <c r="J708" t="s">
        <v>39</v>
      </c>
      <c r="K708">
        <v>4</v>
      </c>
      <c r="L708">
        <v>4</v>
      </c>
      <c r="M708" t="s">
        <v>40</v>
      </c>
      <c r="N708">
        <v>2</v>
      </c>
      <c r="O708" t="s">
        <v>41</v>
      </c>
      <c r="P708" s="1">
        <v>13194</v>
      </c>
      <c r="Q708" t="s">
        <v>90</v>
      </c>
      <c r="R708" t="s">
        <v>35</v>
      </c>
      <c r="S708">
        <v>3</v>
      </c>
      <c r="T708">
        <v>22</v>
      </c>
      <c r="U708">
        <v>2</v>
      </c>
      <c r="V708">
        <v>1</v>
      </c>
      <c r="W708">
        <v>0</v>
      </c>
      <c r="X708">
        <v>0</v>
      </c>
      <c r="Y708">
        <v>0</v>
      </c>
      <c r="Z708" t="s">
        <v>1550</v>
      </c>
      <c r="AA708" t="s">
        <v>82</v>
      </c>
      <c r="AB708" t="str" cm="1">
        <f t="array" ref="AB708">_xlfn.IFS(cleaned_data[[#This Row],[YearsAtCompany]]&lt;=5, "0-5",cleaned_data[[#This Row],[YearsAtCompany]]&lt;=10,"6-10",TRUE,"10+")</f>
        <v>0-5</v>
      </c>
    </row>
    <row r="709" spans="1:28" x14ac:dyDescent="0.3">
      <c r="A709" s="2">
        <v>47</v>
      </c>
      <c r="B709" t="s">
        <v>43</v>
      </c>
      <c r="C709">
        <v>0</v>
      </c>
      <c r="D709" t="s">
        <v>44</v>
      </c>
      <c r="E709" t="s">
        <v>45</v>
      </c>
      <c r="F709">
        <v>16</v>
      </c>
      <c r="G709" t="s">
        <v>51</v>
      </c>
      <c r="H709" t="s">
        <v>779</v>
      </c>
      <c r="I709">
        <v>3</v>
      </c>
      <c r="J709" t="s">
        <v>46</v>
      </c>
      <c r="K709">
        <v>4</v>
      </c>
      <c r="L709">
        <v>2</v>
      </c>
      <c r="M709" t="s">
        <v>53</v>
      </c>
      <c r="N709">
        <v>3</v>
      </c>
      <c r="O709" t="s">
        <v>52</v>
      </c>
      <c r="P709" s="1">
        <v>5067</v>
      </c>
      <c r="Q709" t="s">
        <v>67</v>
      </c>
      <c r="R709" t="s">
        <v>35</v>
      </c>
      <c r="S709">
        <v>3</v>
      </c>
      <c r="T709">
        <v>20</v>
      </c>
      <c r="U709">
        <v>4</v>
      </c>
      <c r="V709">
        <v>19</v>
      </c>
      <c r="W709">
        <v>10</v>
      </c>
      <c r="X709">
        <v>2</v>
      </c>
      <c r="Y709">
        <v>7</v>
      </c>
      <c r="Z709" t="s">
        <v>106</v>
      </c>
      <c r="AA709" t="s">
        <v>82</v>
      </c>
      <c r="AB709" t="str" cm="1">
        <f t="array" ref="AB709">_xlfn.IFS(cleaned_data[[#This Row],[YearsAtCompany]]&lt;=5, "0-5",cleaned_data[[#This Row],[YearsAtCompany]]&lt;=10,"6-10",TRUE,"10+")</f>
        <v>10+</v>
      </c>
    </row>
    <row r="710" spans="1:28" x14ac:dyDescent="0.3">
      <c r="A710" s="2">
        <v>36</v>
      </c>
      <c r="B710" t="s">
        <v>43</v>
      </c>
      <c r="C710">
        <v>0</v>
      </c>
      <c r="D710" t="s">
        <v>55</v>
      </c>
      <c r="E710" t="s">
        <v>37</v>
      </c>
      <c r="F710">
        <v>8</v>
      </c>
      <c r="G710" t="s">
        <v>60</v>
      </c>
      <c r="H710" t="s">
        <v>780</v>
      </c>
      <c r="I710">
        <v>1</v>
      </c>
      <c r="J710" t="s">
        <v>46</v>
      </c>
      <c r="K710">
        <v>3</v>
      </c>
      <c r="L710">
        <v>2</v>
      </c>
      <c r="M710" t="s">
        <v>40</v>
      </c>
      <c r="N710">
        <v>4</v>
      </c>
      <c r="O710" t="s">
        <v>52</v>
      </c>
      <c r="P710" s="1">
        <v>5079</v>
      </c>
      <c r="Q710" t="s">
        <v>67</v>
      </c>
      <c r="R710" t="s">
        <v>43</v>
      </c>
      <c r="S710">
        <v>3</v>
      </c>
      <c r="T710">
        <v>12</v>
      </c>
      <c r="U710">
        <v>3</v>
      </c>
      <c r="V710">
        <v>7</v>
      </c>
      <c r="W710">
        <v>7</v>
      </c>
      <c r="X710">
        <v>0</v>
      </c>
      <c r="Y710">
        <v>7</v>
      </c>
      <c r="Z710" t="s">
        <v>1550</v>
      </c>
      <c r="AA710" t="s">
        <v>69</v>
      </c>
      <c r="AB710" t="str" cm="1">
        <f t="array" ref="AB710">_xlfn.IFS(cleaned_data[[#This Row],[YearsAtCompany]]&lt;=5, "0-5",cleaned_data[[#This Row],[YearsAtCompany]]&lt;=10,"6-10",TRUE,"10+")</f>
        <v>6-10</v>
      </c>
    </row>
    <row r="711" spans="1:28" x14ac:dyDescent="0.3">
      <c r="A711" s="2">
        <v>31</v>
      </c>
      <c r="B711" t="s">
        <v>35</v>
      </c>
      <c r="C711">
        <v>1</v>
      </c>
      <c r="D711" t="s">
        <v>55</v>
      </c>
      <c r="E711" t="s">
        <v>45</v>
      </c>
      <c r="F711">
        <v>9</v>
      </c>
      <c r="G711" t="s">
        <v>51</v>
      </c>
      <c r="H711" t="s">
        <v>781</v>
      </c>
      <c r="I711">
        <v>3</v>
      </c>
      <c r="J711" t="s">
        <v>46</v>
      </c>
      <c r="K711">
        <v>2</v>
      </c>
      <c r="L711">
        <v>1</v>
      </c>
      <c r="M711" t="s">
        <v>47</v>
      </c>
      <c r="N711">
        <v>1</v>
      </c>
      <c r="O711" t="s">
        <v>41</v>
      </c>
      <c r="P711" s="6">
        <v>2321</v>
      </c>
      <c r="Q711" t="s">
        <v>72</v>
      </c>
      <c r="R711" t="s">
        <v>35</v>
      </c>
      <c r="S711">
        <v>4</v>
      </c>
      <c r="T711">
        <v>4</v>
      </c>
      <c r="U711">
        <v>3</v>
      </c>
      <c r="V711">
        <v>3</v>
      </c>
      <c r="W711">
        <v>2</v>
      </c>
      <c r="X711">
        <v>1</v>
      </c>
      <c r="Y711">
        <v>2</v>
      </c>
      <c r="Z711" t="s">
        <v>1551</v>
      </c>
      <c r="AA711" t="s">
        <v>78</v>
      </c>
      <c r="AB711" t="str" cm="1">
        <f t="array" ref="AB711">_xlfn.IFS(cleaned_data[[#This Row],[YearsAtCompany]]&lt;=5, "0-5",cleaned_data[[#This Row],[YearsAtCompany]]&lt;=10,"6-10",TRUE,"10+")</f>
        <v>0-5</v>
      </c>
    </row>
    <row r="712" spans="1:28" x14ac:dyDescent="0.3">
      <c r="A712" s="2">
        <v>33</v>
      </c>
      <c r="B712" t="s">
        <v>43</v>
      </c>
      <c r="C712">
        <v>0</v>
      </c>
      <c r="D712" t="s">
        <v>55</v>
      </c>
      <c r="E712" t="s">
        <v>37</v>
      </c>
      <c r="F712">
        <v>17</v>
      </c>
      <c r="G712" t="s">
        <v>38</v>
      </c>
      <c r="H712" t="s">
        <v>782</v>
      </c>
      <c r="I712">
        <v>4</v>
      </c>
      <c r="J712" t="s">
        <v>46</v>
      </c>
      <c r="K712">
        <v>3</v>
      </c>
      <c r="L712">
        <v>4</v>
      </c>
      <c r="M712" t="s">
        <v>56</v>
      </c>
      <c r="N712">
        <v>3</v>
      </c>
      <c r="O712" t="s">
        <v>41</v>
      </c>
      <c r="P712" s="1">
        <v>17444</v>
      </c>
      <c r="Q712" t="s">
        <v>90</v>
      </c>
      <c r="R712" t="s">
        <v>43</v>
      </c>
      <c r="S712">
        <v>3</v>
      </c>
      <c r="T712">
        <v>10</v>
      </c>
      <c r="U712">
        <v>3</v>
      </c>
      <c r="V712">
        <v>10</v>
      </c>
      <c r="W712">
        <v>8</v>
      </c>
      <c r="X712">
        <v>6</v>
      </c>
      <c r="Y712">
        <v>0</v>
      </c>
      <c r="Z712" t="s">
        <v>1551</v>
      </c>
      <c r="AA712" t="s">
        <v>69</v>
      </c>
      <c r="AB712" t="str" cm="1">
        <f t="array" ref="AB712">_xlfn.IFS(cleaned_data[[#This Row],[YearsAtCompany]]&lt;=5, "0-5",cleaned_data[[#This Row],[YearsAtCompany]]&lt;=10,"6-10",TRUE,"10+")</f>
        <v>6-10</v>
      </c>
    </row>
    <row r="713" spans="1:28" x14ac:dyDescent="0.3">
      <c r="A713" s="2">
        <v>29</v>
      </c>
      <c r="B713" t="s">
        <v>35</v>
      </c>
      <c r="C713">
        <v>1</v>
      </c>
      <c r="D713" t="s">
        <v>36</v>
      </c>
      <c r="E713" t="s">
        <v>45</v>
      </c>
      <c r="F713">
        <v>10</v>
      </c>
      <c r="G713" t="s">
        <v>38</v>
      </c>
      <c r="H713" t="s">
        <v>783</v>
      </c>
      <c r="I713">
        <v>4</v>
      </c>
      <c r="J713" t="s">
        <v>39</v>
      </c>
      <c r="K713">
        <v>2</v>
      </c>
      <c r="L713">
        <v>1</v>
      </c>
      <c r="M713" t="s">
        <v>47</v>
      </c>
      <c r="N713">
        <v>1</v>
      </c>
      <c r="O713" t="s">
        <v>41</v>
      </c>
      <c r="P713" s="6">
        <v>2404</v>
      </c>
      <c r="Q713" t="s">
        <v>72</v>
      </c>
      <c r="R713" t="s">
        <v>35</v>
      </c>
      <c r="S713">
        <v>4</v>
      </c>
      <c r="T713">
        <v>3</v>
      </c>
      <c r="U713">
        <v>3</v>
      </c>
      <c r="V713">
        <v>0</v>
      </c>
      <c r="W713">
        <v>0</v>
      </c>
      <c r="X713">
        <v>0</v>
      </c>
      <c r="Y713">
        <v>0</v>
      </c>
      <c r="Z713" t="s">
        <v>1551</v>
      </c>
      <c r="AA713" t="s">
        <v>78</v>
      </c>
      <c r="AB713" t="str" cm="1">
        <f t="array" ref="AB713">_xlfn.IFS(cleaned_data[[#This Row],[YearsAtCompany]]&lt;=5, "0-5",cleaned_data[[#This Row],[YearsAtCompany]]&lt;=10,"6-10",TRUE,"10+")</f>
        <v>0-5</v>
      </c>
    </row>
    <row r="714" spans="1:28" x14ac:dyDescent="0.3">
      <c r="A714" s="2">
        <v>33</v>
      </c>
      <c r="B714" t="s">
        <v>43</v>
      </c>
      <c r="C714">
        <v>0</v>
      </c>
      <c r="D714" t="s">
        <v>36</v>
      </c>
      <c r="E714" t="s">
        <v>45</v>
      </c>
      <c r="F714">
        <v>13</v>
      </c>
      <c r="G714" t="s">
        <v>38</v>
      </c>
      <c r="H714" t="s">
        <v>784</v>
      </c>
      <c r="I714">
        <v>2</v>
      </c>
      <c r="J714" t="s">
        <v>39</v>
      </c>
      <c r="K714">
        <v>3</v>
      </c>
      <c r="L714">
        <v>1</v>
      </c>
      <c r="M714" t="s">
        <v>47</v>
      </c>
      <c r="N714">
        <v>4</v>
      </c>
      <c r="O714" t="s">
        <v>41</v>
      </c>
      <c r="P714" s="1">
        <v>3452</v>
      </c>
      <c r="Q714" t="s">
        <v>72</v>
      </c>
      <c r="R714" t="s">
        <v>43</v>
      </c>
      <c r="S714">
        <v>3</v>
      </c>
      <c r="T714">
        <v>5</v>
      </c>
      <c r="U714">
        <v>3</v>
      </c>
      <c r="V714">
        <v>3</v>
      </c>
      <c r="W714">
        <v>2</v>
      </c>
      <c r="X714">
        <v>0</v>
      </c>
      <c r="Y714">
        <v>2</v>
      </c>
      <c r="Z714" t="s">
        <v>1551</v>
      </c>
      <c r="AA714" t="s">
        <v>78</v>
      </c>
      <c r="AB714" t="str" cm="1">
        <f t="array" ref="AB714">_xlfn.IFS(cleaned_data[[#This Row],[YearsAtCompany]]&lt;=5, "0-5",cleaned_data[[#This Row],[YearsAtCompany]]&lt;=10,"6-10",TRUE,"10+")</f>
        <v>0-5</v>
      </c>
    </row>
    <row r="715" spans="1:28" x14ac:dyDescent="0.3">
      <c r="A715" s="2">
        <v>45</v>
      </c>
      <c r="B715" t="s">
        <v>43</v>
      </c>
      <c r="C715">
        <v>0</v>
      </c>
      <c r="D715" t="s">
        <v>36</v>
      </c>
      <c r="E715" t="s">
        <v>45</v>
      </c>
      <c r="F715">
        <v>1</v>
      </c>
      <c r="G715" t="s">
        <v>51</v>
      </c>
      <c r="H715" t="s">
        <v>785</v>
      </c>
      <c r="I715">
        <v>4</v>
      </c>
      <c r="J715" t="s">
        <v>39</v>
      </c>
      <c r="K715">
        <v>3</v>
      </c>
      <c r="L715">
        <v>1</v>
      </c>
      <c r="M715" t="s">
        <v>50</v>
      </c>
      <c r="N715">
        <v>4</v>
      </c>
      <c r="O715" t="s">
        <v>52</v>
      </c>
      <c r="P715" s="1">
        <v>2270</v>
      </c>
      <c r="Q715" t="s">
        <v>72</v>
      </c>
      <c r="R715" t="s">
        <v>43</v>
      </c>
      <c r="S715">
        <v>3</v>
      </c>
      <c r="T715">
        <v>8</v>
      </c>
      <c r="U715">
        <v>3</v>
      </c>
      <c r="V715">
        <v>5</v>
      </c>
      <c r="W715">
        <v>3</v>
      </c>
      <c r="X715">
        <v>0</v>
      </c>
      <c r="Y715">
        <v>2</v>
      </c>
      <c r="Z715" t="s">
        <v>1550</v>
      </c>
      <c r="AA715" t="s">
        <v>69</v>
      </c>
      <c r="AB715" t="str" cm="1">
        <f t="array" ref="AB715">_xlfn.IFS(cleaned_data[[#This Row],[YearsAtCompany]]&lt;=5, "0-5",cleaned_data[[#This Row],[YearsAtCompany]]&lt;=10,"6-10",TRUE,"10+")</f>
        <v>0-5</v>
      </c>
    </row>
    <row r="716" spans="1:28" x14ac:dyDescent="0.3">
      <c r="A716" s="2">
        <v>50</v>
      </c>
      <c r="B716" t="s">
        <v>43</v>
      </c>
      <c r="C716">
        <v>0</v>
      </c>
      <c r="D716" t="s">
        <v>36</v>
      </c>
      <c r="E716" t="s">
        <v>45</v>
      </c>
      <c r="F716">
        <v>1</v>
      </c>
      <c r="G716" t="s">
        <v>51</v>
      </c>
      <c r="H716" t="s">
        <v>786</v>
      </c>
      <c r="I716">
        <v>4</v>
      </c>
      <c r="J716" t="s">
        <v>46</v>
      </c>
      <c r="K716">
        <v>3</v>
      </c>
      <c r="L716">
        <v>4</v>
      </c>
      <c r="M716" t="s">
        <v>58</v>
      </c>
      <c r="N716">
        <v>4</v>
      </c>
      <c r="O716" t="s">
        <v>52</v>
      </c>
      <c r="P716" s="1">
        <v>17399</v>
      </c>
      <c r="Q716" t="s">
        <v>90</v>
      </c>
      <c r="R716" t="s">
        <v>43</v>
      </c>
      <c r="S716">
        <v>4</v>
      </c>
      <c r="T716">
        <v>32</v>
      </c>
      <c r="U716">
        <v>2</v>
      </c>
      <c r="V716">
        <v>5</v>
      </c>
      <c r="W716">
        <v>4</v>
      </c>
      <c r="X716">
        <v>1</v>
      </c>
      <c r="Y716">
        <v>3</v>
      </c>
      <c r="Z716" t="s">
        <v>106</v>
      </c>
      <c r="AA716" t="s">
        <v>82</v>
      </c>
      <c r="AB716" t="str" cm="1">
        <f t="array" ref="AB716">_xlfn.IFS(cleaned_data[[#This Row],[YearsAtCompany]]&lt;=5, "0-5",cleaned_data[[#This Row],[YearsAtCompany]]&lt;=10,"6-10",TRUE,"10+")</f>
        <v>0-5</v>
      </c>
    </row>
    <row r="717" spans="1:28" x14ac:dyDescent="0.3">
      <c r="A717" s="2">
        <v>33</v>
      </c>
      <c r="B717" t="s">
        <v>43</v>
      </c>
      <c r="C717">
        <v>0</v>
      </c>
      <c r="D717" t="s">
        <v>44</v>
      </c>
      <c r="E717" t="s">
        <v>45</v>
      </c>
      <c r="F717">
        <v>1</v>
      </c>
      <c r="G717" t="s">
        <v>49</v>
      </c>
      <c r="H717" t="s">
        <v>787</v>
      </c>
      <c r="I717">
        <v>3</v>
      </c>
      <c r="J717" t="s">
        <v>39</v>
      </c>
      <c r="K717">
        <v>4</v>
      </c>
      <c r="L717">
        <v>2</v>
      </c>
      <c r="M717" t="s">
        <v>54</v>
      </c>
      <c r="N717">
        <v>2</v>
      </c>
      <c r="O717" t="s">
        <v>48</v>
      </c>
      <c r="P717" s="1">
        <v>5488</v>
      </c>
      <c r="Q717" t="s">
        <v>67</v>
      </c>
      <c r="R717" t="s">
        <v>35</v>
      </c>
      <c r="S717">
        <v>3</v>
      </c>
      <c r="T717">
        <v>6</v>
      </c>
      <c r="U717">
        <v>3</v>
      </c>
      <c r="V717">
        <v>6</v>
      </c>
      <c r="W717">
        <v>5</v>
      </c>
      <c r="X717">
        <v>1</v>
      </c>
      <c r="Y717">
        <v>2</v>
      </c>
      <c r="Z717" t="s">
        <v>1551</v>
      </c>
      <c r="AA717" t="s">
        <v>69</v>
      </c>
      <c r="AB717" t="str" cm="1">
        <f t="array" ref="AB717">_xlfn.IFS(cleaned_data[[#This Row],[YearsAtCompany]]&lt;=5, "0-5",cleaned_data[[#This Row],[YearsAtCompany]]&lt;=10,"6-10",TRUE,"10+")</f>
        <v>6-10</v>
      </c>
    </row>
    <row r="718" spans="1:28" x14ac:dyDescent="0.3">
      <c r="A718" s="2">
        <v>41</v>
      </c>
      <c r="B718" t="s">
        <v>43</v>
      </c>
      <c r="C718">
        <v>0</v>
      </c>
      <c r="D718" t="s">
        <v>44</v>
      </c>
      <c r="E718" t="s">
        <v>45</v>
      </c>
      <c r="F718">
        <v>9</v>
      </c>
      <c r="G718" t="s">
        <v>51</v>
      </c>
      <c r="H718" t="s">
        <v>788</v>
      </c>
      <c r="I718">
        <v>1</v>
      </c>
      <c r="J718" t="s">
        <v>46</v>
      </c>
      <c r="K718">
        <v>3</v>
      </c>
      <c r="L718">
        <v>5</v>
      </c>
      <c r="M718" t="s">
        <v>58</v>
      </c>
      <c r="N718">
        <v>3</v>
      </c>
      <c r="O718" t="s">
        <v>52</v>
      </c>
      <c r="P718" s="1">
        <v>19419</v>
      </c>
      <c r="Q718" t="s">
        <v>90</v>
      </c>
      <c r="R718" t="s">
        <v>43</v>
      </c>
      <c r="S718">
        <v>3</v>
      </c>
      <c r="T718">
        <v>21</v>
      </c>
      <c r="U718">
        <v>4</v>
      </c>
      <c r="V718">
        <v>18</v>
      </c>
      <c r="W718">
        <v>16</v>
      </c>
      <c r="X718">
        <v>0</v>
      </c>
      <c r="Y718">
        <v>11</v>
      </c>
      <c r="Z718" t="s">
        <v>1550</v>
      </c>
      <c r="AA718" t="s">
        <v>82</v>
      </c>
      <c r="AB718" t="str" cm="1">
        <f t="array" ref="AB718">_xlfn.IFS(cleaned_data[[#This Row],[YearsAtCompany]]&lt;=5, "0-5",cleaned_data[[#This Row],[YearsAtCompany]]&lt;=10,"6-10",TRUE,"10+")</f>
        <v>10+</v>
      </c>
    </row>
    <row r="719" spans="1:28" x14ac:dyDescent="0.3">
      <c r="A719" s="2">
        <v>27</v>
      </c>
      <c r="B719" t="s">
        <v>43</v>
      </c>
      <c r="C719">
        <v>0</v>
      </c>
      <c r="D719" t="s">
        <v>36</v>
      </c>
      <c r="E719" t="s">
        <v>45</v>
      </c>
      <c r="F719">
        <v>16</v>
      </c>
      <c r="G719" t="s">
        <v>60</v>
      </c>
      <c r="H719" t="s">
        <v>789</v>
      </c>
      <c r="I719">
        <v>3</v>
      </c>
      <c r="J719" t="s">
        <v>39</v>
      </c>
      <c r="K719">
        <v>3</v>
      </c>
      <c r="L719">
        <v>1</v>
      </c>
      <c r="M719" t="s">
        <v>50</v>
      </c>
      <c r="N719">
        <v>2</v>
      </c>
      <c r="O719" t="s">
        <v>48</v>
      </c>
      <c r="P719" s="1">
        <v>2811</v>
      </c>
      <c r="Q719" t="s">
        <v>72</v>
      </c>
      <c r="R719" t="s">
        <v>43</v>
      </c>
      <c r="S719">
        <v>3</v>
      </c>
      <c r="T719">
        <v>4</v>
      </c>
      <c r="U719">
        <v>3</v>
      </c>
      <c r="V719">
        <v>2</v>
      </c>
      <c r="W719">
        <v>2</v>
      </c>
      <c r="X719">
        <v>2</v>
      </c>
      <c r="Y719">
        <v>2</v>
      </c>
      <c r="Z719" t="s">
        <v>1551</v>
      </c>
      <c r="AA719" t="s">
        <v>78</v>
      </c>
      <c r="AB719" t="str" cm="1">
        <f t="array" ref="AB719">_xlfn.IFS(cleaned_data[[#This Row],[YearsAtCompany]]&lt;=5, "0-5",cleaned_data[[#This Row],[YearsAtCompany]]&lt;=10,"6-10",TRUE,"10+")</f>
        <v>0-5</v>
      </c>
    </row>
    <row r="720" spans="1:28" x14ac:dyDescent="0.3">
      <c r="A720" s="2">
        <v>45</v>
      </c>
      <c r="B720" t="s">
        <v>43</v>
      </c>
      <c r="C720">
        <v>0</v>
      </c>
      <c r="D720" t="s">
        <v>55</v>
      </c>
      <c r="E720" t="s">
        <v>45</v>
      </c>
      <c r="F720">
        <v>23</v>
      </c>
      <c r="G720" t="s">
        <v>38</v>
      </c>
      <c r="H720" t="s">
        <v>790</v>
      </c>
      <c r="I720">
        <v>4</v>
      </c>
      <c r="J720" t="s">
        <v>46</v>
      </c>
      <c r="K720">
        <v>3</v>
      </c>
      <c r="L720">
        <v>2</v>
      </c>
      <c r="M720" t="s">
        <v>50</v>
      </c>
      <c r="N720">
        <v>1</v>
      </c>
      <c r="O720" t="s">
        <v>48</v>
      </c>
      <c r="P720" s="6">
        <v>3633</v>
      </c>
      <c r="Q720" t="s">
        <v>72</v>
      </c>
      <c r="R720" t="s">
        <v>35</v>
      </c>
      <c r="S720">
        <v>3</v>
      </c>
      <c r="T720">
        <v>9</v>
      </c>
      <c r="U720">
        <v>3</v>
      </c>
      <c r="V720">
        <v>9</v>
      </c>
      <c r="W720">
        <v>8</v>
      </c>
      <c r="X720">
        <v>0</v>
      </c>
      <c r="Y720">
        <v>8</v>
      </c>
      <c r="Z720" t="s">
        <v>1550</v>
      </c>
      <c r="AA720" t="s">
        <v>69</v>
      </c>
      <c r="AB720" t="str" cm="1">
        <f t="array" ref="AB720">_xlfn.IFS(cleaned_data[[#This Row],[YearsAtCompany]]&lt;=5, "0-5",cleaned_data[[#This Row],[YearsAtCompany]]&lt;=10,"6-10",TRUE,"10+")</f>
        <v>6-10</v>
      </c>
    </row>
    <row r="721" spans="1:28" x14ac:dyDescent="0.3">
      <c r="A721" s="2">
        <v>47</v>
      </c>
      <c r="B721" t="s">
        <v>43</v>
      </c>
      <c r="C721">
        <v>0</v>
      </c>
      <c r="D721" t="s">
        <v>36</v>
      </c>
      <c r="E721" t="s">
        <v>37</v>
      </c>
      <c r="F721">
        <v>4</v>
      </c>
      <c r="G721" t="s">
        <v>38</v>
      </c>
      <c r="H721" t="s">
        <v>791</v>
      </c>
      <c r="I721">
        <v>4</v>
      </c>
      <c r="J721" t="s">
        <v>39</v>
      </c>
      <c r="K721">
        <v>3</v>
      </c>
      <c r="L721">
        <v>2</v>
      </c>
      <c r="M721" t="s">
        <v>40</v>
      </c>
      <c r="N721">
        <v>4</v>
      </c>
      <c r="O721" t="s">
        <v>41</v>
      </c>
      <c r="P721" s="1">
        <v>4163</v>
      </c>
      <c r="Q721" t="s">
        <v>72</v>
      </c>
      <c r="R721" t="s">
        <v>35</v>
      </c>
      <c r="S721">
        <v>3</v>
      </c>
      <c r="T721">
        <v>9</v>
      </c>
      <c r="U721">
        <v>3</v>
      </c>
      <c r="V721">
        <v>9</v>
      </c>
      <c r="W721">
        <v>0</v>
      </c>
      <c r="X721">
        <v>0</v>
      </c>
      <c r="Y721">
        <v>7</v>
      </c>
      <c r="Z721" t="s">
        <v>106</v>
      </c>
      <c r="AA721" t="s">
        <v>69</v>
      </c>
      <c r="AB721" t="str" cm="1">
        <f t="array" ref="AB721">_xlfn.IFS(cleaned_data[[#This Row],[YearsAtCompany]]&lt;=5, "0-5",cleaned_data[[#This Row],[YearsAtCompany]]&lt;=10,"6-10",TRUE,"10+")</f>
        <v>6-10</v>
      </c>
    </row>
    <row r="722" spans="1:28" x14ac:dyDescent="0.3">
      <c r="A722" s="2">
        <v>30</v>
      </c>
      <c r="B722" t="s">
        <v>35</v>
      </c>
      <c r="C722">
        <v>1</v>
      </c>
      <c r="D722" t="s">
        <v>36</v>
      </c>
      <c r="E722" t="s">
        <v>45</v>
      </c>
      <c r="F722">
        <v>22</v>
      </c>
      <c r="G722" t="s">
        <v>38</v>
      </c>
      <c r="H722" t="s">
        <v>792</v>
      </c>
      <c r="I722">
        <v>1</v>
      </c>
      <c r="J722" t="s">
        <v>39</v>
      </c>
      <c r="K722">
        <v>3</v>
      </c>
      <c r="L722">
        <v>1</v>
      </c>
      <c r="M722" t="s">
        <v>47</v>
      </c>
      <c r="N722">
        <v>3</v>
      </c>
      <c r="O722" t="s">
        <v>48</v>
      </c>
      <c r="P722" s="1">
        <v>2132</v>
      </c>
      <c r="Q722" t="s">
        <v>72</v>
      </c>
      <c r="R722" t="s">
        <v>35</v>
      </c>
      <c r="S722">
        <v>3</v>
      </c>
      <c r="T722">
        <v>7</v>
      </c>
      <c r="U722">
        <v>3</v>
      </c>
      <c r="V722">
        <v>5</v>
      </c>
      <c r="W722">
        <v>2</v>
      </c>
      <c r="X722">
        <v>0</v>
      </c>
      <c r="Y722">
        <v>1</v>
      </c>
      <c r="Z722" t="s">
        <v>1551</v>
      </c>
      <c r="AA722" t="s">
        <v>69</v>
      </c>
      <c r="AB722" t="str" cm="1">
        <f t="array" ref="AB722">_xlfn.IFS(cleaned_data[[#This Row],[YearsAtCompany]]&lt;=5, "0-5",cleaned_data[[#This Row],[YearsAtCompany]]&lt;=10,"6-10",TRUE,"10+")</f>
        <v>0-5</v>
      </c>
    </row>
    <row r="723" spans="1:28" x14ac:dyDescent="0.3">
      <c r="A723" s="2">
        <v>50</v>
      </c>
      <c r="B723" t="s">
        <v>43</v>
      </c>
      <c r="C723">
        <v>0</v>
      </c>
      <c r="D723" t="s">
        <v>36</v>
      </c>
      <c r="E723" t="s">
        <v>45</v>
      </c>
      <c r="F723">
        <v>24</v>
      </c>
      <c r="G723" t="s">
        <v>38</v>
      </c>
      <c r="H723" t="s">
        <v>793</v>
      </c>
      <c r="I723">
        <v>4</v>
      </c>
      <c r="J723" t="s">
        <v>46</v>
      </c>
      <c r="K723">
        <v>3</v>
      </c>
      <c r="L723">
        <v>4</v>
      </c>
      <c r="M723" t="s">
        <v>53</v>
      </c>
      <c r="N723">
        <v>3</v>
      </c>
      <c r="O723" t="s">
        <v>48</v>
      </c>
      <c r="P723" s="1">
        <v>13973</v>
      </c>
      <c r="Q723" t="s">
        <v>90</v>
      </c>
      <c r="R723" t="s">
        <v>35</v>
      </c>
      <c r="S723">
        <v>3</v>
      </c>
      <c r="T723">
        <v>22</v>
      </c>
      <c r="U723">
        <v>3</v>
      </c>
      <c r="V723">
        <v>12</v>
      </c>
      <c r="W723">
        <v>11</v>
      </c>
      <c r="X723">
        <v>1</v>
      </c>
      <c r="Y723">
        <v>5</v>
      </c>
      <c r="Z723" t="s">
        <v>106</v>
      </c>
      <c r="AA723" t="s">
        <v>82</v>
      </c>
      <c r="AB723" t="str" cm="1">
        <f t="array" ref="AB723">_xlfn.IFS(cleaned_data[[#This Row],[YearsAtCompany]]&lt;=5, "0-5",cleaned_data[[#This Row],[YearsAtCompany]]&lt;=10,"6-10",TRUE,"10+")</f>
        <v>10+</v>
      </c>
    </row>
    <row r="724" spans="1:28" x14ac:dyDescent="0.3">
      <c r="A724" s="2">
        <v>38</v>
      </c>
      <c r="B724" t="s">
        <v>43</v>
      </c>
      <c r="C724">
        <v>0</v>
      </c>
      <c r="D724" t="s">
        <v>44</v>
      </c>
      <c r="E724" t="s">
        <v>45</v>
      </c>
      <c r="F724">
        <v>10</v>
      </c>
      <c r="G724" t="s">
        <v>51</v>
      </c>
      <c r="H724" t="s">
        <v>794</v>
      </c>
      <c r="I724">
        <v>3</v>
      </c>
      <c r="J724" t="s">
        <v>46</v>
      </c>
      <c r="K724">
        <v>3</v>
      </c>
      <c r="L724">
        <v>1</v>
      </c>
      <c r="M724" t="s">
        <v>47</v>
      </c>
      <c r="N724">
        <v>3</v>
      </c>
      <c r="O724" t="s">
        <v>48</v>
      </c>
      <c r="P724" s="1">
        <v>2684</v>
      </c>
      <c r="Q724" t="s">
        <v>72</v>
      </c>
      <c r="R724" t="s">
        <v>43</v>
      </c>
      <c r="S724">
        <v>3</v>
      </c>
      <c r="T724">
        <v>3</v>
      </c>
      <c r="U724">
        <v>2</v>
      </c>
      <c r="V724">
        <v>2</v>
      </c>
      <c r="W724">
        <v>1</v>
      </c>
      <c r="X724">
        <v>0</v>
      </c>
      <c r="Y724">
        <v>2</v>
      </c>
      <c r="Z724" t="s">
        <v>1550</v>
      </c>
      <c r="AA724" t="s">
        <v>78</v>
      </c>
      <c r="AB724" t="str" cm="1">
        <f t="array" ref="AB724">_xlfn.IFS(cleaned_data[[#This Row],[YearsAtCompany]]&lt;=5, "0-5",cleaned_data[[#This Row],[YearsAtCompany]]&lt;=10,"6-10",TRUE,"10+")</f>
        <v>0-5</v>
      </c>
    </row>
    <row r="725" spans="1:28" x14ac:dyDescent="0.3">
      <c r="A725" s="2">
        <v>46</v>
      </c>
      <c r="B725" t="s">
        <v>43</v>
      </c>
      <c r="C725">
        <v>0</v>
      </c>
      <c r="D725" t="s">
        <v>36</v>
      </c>
      <c r="E725" t="s">
        <v>45</v>
      </c>
      <c r="F725">
        <v>7</v>
      </c>
      <c r="G725" t="s">
        <v>51</v>
      </c>
      <c r="H725" t="s">
        <v>795</v>
      </c>
      <c r="I725">
        <v>4</v>
      </c>
      <c r="J725" t="s">
        <v>46</v>
      </c>
      <c r="K725">
        <v>3</v>
      </c>
      <c r="L725">
        <v>3</v>
      </c>
      <c r="M725" t="s">
        <v>53</v>
      </c>
      <c r="N725">
        <v>3</v>
      </c>
      <c r="O725" t="s">
        <v>52</v>
      </c>
      <c r="P725" s="1">
        <v>10845</v>
      </c>
      <c r="Q725" t="s">
        <v>67</v>
      </c>
      <c r="R725" t="s">
        <v>43</v>
      </c>
      <c r="S725">
        <v>3</v>
      </c>
      <c r="T725">
        <v>13</v>
      </c>
      <c r="U725">
        <v>3</v>
      </c>
      <c r="V725">
        <v>8</v>
      </c>
      <c r="W725">
        <v>7</v>
      </c>
      <c r="X725">
        <v>0</v>
      </c>
      <c r="Y725">
        <v>7</v>
      </c>
      <c r="Z725" t="s">
        <v>106</v>
      </c>
      <c r="AA725" t="s">
        <v>69</v>
      </c>
      <c r="AB725" t="str" cm="1">
        <f t="array" ref="AB725">_xlfn.IFS(cleaned_data[[#This Row],[YearsAtCompany]]&lt;=5, "0-5",cleaned_data[[#This Row],[YearsAtCompany]]&lt;=10,"6-10",TRUE,"10+")</f>
        <v>6-10</v>
      </c>
    </row>
    <row r="726" spans="1:28" x14ac:dyDescent="0.3">
      <c r="A726" s="2">
        <v>24</v>
      </c>
      <c r="B726" t="s">
        <v>43</v>
      </c>
      <c r="C726">
        <v>0</v>
      </c>
      <c r="D726" t="s">
        <v>36</v>
      </c>
      <c r="E726" t="s">
        <v>45</v>
      </c>
      <c r="F726">
        <v>17</v>
      </c>
      <c r="G726" t="s">
        <v>51</v>
      </c>
      <c r="H726" t="s">
        <v>796</v>
      </c>
      <c r="I726">
        <v>4</v>
      </c>
      <c r="J726" t="s">
        <v>39</v>
      </c>
      <c r="K726">
        <v>2</v>
      </c>
      <c r="L726">
        <v>2</v>
      </c>
      <c r="M726" t="s">
        <v>53</v>
      </c>
      <c r="N726">
        <v>3</v>
      </c>
      <c r="O726" t="s">
        <v>52</v>
      </c>
      <c r="P726" s="1">
        <v>4377</v>
      </c>
      <c r="Q726" t="s">
        <v>72</v>
      </c>
      <c r="R726" t="s">
        <v>43</v>
      </c>
      <c r="S726">
        <v>3</v>
      </c>
      <c r="T726">
        <v>5</v>
      </c>
      <c r="U726">
        <v>3</v>
      </c>
      <c r="V726">
        <v>4</v>
      </c>
      <c r="W726">
        <v>2</v>
      </c>
      <c r="X726">
        <v>3</v>
      </c>
      <c r="Y726">
        <v>2</v>
      </c>
      <c r="Z726" t="s">
        <v>68</v>
      </c>
      <c r="AA726" t="s">
        <v>78</v>
      </c>
      <c r="AB726" t="str" cm="1">
        <f t="array" ref="AB726">_xlfn.IFS(cleaned_data[[#This Row],[YearsAtCompany]]&lt;=5, "0-5",cleaned_data[[#This Row],[YearsAtCompany]]&lt;=10,"6-10",TRUE,"10+")</f>
        <v>0-5</v>
      </c>
    </row>
    <row r="727" spans="1:28" x14ac:dyDescent="0.3">
      <c r="A727" s="2">
        <v>35</v>
      </c>
      <c r="B727" t="s">
        <v>35</v>
      </c>
      <c r="C727">
        <v>1</v>
      </c>
      <c r="D727" t="s">
        <v>36</v>
      </c>
      <c r="E727" t="s">
        <v>45</v>
      </c>
      <c r="F727">
        <v>14</v>
      </c>
      <c r="G727" t="s">
        <v>49</v>
      </c>
      <c r="H727" t="s">
        <v>797</v>
      </c>
      <c r="I727">
        <v>3</v>
      </c>
      <c r="J727" t="s">
        <v>46</v>
      </c>
      <c r="K727">
        <v>2</v>
      </c>
      <c r="L727">
        <v>1</v>
      </c>
      <c r="M727" t="s">
        <v>50</v>
      </c>
      <c r="N727">
        <v>2</v>
      </c>
      <c r="O727" t="s">
        <v>52</v>
      </c>
      <c r="P727" s="1">
        <v>3743</v>
      </c>
      <c r="Q727" t="s">
        <v>72</v>
      </c>
      <c r="R727" t="s">
        <v>35</v>
      </c>
      <c r="S727">
        <v>4</v>
      </c>
      <c r="T727">
        <v>5</v>
      </c>
      <c r="U727">
        <v>1</v>
      </c>
      <c r="V727">
        <v>4</v>
      </c>
      <c r="W727">
        <v>2</v>
      </c>
      <c r="X727">
        <v>0</v>
      </c>
      <c r="Y727">
        <v>2</v>
      </c>
      <c r="Z727" t="s">
        <v>1551</v>
      </c>
      <c r="AA727" t="s">
        <v>78</v>
      </c>
      <c r="AB727" t="str" cm="1">
        <f t="array" ref="AB727">_xlfn.IFS(cleaned_data[[#This Row],[YearsAtCompany]]&lt;=5, "0-5",cleaned_data[[#This Row],[YearsAtCompany]]&lt;=10,"6-10",TRUE,"10+")</f>
        <v>0-5</v>
      </c>
    </row>
    <row r="728" spans="1:28" x14ac:dyDescent="0.3">
      <c r="A728" s="2">
        <v>31</v>
      </c>
      <c r="B728" t="s">
        <v>43</v>
      </c>
      <c r="C728">
        <v>0</v>
      </c>
      <c r="D728" t="s">
        <v>44</v>
      </c>
      <c r="E728" t="s">
        <v>45</v>
      </c>
      <c r="F728">
        <v>1</v>
      </c>
      <c r="G728" t="s">
        <v>38</v>
      </c>
      <c r="H728" t="s">
        <v>798</v>
      </c>
      <c r="I728">
        <v>3</v>
      </c>
      <c r="J728" t="s">
        <v>39</v>
      </c>
      <c r="K728">
        <v>3</v>
      </c>
      <c r="L728">
        <v>2</v>
      </c>
      <c r="M728" t="s">
        <v>53</v>
      </c>
      <c r="N728">
        <v>1</v>
      </c>
      <c r="O728" t="s">
        <v>48</v>
      </c>
      <c r="P728" s="6">
        <v>4148</v>
      </c>
      <c r="Q728" t="s">
        <v>72</v>
      </c>
      <c r="R728" t="s">
        <v>43</v>
      </c>
      <c r="S728">
        <v>3</v>
      </c>
      <c r="T728">
        <v>4</v>
      </c>
      <c r="U728">
        <v>3</v>
      </c>
      <c r="V728">
        <v>4</v>
      </c>
      <c r="W728">
        <v>3</v>
      </c>
      <c r="X728">
        <v>0</v>
      </c>
      <c r="Y728">
        <v>3</v>
      </c>
      <c r="Z728" t="s">
        <v>1551</v>
      </c>
      <c r="AA728" t="s">
        <v>78</v>
      </c>
      <c r="AB728" t="str" cm="1">
        <f t="array" ref="AB728">_xlfn.IFS(cleaned_data[[#This Row],[YearsAtCompany]]&lt;=5, "0-5",cleaned_data[[#This Row],[YearsAtCompany]]&lt;=10,"6-10",TRUE,"10+")</f>
        <v>0-5</v>
      </c>
    </row>
    <row r="729" spans="1:28" x14ac:dyDescent="0.3">
      <c r="A729" s="2">
        <v>18</v>
      </c>
      <c r="B729" t="s">
        <v>43</v>
      </c>
      <c r="C729">
        <v>0</v>
      </c>
      <c r="D729" t="s">
        <v>55</v>
      </c>
      <c r="E729" t="s">
        <v>45</v>
      </c>
      <c r="F729">
        <v>5</v>
      </c>
      <c r="G729" t="s">
        <v>38</v>
      </c>
      <c r="H729" t="s">
        <v>799</v>
      </c>
      <c r="I729">
        <v>2</v>
      </c>
      <c r="J729" t="s">
        <v>46</v>
      </c>
      <c r="K729">
        <v>3</v>
      </c>
      <c r="L729">
        <v>1</v>
      </c>
      <c r="M729" t="s">
        <v>47</v>
      </c>
      <c r="N729">
        <v>4</v>
      </c>
      <c r="O729" t="s">
        <v>41</v>
      </c>
      <c r="P729" s="1">
        <v>1051</v>
      </c>
      <c r="Q729" t="s">
        <v>72</v>
      </c>
      <c r="R729" t="s">
        <v>43</v>
      </c>
      <c r="S729">
        <v>3</v>
      </c>
      <c r="T729">
        <v>0</v>
      </c>
      <c r="U729">
        <v>3</v>
      </c>
      <c r="V729">
        <v>0</v>
      </c>
      <c r="W729">
        <v>0</v>
      </c>
      <c r="X729">
        <v>0</v>
      </c>
      <c r="Y729">
        <v>0</v>
      </c>
      <c r="Z729" t="s">
        <v>68</v>
      </c>
      <c r="AA729" t="s">
        <v>78</v>
      </c>
      <c r="AB729" t="str" cm="1">
        <f t="array" ref="AB729">_xlfn.IFS(cleaned_data[[#This Row],[YearsAtCompany]]&lt;=5, "0-5",cleaned_data[[#This Row],[YearsAtCompany]]&lt;=10,"6-10",TRUE,"10+")</f>
        <v>0-5</v>
      </c>
    </row>
    <row r="730" spans="1:28" x14ac:dyDescent="0.3">
      <c r="A730" s="2">
        <v>54</v>
      </c>
      <c r="B730" t="s">
        <v>43</v>
      </c>
      <c r="C730">
        <v>0</v>
      </c>
      <c r="D730" t="s">
        <v>36</v>
      </c>
      <c r="E730" t="s">
        <v>45</v>
      </c>
      <c r="F730">
        <v>17</v>
      </c>
      <c r="G730" t="s">
        <v>60</v>
      </c>
      <c r="H730" t="s">
        <v>800</v>
      </c>
      <c r="I730">
        <v>3</v>
      </c>
      <c r="J730" t="s">
        <v>39</v>
      </c>
      <c r="K730">
        <v>3</v>
      </c>
      <c r="L730">
        <v>3</v>
      </c>
      <c r="M730" t="s">
        <v>53</v>
      </c>
      <c r="N730">
        <v>3</v>
      </c>
      <c r="O730" t="s">
        <v>48</v>
      </c>
      <c r="P730" s="1">
        <v>10739</v>
      </c>
      <c r="Q730" t="s">
        <v>67</v>
      </c>
      <c r="R730" t="s">
        <v>43</v>
      </c>
      <c r="S730">
        <v>3</v>
      </c>
      <c r="T730">
        <v>22</v>
      </c>
      <c r="U730">
        <v>3</v>
      </c>
      <c r="V730">
        <v>10</v>
      </c>
      <c r="W730">
        <v>7</v>
      </c>
      <c r="X730">
        <v>0</v>
      </c>
      <c r="Y730">
        <v>8</v>
      </c>
      <c r="Z730" t="s">
        <v>106</v>
      </c>
      <c r="AA730" t="s">
        <v>82</v>
      </c>
      <c r="AB730" t="str" cm="1">
        <f t="array" ref="AB730">_xlfn.IFS(cleaned_data[[#This Row],[YearsAtCompany]]&lt;=5, "0-5",cleaned_data[[#This Row],[YearsAtCompany]]&lt;=10,"6-10",TRUE,"10+")</f>
        <v>6-10</v>
      </c>
    </row>
    <row r="731" spans="1:28" x14ac:dyDescent="0.3">
      <c r="A731" s="2">
        <v>35</v>
      </c>
      <c r="B731" t="s">
        <v>43</v>
      </c>
      <c r="C731">
        <v>0</v>
      </c>
      <c r="D731" t="s">
        <v>36</v>
      </c>
      <c r="E731" t="s">
        <v>45</v>
      </c>
      <c r="F731">
        <v>25</v>
      </c>
      <c r="G731" t="s">
        <v>51</v>
      </c>
      <c r="H731" t="s">
        <v>801</v>
      </c>
      <c r="I731">
        <v>3</v>
      </c>
      <c r="J731" t="s">
        <v>39</v>
      </c>
      <c r="K731">
        <v>3</v>
      </c>
      <c r="L731">
        <v>3</v>
      </c>
      <c r="M731" t="s">
        <v>54</v>
      </c>
      <c r="N731">
        <v>3</v>
      </c>
      <c r="O731" t="s">
        <v>52</v>
      </c>
      <c r="P731" s="1">
        <v>10388</v>
      </c>
      <c r="Q731" t="s">
        <v>67</v>
      </c>
      <c r="R731" t="s">
        <v>35</v>
      </c>
      <c r="S731">
        <v>3</v>
      </c>
      <c r="T731">
        <v>16</v>
      </c>
      <c r="U731">
        <v>2</v>
      </c>
      <c r="V731">
        <v>16</v>
      </c>
      <c r="W731">
        <v>10</v>
      </c>
      <c r="X731">
        <v>10</v>
      </c>
      <c r="Y731">
        <v>1</v>
      </c>
      <c r="Z731" t="s">
        <v>1551</v>
      </c>
      <c r="AA731" t="s">
        <v>82</v>
      </c>
      <c r="AB731" t="str" cm="1">
        <f t="array" ref="AB731">_xlfn.IFS(cleaned_data[[#This Row],[YearsAtCompany]]&lt;=5, "0-5",cleaned_data[[#This Row],[YearsAtCompany]]&lt;=10,"6-10",TRUE,"10+")</f>
        <v>10+</v>
      </c>
    </row>
    <row r="732" spans="1:28" x14ac:dyDescent="0.3">
      <c r="A732" s="2">
        <v>30</v>
      </c>
      <c r="B732" t="s">
        <v>43</v>
      </c>
      <c r="C732">
        <v>0</v>
      </c>
      <c r="D732" t="s">
        <v>36</v>
      </c>
      <c r="E732" t="s">
        <v>45</v>
      </c>
      <c r="F732">
        <v>8</v>
      </c>
      <c r="G732" t="s">
        <v>38</v>
      </c>
      <c r="H732" t="s">
        <v>802</v>
      </c>
      <c r="I732">
        <v>2</v>
      </c>
      <c r="J732" t="s">
        <v>39</v>
      </c>
      <c r="K732">
        <v>4</v>
      </c>
      <c r="L732">
        <v>3</v>
      </c>
      <c r="M732" t="s">
        <v>58</v>
      </c>
      <c r="N732">
        <v>1</v>
      </c>
      <c r="O732" t="s">
        <v>48</v>
      </c>
      <c r="P732" s="6">
        <v>11416</v>
      </c>
      <c r="Q732" t="s">
        <v>67</v>
      </c>
      <c r="R732" t="s">
        <v>35</v>
      </c>
      <c r="S732">
        <v>3</v>
      </c>
      <c r="T732">
        <v>9</v>
      </c>
      <c r="U732">
        <v>2</v>
      </c>
      <c r="V732">
        <v>8</v>
      </c>
      <c r="W732">
        <v>7</v>
      </c>
      <c r="X732">
        <v>1</v>
      </c>
      <c r="Y732">
        <v>7</v>
      </c>
      <c r="Z732" t="s">
        <v>1551</v>
      </c>
      <c r="AA732" t="s">
        <v>69</v>
      </c>
      <c r="AB732" t="str" cm="1">
        <f t="array" ref="AB732">_xlfn.IFS(cleaned_data[[#This Row],[YearsAtCompany]]&lt;=5, "0-5",cleaned_data[[#This Row],[YearsAtCompany]]&lt;=10,"6-10",TRUE,"10+")</f>
        <v>6-10</v>
      </c>
    </row>
    <row r="733" spans="1:28" x14ac:dyDescent="0.3">
      <c r="A733" s="2">
        <v>20</v>
      </c>
      <c r="B733" t="s">
        <v>35</v>
      </c>
      <c r="C733">
        <v>1</v>
      </c>
      <c r="D733" t="s">
        <v>36</v>
      </c>
      <c r="E733" t="s">
        <v>45</v>
      </c>
      <c r="F733">
        <v>11</v>
      </c>
      <c r="G733" t="s">
        <v>51</v>
      </c>
      <c r="H733" t="s">
        <v>803</v>
      </c>
      <c r="I733">
        <v>4</v>
      </c>
      <c r="J733" t="s">
        <v>39</v>
      </c>
      <c r="K733">
        <v>2</v>
      </c>
      <c r="L733">
        <v>1</v>
      </c>
      <c r="M733" t="s">
        <v>47</v>
      </c>
      <c r="N733">
        <v>1</v>
      </c>
      <c r="O733" t="s">
        <v>41</v>
      </c>
      <c r="P733" s="6">
        <v>2600</v>
      </c>
      <c r="Q733" t="s">
        <v>72</v>
      </c>
      <c r="R733" t="s">
        <v>35</v>
      </c>
      <c r="S733">
        <v>3</v>
      </c>
      <c r="T733">
        <v>1</v>
      </c>
      <c r="U733">
        <v>3</v>
      </c>
      <c r="V733">
        <v>1</v>
      </c>
      <c r="W733">
        <v>0</v>
      </c>
      <c r="X733">
        <v>0</v>
      </c>
      <c r="Y733">
        <v>0</v>
      </c>
      <c r="Z733" t="s">
        <v>68</v>
      </c>
      <c r="AA733" t="s">
        <v>78</v>
      </c>
      <c r="AB733" t="str" cm="1">
        <f t="array" ref="AB733">_xlfn.IFS(cleaned_data[[#This Row],[YearsAtCompany]]&lt;=5, "0-5",cleaned_data[[#This Row],[YearsAtCompany]]&lt;=10,"6-10",TRUE,"10+")</f>
        <v>0-5</v>
      </c>
    </row>
    <row r="734" spans="1:28" x14ac:dyDescent="0.3">
      <c r="A734" s="2">
        <v>30</v>
      </c>
      <c r="B734" t="s">
        <v>35</v>
      </c>
      <c r="C734">
        <v>1</v>
      </c>
      <c r="D734" t="s">
        <v>44</v>
      </c>
      <c r="E734" t="s">
        <v>45</v>
      </c>
      <c r="F734">
        <v>5</v>
      </c>
      <c r="G734" t="s">
        <v>51</v>
      </c>
      <c r="H734" t="s">
        <v>804</v>
      </c>
      <c r="I734">
        <v>2</v>
      </c>
      <c r="J734" t="s">
        <v>39</v>
      </c>
      <c r="K734">
        <v>3</v>
      </c>
      <c r="L734">
        <v>1</v>
      </c>
      <c r="M734" t="s">
        <v>50</v>
      </c>
      <c r="N734">
        <v>2</v>
      </c>
      <c r="O734" t="s">
        <v>41</v>
      </c>
      <c r="P734" s="1">
        <v>2422</v>
      </c>
      <c r="Q734" t="s">
        <v>72</v>
      </c>
      <c r="R734" t="s">
        <v>43</v>
      </c>
      <c r="S734">
        <v>3</v>
      </c>
      <c r="T734">
        <v>4</v>
      </c>
      <c r="U734">
        <v>3</v>
      </c>
      <c r="V734">
        <v>3</v>
      </c>
      <c r="W734">
        <v>2</v>
      </c>
      <c r="X734">
        <v>1</v>
      </c>
      <c r="Y734">
        <v>2</v>
      </c>
      <c r="Z734" t="s">
        <v>1551</v>
      </c>
      <c r="AA734" t="s">
        <v>78</v>
      </c>
      <c r="AB734" t="str" cm="1">
        <f t="array" ref="AB734">_xlfn.IFS(cleaned_data[[#This Row],[YearsAtCompany]]&lt;=5, "0-5",cleaned_data[[#This Row],[YearsAtCompany]]&lt;=10,"6-10",TRUE,"10+")</f>
        <v>0-5</v>
      </c>
    </row>
    <row r="735" spans="1:28" x14ac:dyDescent="0.3">
      <c r="A735" s="2">
        <v>26</v>
      </c>
      <c r="B735" t="s">
        <v>43</v>
      </c>
      <c r="C735">
        <v>0</v>
      </c>
      <c r="D735" t="s">
        <v>36</v>
      </c>
      <c r="E735" t="s">
        <v>45</v>
      </c>
      <c r="F735">
        <v>2</v>
      </c>
      <c r="G735" t="s">
        <v>51</v>
      </c>
      <c r="H735" t="s">
        <v>805</v>
      </c>
      <c r="I735">
        <v>4</v>
      </c>
      <c r="J735" t="s">
        <v>46</v>
      </c>
      <c r="K735">
        <v>4</v>
      </c>
      <c r="L735">
        <v>2</v>
      </c>
      <c r="M735" t="s">
        <v>53</v>
      </c>
      <c r="N735">
        <v>4</v>
      </c>
      <c r="O735" t="s">
        <v>48</v>
      </c>
      <c r="P735" s="1">
        <v>5472</v>
      </c>
      <c r="Q735" t="s">
        <v>67</v>
      </c>
      <c r="R735" t="s">
        <v>43</v>
      </c>
      <c r="S735">
        <v>3</v>
      </c>
      <c r="T735">
        <v>8</v>
      </c>
      <c r="U735">
        <v>3</v>
      </c>
      <c r="V735">
        <v>8</v>
      </c>
      <c r="W735">
        <v>7</v>
      </c>
      <c r="X735">
        <v>1</v>
      </c>
      <c r="Y735">
        <v>3</v>
      </c>
      <c r="Z735" t="s">
        <v>1551</v>
      </c>
      <c r="AA735" t="s">
        <v>69</v>
      </c>
      <c r="AB735" t="str" cm="1">
        <f t="array" ref="AB735">_xlfn.IFS(cleaned_data[[#This Row],[YearsAtCompany]]&lt;=5, "0-5",cleaned_data[[#This Row],[YearsAtCompany]]&lt;=10,"6-10",TRUE,"10+")</f>
        <v>6-10</v>
      </c>
    </row>
    <row r="736" spans="1:28" x14ac:dyDescent="0.3">
      <c r="A736" s="2">
        <v>22</v>
      </c>
      <c r="B736" t="s">
        <v>43</v>
      </c>
      <c r="C736">
        <v>0</v>
      </c>
      <c r="D736" t="s">
        <v>36</v>
      </c>
      <c r="E736" t="s">
        <v>45</v>
      </c>
      <c r="F736">
        <v>8</v>
      </c>
      <c r="G736" t="s">
        <v>38</v>
      </c>
      <c r="H736" t="s">
        <v>806</v>
      </c>
      <c r="I736">
        <v>2</v>
      </c>
      <c r="J736" t="s">
        <v>46</v>
      </c>
      <c r="K736">
        <v>1</v>
      </c>
      <c r="L736">
        <v>1</v>
      </c>
      <c r="M736" t="s">
        <v>50</v>
      </c>
      <c r="N736">
        <v>1</v>
      </c>
      <c r="O736" t="s">
        <v>48</v>
      </c>
      <c r="P736" s="6">
        <v>2451</v>
      </c>
      <c r="Q736" t="s">
        <v>72</v>
      </c>
      <c r="R736" t="s">
        <v>43</v>
      </c>
      <c r="S736">
        <v>3</v>
      </c>
      <c r="T736">
        <v>4</v>
      </c>
      <c r="U736">
        <v>2</v>
      </c>
      <c r="V736">
        <v>4</v>
      </c>
      <c r="W736">
        <v>3</v>
      </c>
      <c r="X736">
        <v>1</v>
      </c>
      <c r="Y736">
        <v>1</v>
      </c>
      <c r="Z736" t="s">
        <v>68</v>
      </c>
      <c r="AA736" t="s">
        <v>78</v>
      </c>
      <c r="AB736" t="str" cm="1">
        <f t="array" ref="AB736">_xlfn.IFS(cleaned_data[[#This Row],[YearsAtCompany]]&lt;=5, "0-5",cleaned_data[[#This Row],[YearsAtCompany]]&lt;=10,"6-10",TRUE,"10+")</f>
        <v>0-5</v>
      </c>
    </row>
    <row r="737" spans="1:28" x14ac:dyDescent="0.3">
      <c r="A737" s="2">
        <v>48</v>
      </c>
      <c r="B737" t="s">
        <v>43</v>
      </c>
      <c r="C737">
        <v>0</v>
      </c>
      <c r="D737" t="s">
        <v>36</v>
      </c>
      <c r="E737" t="s">
        <v>45</v>
      </c>
      <c r="F737">
        <v>6</v>
      </c>
      <c r="G737" t="s">
        <v>38</v>
      </c>
      <c r="H737" t="s">
        <v>807</v>
      </c>
      <c r="I737">
        <v>1</v>
      </c>
      <c r="J737" t="s">
        <v>46</v>
      </c>
      <c r="K737">
        <v>2</v>
      </c>
      <c r="L737">
        <v>2</v>
      </c>
      <c r="M737" t="s">
        <v>54</v>
      </c>
      <c r="N737">
        <v>3</v>
      </c>
      <c r="O737" t="s">
        <v>41</v>
      </c>
      <c r="P737" s="1">
        <v>4240</v>
      </c>
      <c r="Q737" t="s">
        <v>72</v>
      </c>
      <c r="R737" t="s">
        <v>43</v>
      </c>
      <c r="S737">
        <v>3</v>
      </c>
      <c r="T737">
        <v>19</v>
      </c>
      <c r="U737">
        <v>3</v>
      </c>
      <c r="V737">
        <v>2</v>
      </c>
      <c r="W737">
        <v>2</v>
      </c>
      <c r="X737">
        <v>2</v>
      </c>
      <c r="Y737">
        <v>2</v>
      </c>
      <c r="Z737" t="s">
        <v>106</v>
      </c>
      <c r="AA737" t="s">
        <v>82</v>
      </c>
      <c r="AB737" t="str" cm="1">
        <f t="array" ref="AB737">_xlfn.IFS(cleaned_data[[#This Row],[YearsAtCompany]]&lt;=5, "0-5",cleaned_data[[#This Row],[YearsAtCompany]]&lt;=10,"6-10",TRUE,"10+")</f>
        <v>0-5</v>
      </c>
    </row>
    <row r="738" spans="1:28" x14ac:dyDescent="0.3">
      <c r="A738" s="2">
        <v>48</v>
      </c>
      <c r="B738" t="s">
        <v>43</v>
      </c>
      <c r="C738">
        <v>0</v>
      </c>
      <c r="D738" t="s">
        <v>36</v>
      </c>
      <c r="E738" t="s">
        <v>45</v>
      </c>
      <c r="F738">
        <v>4</v>
      </c>
      <c r="G738" t="s">
        <v>38</v>
      </c>
      <c r="H738" t="s">
        <v>808</v>
      </c>
      <c r="I738">
        <v>3</v>
      </c>
      <c r="J738" t="s">
        <v>46</v>
      </c>
      <c r="K738">
        <v>2</v>
      </c>
      <c r="L738">
        <v>3</v>
      </c>
      <c r="M738" t="s">
        <v>54</v>
      </c>
      <c r="N738">
        <v>3</v>
      </c>
      <c r="O738" t="s">
        <v>41</v>
      </c>
      <c r="P738" s="1">
        <v>10999</v>
      </c>
      <c r="Q738" t="s">
        <v>67</v>
      </c>
      <c r="R738" t="s">
        <v>43</v>
      </c>
      <c r="S738">
        <v>3</v>
      </c>
      <c r="T738">
        <v>27</v>
      </c>
      <c r="U738">
        <v>3</v>
      </c>
      <c r="V738">
        <v>15</v>
      </c>
      <c r="W738">
        <v>11</v>
      </c>
      <c r="X738">
        <v>4</v>
      </c>
      <c r="Y738">
        <v>8</v>
      </c>
      <c r="Z738" t="s">
        <v>106</v>
      </c>
      <c r="AA738" t="s">
        <v>82</v>
      </c>
      <c r="AB738" t="str" cm="1">
        <f t="array" ref="AB738">_xlfn.IFS(cleaned_data[[#This Row],[YearsAtCompany]]&lt;=5, "0-5",cleaned_data[[#This Row],[YearsAtCompany]]&lt;=10,"6-10",TRUE,"10+")</f>
        <v>10+</v>
      </c>
    </row>
    <row r="739" spans="1:28" x14ac:dyDescent="0.3">
      <c r="A739" s="2">
        <v>41</v>
      </c>
      <c r="B739" t="s">
        <v>43</v>
      </c>
      <c r="C739">
        <v>0</v>
      </c>
      <c r="D739" t="s">
        <v>36</v>
      </c>
      <c r="E739" t="s">
        <v>45</v>
      </c>
      <c r="F739">
        <v>7</v>
      </c>
      <c r="G739" t="s">
        <v>51</v>
      </c>
      <c r="H739" t="s">
        <v>809</v>
      </c>
      <c r="I739">
        <v>4</v>
      </c>
      <c r="J739" t="s">
        <v>39</v>
      </c>
      <c r="K739">
        <v>3</v>
      </c>
      <c r="L739">
        <v>2</v>
      </c>
      <c r="M739" t="s">
        <v>53</v>
      </c>
      <c r="N739">
        <v>3</v>
      </c>
      <c r="O739" t="s">
        <v>41</v>
      </c>
      <c r="P739" s="1">
        <v>5003</v>
      </c>
      <c r="Q739" t="s">
        <v>67</v>
      </c>
      <c r="R739" t="s">
        <v>43</v>
      </c>
      <c r="S739">
        <v>3</v>
      </c>
      <c r="T739">
        <v>8</v>
      </c>
      <c r="U739">
        <v>3</v>
      </c>
      <c r="V739">
        <v>2</v>
      </c>
      <c r="W739">
        <v>2</v>
      </c>
      <c r="X739">
        <v>2</v>
      </c>
      <c r="Y739">
        <v>1</v>
      </c>
      <c r="Z739" t="s">
        <v>1550</v>
      </c>
      <c r="AA739" t="s">
        <v>69</v>
      </c>
      <c r="AB739" t="str" cm="1">
        <f t="array" ref="AB739">_xlfn.IFS(cleaned_data[[#This Row],[YearsAtCompany]]&lt;=5, "0-5",cleaned_data[[#This Row],[YearsAtCompany]]&lt;=10,"6-10",TRUE,"10+")</f>
        <v>0-5</v>
      </c>
    </row>
    <row r="740" spans="1:28" x14ac:dyDescent="0.3">
      <c r="A740" s="2">
        <v>39</v>
      </c>
      <c r="B740" t="s">
        <v>43</v>
      </c>
      <c r="C740">
        <v>0</v>
      </c>
      <c r="D740" t="s">
        <v>36</v>
      </c>
      <c r="E740" t="s">
        <v>45</v>
      </c>
      <c r="F740">
        <v>1</v>
      </c>
      <c r="G740" t="s">
        <v>38</v>
      </c>
      <c r="H740" t="s">
        <v>810</v>
      </c>
      <c r="I740">
        <v>4</v>
      </c>
      <c r="J740" t="s">
        <v>39</v>
      </c>
      <c r="K740">
        <v>2</v>
      </c>
      <c r="L740">
        <v>4</v>
      </c>
      <c r="M740" t="s">
        <v>53</v>
      </c>
      <c r="N740">
        <v>4</v>
      </c>
      <c r="O740" t="s">
        <v>48</v>
      </c>
      <c r="P740" s="1">
        <v>12742</v>
      </c>
      <c r="Q740" t="s">
        <v>90</v>
      </c>
      <c r="R740" t="s">
        <v>43</v>
      </c>
      <c r="S740">
        <v>3</v>
      </c>
      <c r="T740">
        <v>21</v>
      </c>
      <c r="U740">
        <v>3</v>
      </c>
      <c r="V740">
        <v>21</v>
      </c>
      <c r="W740">
        <v>6</v>
      </c>
      <c r="X740">
        <v>11</v>
      </c>
      <c r="Y740">
        <v>8</v>
      </c>
      <c r="Z740" t="s">
        <v>1550</v>
      </c>
      <c r="AA740" t="s">
        <v>82</v>
      </c>
      <c r="AB740" t="str" cm="1">
        <f t="array" ref="AB740">_xlfn.IFS(cleaned_data[[#This Row],[YearsAtCompany]]&lt;=5, "0-5",cleaned_data[[#This Row],[YearsAtCompany]]&lt;=10,"6-10",TRUE,"10+")</f>
        <v>10+</v>
      </c>
    </row>
    <row r="741" spans="1:28" x14ac:dyDescent="0.3">
      <c r="A741" s="2">
        <v>27</v>
      </c>
      <c r="B741" t="s">
        <v>43</v>
      </c>
      <c r="C741">
        <v>0</v>
      </c>
      <c r="D741" t="s">
        <v>36</v>
      </c>
      <c r="E741" t="s">
        <v>45</v>
      </c>
      <c r="F741">
        <v>2</v>
      </c>
      <c r="G741" t="s">
        <v>38</v>
      </c>
      <c r="H741" t="s">
        <v>811</v>
      </c>
      <c r="I741">
        <v>1</v>
      </c>
      <c r="J741" t="s">
        <v>39</v>
      </c>
      <c r="K741">
        <v>3</v>
      </c>
      <c r="L741">
        <v>2</v>
      </c>
      <c r="M741" t="s">
        <v>53</v>
      </c>
      <c r="N741">
        <v>4</v>
      </c>
      <c r="O741" t="s">
        <v>48</v>
      </c>
      <c r="P741" s="1">
        <v>4227</v>
      </c>
      <c r="Q741" t="s">
        <v>72</v>
      </c>
      <c r="R741" t="s">
        <v>43</v>
      </c>
      <c r="S741">
        <v>3</v>
      </c>
      <c r="T741">
        <v>4</v>
      </c>
      <c r="U741">
        <v>3</v>
      </c>
      <c r="V741">
        <v>3</v>
      </c>
      <c r="W741">
        <v>2</v>
      </c>
      <c r="X741">
        <v>2</v>
      </c>
      <c r="Y741">
        <v>2</v>
      </c>
      <c r="Z741" t="s">
        <v>1551</v>
      </c>
      <c r="AA741" t="s">
        <v>78</v>
      </c>
      <c r="AB741" t="str" cm="1">
        <f t="array" ref="AB741">_xlfn.IFS(cleaned_data[[#This Row],[YearsAtCompany]]&lt;=5, "0-5",cleaned_data[[#This Row],[YearsAtCompany]]&lt;=10,"6-10",TRUE,"10+")</f>
        <v>0-5</v>
      </c>
    </row>
    <row r="742" spans="1:28" x14ac:dyDescent="0.3">
      <c r="A742" s="2">
        <v>35</v>
      </c>
      <c r="B742" t="s">
        <v>43</v>
      </c>
      <c r="C742">
        <v>0</v>
      </c>
      <c r="D742" t="s">
        <v>36</v>
      </c>
      <c r="E742" t="s">
        <v>45</v>
      </c>
      <c r="F742">
        <v>10</v>
      </c>
      <c r="G742" t="s">
        <v>49</v>
      </c>
      <c r="H742" t="s">
        <v>812</v>
      </c>
      <c r="I742">
        <v>2</v>
      </c>
      <c r="J742" t="s">
        <v>46</v>
      </c>
      <c r="K742">
        <v>3</v>
      </c>
      <c r="L742">
        <v>1</v>
      </c>
      <c r="M742" t="s">
        <v>50</v>
      </c>
      <c r="N742">
        <v>4</v>
      </c>
      <c r="O742" t="s">
        <v>52</v>
      </c>
      <c r="P742" s="1">
        <v>3917</v>
      </c>
      <c r="Q742" t="s">
        <v>72</v>
      </c>
      <c r="R742" t="s">
        <v>43</v>
      </c>
      <c r="S742">
        <v>4</v>
      </c>
      <c r="T742">
        <v>3</v>
      </c>
      <c r="U742">
        <v>2</v>
      </c>
      <c r="V742">
        <v>3</v>
      </c>
      <c r="W742">
        <v>2</v>
      </c>
      <c r="X742">
        <v>1</v>
      </c>
      <c r="Y742">
        <v>2</v>
      </c>
      <c r="Z742" t="s">
        <v>1551</v>
      </c>
      <c r="AA742" t="s">
        <v>78</v>
      </c>
      <c r="AB742" t="str" cm="1">
        <f t="array" ref="AB742">_xlfn.IFS(cleaned_data[[#This Row],[YearsAtCompany]]&lt;=5, "0-5",cleaned_data[[#This Row],[YearsAtCompany]]&lt;=10,"6-10",TRUE,"10+")</f>
        <v>0-5</v>
      </c>
    </row>
    <row r="743" spans="1:28" x14ac:dyDescent="0.3">
      <c r="A743" s="2">
        <v>42</v>
      </c>
      <c r="B743" t="s">
        <v>43</v>
      </c>
      <c r="C743">
        <v>0</v>
      </c>
      <c r="D743" t="s">
        <v>36</v>
      </c>
      <c r="E743" t="s">
        <v>37</v>
      </c>
      <c r="F743">
        <v>5</v>
      </c>
      <c r="G743" t="s">
        <v>59</v>
      </c>
      <c r="H743" t="s">
        <v>813</v>
      </c>
      <c r="I743">
        <v>4</v>
      </c>
      <c r="J743" t="s">
        <v>46</v>
      </c>
      <c r="K743">
        <v>3</v>
      </c>
      <c r="L743">
        <v>5</v>
      </c>
      <c r="M743" t="s">
        <v>56</v>
      </c>
      <c r="N743">
        <v>3</v>
      </c>
      <c r="O743" t="s">
        <v>48</v>
      </c>
      <c r="P743" s="1">
        <v>18303</v>
      </c>
      <c r="Q743" t="s">
        <v>90</v>
      </c>
      <c r="R743" t="s">
        <v>43</v>
      </c>
      <c r="S743">
        <v>3</v>
      </c>
      <c r="T743">
        <v>21</v>
      </c>
      <c r="U743">
        <v>4</v>
      </c>
      <c r="V743">
        <v>1</v>
      </c>
      <c r="W743">
        <v>0</v>
      </c>
      <c r="X743">
        <v>0</v>
      </c>
      <c r="Y743">
        <v>0</v>
      </c>
      <c r="Z743" t="s">
        <v>1550</v>
      </c>
      <c r="AA743" t="s">
        <v>82</v>
      </c>
      <c r="AB743" t="str" cm="1">
        <f t="array" ref="AB743">_xlfn.IFS(cleaned_data[[#This Row],[YearsAtCompany]]&lt;=5, "0-5",cleaned_data[[#This Row],[YearsAtCompany]]&lt;=10,"6-10",TRUE,"10+")</f>
        <v>0-5</v>
      </c>
    </row>
    <row r="744" spans="1:28" x14ac:dyDescent="0.3">
      <c r="A744" s="2">
        <v>50</v>
      </c>
      <c r="B744" t="s">
        <v>43</v>
      </c>
      <c r="C744">
        <v>0</v>
      </c>
      <c r="D744" t="s">
        <v>36</v>
      </c>
      <c r="E744" t="s">
        <v>45</v>
      </c>
      <c r="F744">
        <v>9</v>
      </c>
      <c r="G744" t="s">
        <v>38</v>
      </c>
      <c r="H744" t="s">
        <v>814</v>
      </c>
      <c r="I744">
        <v>1</v>
      </c>
      <c r="J744" t="s">
        <v>46</v>
      </c>
      <c r="K744">
        <v>3</v>
      </c>
      <c r="L744">
        <v>1</v>
      </c>
      <c r="M744" t="s">
        <v>50</v>
      </c>
      <c r="N744">
        <v>4</v>
      </c>
      <c r="O744" t="s">
        <v>48</v>
      </c>
      <c r="P744" s="1">
        <v>2380</v>
      </c>
      <c r="Q744" t="s">
        <v>72</v>
      </c>
      <c r="R744" t="s">
        <v>43</v>
      </c>
      <c r="S744">
        <v>3</v>
      </c>
      <c r="T744">
        <v>8</v>
      </c>
      <c r="U744">
        <v>3</v>
      </c>
      <c r="V744">
        <v>1</v>
      </c>
      <c r="W744">
        <v>0</v>
      </c>
      <c r="X744">
        <v>0</v>
      </c>
      <c r="Y744">
        <v>0</v>
      </c>
      <c r="Z744" t="s">
        <v>106</v>
      </c>
      <c r="AA744" t="s">
        <v>69</v>
      </c>
      <c r="AB744" t="str" cm="1">
        <f t="array" ref="AB744">_xlfn.IFS(cleaned_data[[#This Row],[YearsAtCompany]]&lt;=5, "0-5",cleaned_data[[#This Row],[YearsAtCompany]]&lt;=10,"6-10",TRUE,"10+")</f>
        <v>0-5</v>
      </c>
    </row>
    <row r="745" spans="1:28" x14ac:dyDescent="0.3">
      <c r="A745" s="2">
        <v>59</v>
      </c>
      <c r="B745" t="s">
        <v>43</v>
      </c>
      <c r="C745">
        <v>0</v>
      </c>
      <c r="D745" t="s">
        <v>36</v>
      </c>
      <c r="E745" t="s">
        <v>45</v>
      </c>
      <c r="F745">
        <v>2</v>
      </c>
      <c r="G745" t="s">
        <v>38</v>
      </c>
      <c r="H745" t="s">
        <v>815</v>
      </c>
      <c r="I745">
        <v>3</v>
      </c>
      <c r="J745" t="s">
        <v>39</v>
      </c>
      <c r="K745">
        <v>2</v>
      </c>
      <c r="L745">
        <v>4</v>
      </c>
      <c r="M745" t="s">
        <v>53</v>
      </c>
      <c r="N745">
        <v>4</v>
      </c>
      <c r="O745" t="s">
        <v>41</v>
      </c>
      <c r="P745" s="1">
        <v>13726</v>
      </c>
      <c r="Q745" t="s">
        <v>90</v>
      </c>
      <c r="R745" t="s">
        <v>35</v>
      </c>
      <c r="S745">
        <v>3</v>
      </c>
      <c r="T745">
        <v>30</v>
      </c>
      <c r="U745">
        <v>3</v>
      </c>
      <c r="V745">
        <v>5</v>
      </c>
      <c r="W745">
        <v>3</v>
      </c>
      <c r="X745">
        <v>4</v>
      </c>
      <c r="Y745">
        <v>3</v>
      </c>
      <c r="Z745" t="s">
        <v>106</v>
      </c>
      <c r="AA745" t="s">
        <v>82</v>
      </c>
      <c r="AB745" t="str" cm="1">
        <f t="array" ref="AB745">_xlfn.IFS(cleaned_data[[#This Row],[YearsAtCompany]]&lt;=5, "0-5",cleaned_data[[#This Row],[YearsAtCompany]]&lt;=10,"6-10",TRUE,"10+")</f>
        <v>0-5</v>
      </c>
    </row>
    <row r="746" spans="1:28" x14ac:dyDescent="0.3">
      <c r="A746" s="2">
        <v>37</v>
      </c>
      <c r="B746" t="s">
        <v>35</v>
      </c>
      <c r="C746">
        <v>1</v>
      </c>
      <c r="D746" t="s">
        <v>36</v>
      </c>
      <c r="E746" t="s">
        <v>45</v>
      </c>
      <c r="F746">
        <v>11</v>
      </c>
      <c r="G746" t="s">
        <v>51</v>
      </c>
      <c r="H746" t="s">
        <v>816</v>
      </c>
      <c r="I746">
        <v>1</v>
      </c>
      <c r="J746" t="s">
        <v>39</v>
      </c>
      <c r="K746">
        <v>1</v>
      </c>
      <c r="L746">
        <v>2</v>
      </c>
      <c r="M746" t="s">
        <v>54</v>
      </c>
      <c r="N746">
        <v>2</v>
      </c>
      <c r="O746" t="s">
        <v>48</v>
      </c>
      <c r="P746" s="1">
        <v>4777</v>
      </c>
      <c r="Q746" t="s">
        <v>72</v>
      </c>
      <c r="R746" t="s">
        <v>43</v>
      </c>
      <c r="S746">
        <v>3</v>
      </c>
      <c r="T746">
        <v>15</v>
      </c>
      <c r="U746">
        <v>1</v>
      </c>
      <c r="V746">
        <v>1</v>
      </c>
      <c r="W746">
        <v>0</v>
      </c>
      <c r="X746">
        <v>0</v>
      </c>
      <c r="Y746">
        <v>0</v>
      </c>
      <c r="Z746" t="s">
        <v>1550</v>
      </c>
      <c r="AA746" t="s">
        <v>69</v>
      </c>
      <c r="AB746" t="str" cm="1">
        <f t="array" ref="AB746">_xlfn.IFS(cleaned_data[[#This Row],[YearsAtCompany]]&lt;=5, "0-5",cleaned_data[[#This Row],[YearsAtCompany]]&lt;=10,"6-10",TRUE,"10+")</f>
        <v>0-5</v>
      </c>
    </row>
    <row r="747" spans="1:28" x14ac:dyDescent="0.3">
      <c r="A747" s="2">
        <v>55</v>
      </c>
      <c r="B747" t="s">
        <v>43</v>
      </c>
      <c r="C747">
        <v>0</v>
      </c>
      <c r="D747" t="s">
        <v>44</v>
      </c>
      <c r="E747" t="s">
        <v>45</v>
      </c>
      <c r="F747">
        <v>18</v>
      </c>
      <c r="G747" t="s">
        <v>51</v>
      </c>
      <c r="H747" t="s">
        <v>817</v>
      </c>
      <c r="I747">
        <v>3</v>
      </c>
      <c r="J747" t="s">
        <v>46</v>
      </c>
      <c r="K747">
        <v>3</v>
      </c>
      <c r="L747">
        <v>2</v>
      </c>
      <c r="M747" t="s">
        <v>54</v>
      </c>
      <c r="N747">
        <v>2</v>
      </c>
      <c r="O747" t="s">
        <v>48</v>
      </c>
      <c r="P747" s="1">
        <v>6385</v>
      </c>
      <c r="Q747" t="s">
        <v>67</v>
      </c>
      <c r="R747" t="s">
        <v>35</v>
      </c>
      <c r="S747">
        <v>3</v>
      </c>
      <c r="T747">
        <v>17</v>
      </c>
      <c r="U747">
        <v>3</v>
      </c>
      <c r="V747">
        <v>8</v>
      </c>
      <c r="W747">
        <v>7</v>
      </c>
      <c r="X747">
        <v>6</v>
      </c>
      <c r="Y747">
        <v>7</v>
      </c>
      <c r="Z747" t="s">
        <v>106</v>
      </c>
      <c r="AA747" t="s">
        <v>82</v>
      </c>
      <c r="AB747" t="str" cm="1">
        <f t="array" ref="AB747">_xlfn.IFS(cleaned_data[[#This Row],[YearsAtCompany]]&lt;=5, "0-5",cleaned_data[[#This Row],[YearsAtCompany]]&lt;=10,"6-10",TRUE,"10+")</f>
        <v>6-10</v>
      </c>
    </row>
    <row r="748" spans="1:28" x14ac:dyDescent="0.3">
      <c r="A748" s="2">
        <v>41</v>
      </c>
      <c r="B748" t="s">
        <v>43</v>
      </c>
      <c r="C748">
        <v>0</v>
      </c>
      <c r="D748" t="s">
        <v>55</v>
      </c>
      <c r="E748" t="s">
        <v>45</v>
      </c>
      <c r="F748">
        <v>7</v>
      </c>
      <c r="G748" t="s">
        <v>38</v>
      </c>
      <c r="H748" t="s">
        <v>818</v>
      </c>
      <c r="I748">
        <v>2</v>
      </c>
      <c r="J748" t="s">
        <v>39</v>
      </c>
      <c r="K748">
        <v>1</v>
      </c>
      <c r="L748">
        <v>5</v>
      </c>
      <c r="M748" t="s">
        <v>58</v>
      </c>
      <c r="N748">
        <v>3</v>
      </c>
      <c r="O748" t="s">
        <v>52</v>
      </c>
      <c r="P748" s="1">
        <v>19973</v>
      </c>
      <c r="Q748" t="s">
        <v>90</v>
      </c>
      <c r="R748" t="s">
        <v>43</v>
      </c>
      <c r="S748">
        <v>4</v>
      </c>
      <c r="T748">
        <v>21</v>
      </c>
      <c r="U748">
        <v>3</v>
      </c>
      <c r="V748">
        <v>21</v>
      </c>
      <c r="W748">
        <v>16</v>
      </c>
      <c r="X748">
        <v>5</v>
      </c>
      <c r="Y748">
        <v>10</v>
      </c>
      <c r="Z748" t="s">
        <v>1550</v>
      </c>
      <c r="AA748" t="s">
        <v>82</v>
      </c>
      <c r="AB748" t="str" cm="1">
        <f t="array" ref="AB748">_xlfn.IFS(cleaned_data[[#This Row],[YearsAtCompany]]&lt;=5, "0-5",cleaned_data[[#This Row],[YearsAtCompany]]&lt;=10,"6-10",TRUE,"10+")</f>
        <v>10+</v>
      </c>
    </row>
    <row r="749" spans="1:28" x14ac:dyDescent="0.3">
      <c r="A749" s="2">
        <v>38</v>
      </c>
      <c r="B749" t="s">
        <v>43</v>
      </c>
      <c r="C749">
        <v>0</v>
      </c>
      <c r="D749" t="s">
        <v>36</v>
      </c>
      <c r="E749" t="s">
        <v>37</v>
      </c>
      <c r="F749">
        <v>3</v>
      </c>
      <c r="G749" t="s">
        <v>38</v>
      </c>
      <c r="H749" t="s">
        <v>819</v>
      </c>
      <c r="I749">
        <v>2</v>
      </c>
      <c r="J749" t="s">
        <v>46</v>
      </c>
      <c r="K749">
        <v>3</v>
      </c>
      <c r="L749">
        <v>2</v>
      </c>
      <c r="M749" t="s">
        <v>40</v>
      </c>
      <c r="N749">
        <v>4</v>
      </c>
      <c r="O749" t="s">
        <v>41</v>
      </c>
      <c r="P749" s="1">
        <v>6861</v>
      </c>
      <c r="Q749" t="s">
        <v>67</v>
      </c>
      <c r="R749" t="s">
        <v>35</v>
      </c>
      <c r="S749">
        <v>3</v>
      </c>
      <c r="T749">
        <v>19</v>
      </c>
      <c r="U749">
        <v>3</v>
      </c>
      <c r="V749">
        <v>1</v>
      </c>
      <c r="W749">
        <v>0</v>
      </c>
      <c r="X749">
        <v>0</v>
      </c>
      <c r="Y749">
        <v>0</v>
      </c>
      <c r="Z749" t="s">
        <v>1550</v>
      </c>
      <c r="AA749" t="s">
        <v>82</v>
      </c>
      <c r="AB749" t="str" cm="1">
        <f t="array" ref="AB749">_xlfn.IFS(cleaned_data[[#This Row],[YearsAtCompany]]&lt;=5, "0-5",cleaned_data[[#This Row],[YearsAtCompany]]&lt;=10,"6-10",TRUE,"10+")</f>
        <v>0-5</v>
      </c>
    </row>
    <row r="750" spans="1:28" x14ac:dyDescent="0.3">
      <c r="A750" s="2">
        <v>26</v>
      </c>
      <c r="B750" t="s">
        <v>35</v>
      </c>
      <c r="C750">
        <v>1</v>
      </c>
      <c r="D750" t="s">
        <v>55</v>
      </c>
      <c r="E750" t="s">
        <v>37</v>
      </c>
      <c r="F750">
        <v>29</v>
      </c>
      <c r="G750" t="s">
        <v>51</v>
      </c>
      <c r="H750" t="s">
        <v>820</v>
      </c>
      <c r="I750">
        <v>2</v>
      </c>
      <c r="J750" t="s">
        <v>46</v>
      </c>
      <c r="K750">
        <v>1</v>
      </c>
      <c r="L750">
        <v>2</v>
      </c>
      <c r="M750" t="s">
        <v>40</v>
      </c>
      <c r="N750">
        <v>1</v>
      </c>
      <c r="O750" t="s">
        <v>41</v>
      </c>
      <c r="P750" s="6">
        <v>4969</v>
      </c>
      <c r="Q750" t="s">
        <v>72</v>
      </c>
      <c r="R750" t="s">
        <v>43</v>
      </c>
      <c r="S750">
        <v>3</v>
      </c>
      <c r="T750">
        <v>7</v>
      </c>
      <c r="U750">
        <v>3</v>
      </c>
      <c r="V750">
        <v>2</v>
      </c>
      <c r="W750">
        <v>2</v>
      </c>
      <c r="X750">
        <v>2</v>
      </c>
      <c r="Y750">
        <v>2</v>
      </c>
      <c r="Z750" t="s">
        <v>1551</v>
      </c>
      <c r="AA750" t="s">
        <v>69</v>
      </c>
      <c r="AB750" t="str" cm="1">
        <f t="array" ref="AB750">_xlfn.IFS(cleaned_data[[#This Row],[YearsAtCompany]]&lt;=5, "0-5",cleaned_data[[#This Row],[YearsAtCompany]]&lt;=10,"6-10",TRUE,"10+")</f>
        <v>0-5</v>
      </c>
    </row>
    <row r="751" spans="1:28" x14ac:dyDescent="0.3">
      <c r="A751" s="2">
        <v>52</v>
      </c>
      <c r="B751" t="s">
        <v>35</v>
      </c>
      <c r="C751">
        <v>1</v>
      </c>
      <c r="D751" t="s">
        <v>36</v>
      </c>
      <c r="E751" t="s">
        <v>37</v>
      </c>
      <c r="F751">
        <v>2</v>
      </c>
      <c r="G751" t="s">
        <v>59</v>
      </c>
      <c r="H751" t="s">
        <v>821</v>
      </c>
      <c r="I751">
        <v>1</v>
      </c>
      <c r="J751" t="s">
        <v>39</v>
      </c>
      <c r="K751">
        <v>1</v>
      </c>
      <c r="L751">
        <v>5</v>
      </c>
      <c r="M751" t="s">
        <v>56</v>
      </c>
      <c r="N751">
        <v>4</v>
      </c>
      <c r="O751" t="s">
        <v>48</v>
      </c>
      <c r="P751" s="1">
        <v>19845</v>
      </c>
      <c r="Q751" t="s">
        <v>90</v>
      </c>
      <c r="R751" t="s">
        <v>43</v>
      </c>
      <c r="S751">
        <v>3</v>
      </c>
      <c r="T751">
        <v>33</v>
      </c>
      <c r="U751">
        <v>3</v>
      </c>
      <c r="V751">
        <v>32</v>
      </c>
      <c r="W751">
        <v>14</v>
      </c>
      <c r="X751">
        <v>6</v>
      </c>
      <c r="Y751">
        <v>9</v>
      </c>
      <c r="Z751" t="s">
        <v>106</v>
      </c>
      <c r="AA751" t="s">
        <v>82</v>
      </c>
      <c r="AB751" t="str" cm="1">
        <f t="array" ref="AB751">_xlfn.IFS(cleaned_data[[#This Row],[YearsAtCompany]]&lt;=5, "0-5",cleaned_data[[#This Row],[YearsAtCompany]]&lt;=10,"6-10",TRUE,"10+")</f>
        <v>10+</v>
      </c>
    </row>
    <row r="752" spans="1:28" x14ac:dyDescent="0.3">
      <c r="A752" s="2">
        <v>44</v>
      </c>
      <c r="B752" t="s">
        <v>43</v>
      </c>
      <c r="C752">
        <v>0</v>
      </c>
      <c r="D752" t="s">
        <v>36</v>
      </c>
      <c r="E752" t="s">
        <v>37</v>
      </c>
      <c r="F752">
        <v>28</v>
      </c>
      <c r="G752" t="s">
        <v>51</v>
      </c>
      <c r="H752" t="s">
        <v>822</v>
      </c>
      <c r="I752">
        <v>4</v>
      </c>
      <c r="J752" t="s">
        <v>39</v>
      </c>
      <c r="K752">
        <v>4</v>
      </c>
      <c r="L752">
        <v>4</v>
      </c>
      <c r="M752" t="s">
        <v>40</v>
      </c>
      <c r="N752">
        <v>4</v>
      </c>
      <c r="O752" t="s">
        <v>48</v>
      </c>
      <c r="P752" s="1">
        <v>13320</v>
      </c>
      <c r="Q752" t="s">
        <v>90</v>
      </c>
      <c r="R752" t="s">
        <v>35</v>
      </c>
      <c r="S752">
        <v>3</v>
      </c>
      <c r="T752">
        <v>23</v>
      </c>
      <c r="U752">
        <v>3</v>
      </c>
      <c r="V752">
        <v>12</v>
      </c>
      <c r="W752">
        <v>11</v>
      </c>
      <c r="X752">
        <v>11</v>
      </c>
      <c r="Y752">
        <v>11</v>
      </c>
      <c r="Z752" t="s">
        <v>1550</v>
      </c>
      <c r="AA752" t="s">
        <v>82</v>
      </c>
      <c r="AB752" t="str" cm="1">
        <f t="array" ref="AB752">_xlfn.IFS(cleaned_data[[#This Row],[YearsAtCompany]]&lt;=5, "0-5",cleaned_data[[#This Row],[YearsAtCompany]]&lt;=10,"6-10",TRUE,"10+")</f>
        <v>10+</v>
      </c>
    </row>
    <row r="753" spans="1:28" x14ac:dyDescent="0.3">
      <c r="A753" s="2">
        <v>50</v>
      </c>
      <c r="B753" t="s">
        <v>43</v>
      </c>
      <c r="C753">
        <v>0</v>
      </c>
      <c r="D753" t="s">
        <v>55</v>
      </c>
      <c r="E753" t="s">
        <v>37</v>
      </c>
      <c r="F753">
        <v>1</v>
      </c>
      <c r="G753" t="s">
        <v>38</v>
      </c>
      <c r="H753" t="s">
        <v>823</v>
      </c>
      <c r="I753">
        <v>4</v>
      </c>
      <c r="J753" t="s">
        <v>39</v>
      </c>
      <c r="K753">
        <v>3</v>
      </c>
      <c r="L753">
        <v>2</v>
      </c>
      <c r="M753" t="s">
        <v>40</v>
      </c>
      <c r="N753">
        <v>3</v>
      </c>
      <c r="O753" t="s">
        <v>48</v>
      </c>
      <c r="P753" s="1">
        <v>6347</v>
      </c>
      <c r="Q753" t="s">
        <v>67</v>
      </c>
      <c r="R753" t="s">
        <v>43</v>
      </c>
      <c r="S753">
        <v>3</v>
      </c>
      <c r="T753">
        <v>19</v>
      </c>
      <c r="U753">
        <v>3</v>
      </c>
      <c r="V753">
        <v>18</v>
      </c>
      <c r="W753">
        <v>7</v>
      </c>
      <c r="X753">
        <v>0</v>
      </c>
      <c r="Y753">
        <v>13</v>
      </c>
      <c r="Z753" t="s">
        <v>106</v>
      </c>
      <c r="AA753" t="s">
        <v>82</v>
      </c>
      <c r="AB753" t="str" cm="1">
        <f t="array" ref="AB753">_xlfn.IFS(cleaned_data[[#This Row],[YearsAtCompany]]&lt;=5, "0-5",cleaned_data[[#This Row],[YearsAtCompany]]&lt;=10,"6-10",TRUE,"10+")</f>
        <v>10+</v>
      </c>
    </row>
    <row r="754" spans="1:28" x14ac:dyDescent="0.3">
      <c r="A754" s="2">
        <v>36</v>
      </c>
      <c r="B754" t="s">
        <v>35</v>
      </c>
      <c r="C754">
        <v>1</v>
      </c>
      <c r="D754" t="s">
        <v>36</v>
      </c>
      <c r="E754" t="s">
        <v>45</v>
      </c>
      <c r="F754">
        <v>16</v>
      </c>
      <c r="G754" t="s">
        <v>38</v>
      </c>
      <c r="H754" t="s">
        <v>824</v>
      </c>
      <c r="I754">
        <v>3</v>
      </c>
      <c r="J754" t="s">
        <v>39</v>
      </c>
      <c r="K754">
        <v>4</v>
      </c>
      <c r="L754">
        <v>1</v>
      </c>
      <c r="M754" t="s">
        <v>50</v>
      </c>
      <c r="N754">
        <v>1</v>
      </c>
      <c r="O754" t="s">
        <v>41</v>
      </c>
      <c r="P754" s="6">
        <v>2743</v>
      </c>
      <c r="Q754" t="s">
        <v>72</v>
      </c>
      <c r="R754" t="s">
        <v>43</v>
      </c>
      <c r="S754">
        <v>3</v>
      </c>
      <c r="T754">
        <v>18</v>
      </c>
      <c r="U754">
        <v>3</v>
      </c>
      <c r="V754">
        <v>17</v>
      </c>
      <c r="W754">
        <v>13</v>
      </c>
      <c r="X754">
        <v>15</v>
      </c>
      <c r="Y754">
        <v>14</v>
      </c>
      <c r="Z754" t="s">
        <v>1550</v>
      </c>
      <c r="AA754" t="s">
        <v>82</v>
      </c>
      <c r="AB754" t="str" cm="1">
        <f t="array" ref="AB754">_xlfn.IFS(cleaned_data[[#This Row],[YearsAtCompany]]&lt;=5, "0-5",cleaned_data[[#This Row],[YearsAtCompany]]&lt;=10,"6-10",TRUE,"10+")</f>
        <v>10+</v>
      </c>
    </row>
    <row r="755" spans="1:28" x14ac:dyDescent="0.3">
      <c r="A755" s="2">
        <v>39</v>
      </c>
      <c r="B755" t="s">
        <v>43</v>
      </c>
      <c r="C755">
        <v>0</v>
      </c>
      <c r="D755" t="s">
        <v>44</v>
      </c>
      <c r="E755" t="s">
        <v>45</v>
      </c>
      <c r="F755">
        <v>22</v>
      </c>
      <c r="G755" t="s">
        <v>51</v>
      </c>
      <c r="H755" t="s">
        <v>825</v>
      </c>
      <c r="I755">
        <v>4</v>
      </c>
      <c r="J755" t="s">
        <v>39</v>
      </c>
      <c r="K755">
        <v>3</v>
      </c>
      <c r="L755">
        <v>3</v>
      </c>
      <c r="M755" t="s">
        <v>53</v>
      </c>
      <c r="N755">
        <v>1</v>
      </c>
      <c r="O755" t="s">
        <v>41</v>
      </c>
      <c r="P755" s="6">
        <v>10880</v>
      </c>
      <c r="Q755" t="s">
        <v>67</v>
      </c>
      <c r="R755" t="s">
        <v>35</v>
      </c>
      <c r="S755">
        <v>3</v>
      </c>
      <c r="T755">
        <v>21</v>
      </c>
      <c r="U755">
        <v>3</v>
      </c>
      <c r="V755">
        <v>21</v>
      </c>
      <c r="W755">
        <v>6</v>
      </c>
      <c r="X755">
        <v>2</v>
      </c>
      <c r="Y755">
        <v>8</v>
      </c>
      <c r="Z755" t="s">
        <v>1550</v>
      </c>
      <c r="AA755" t="s">
        <v>82</v>
      </c>
      <c r="AB755" t="str" cm="1">
        <f t="array" ref="AB755">_xlfn.IFS(cleaned_data[[#This Row],[YearsAtCompany]]&lt;=5, "0-5",cleaned_data[[#This Row],[YearsAtCompany]]&lt;=10,"6-10",TRUE,"10+")</f>
        <v>10+</v>
      </c>
    </row>
    <row r="756" spans="1:28" x14ac:dyDescent="0.3">
      <c r="A756" s="2">
        <v>33</v>
      </c>
      <c r="B756" t="s">
        <v>43</v>
      </c>
      <c r="C756">
        <v>0</v>
      </c>
      <c r="D756" t="s">
        <v>55</v>
      </c>
      <c r="E756" t="s">
        <v>37</v>
      </c>
      <c r="F756">
        <v>8</v>
      </c>
      <c r="G756" t="s">
        <v>38</v>
      </c>
      <c r="H756" t="s">
        <v>826</v>
      </c>
      <c r="I756">
        <v>2</v>
      </c>
      <c r="J756" t="s">
        <v>39</v>
      </c>
      <c r="K756">
        <v>2</v>
      </c>
      <c r="L756">
        <v>1</v>
      </c>
      <c r="M756" t="s">
        <v>57</v>
      </c>
      <c r="N756">
        <v>4</v>
      </c>
      <c r="O756" t="s">
        <v>41</v>
      </c>
      <c r="P756" s="1">
        <v>2342</v>
      </c>
      <c r="Q756" t="s">
        <v>72</v>
      </c>
      <c r="R756" t="s">
        <v>43</v>
      </c>
      <c r="S756">
        <v>3</v>
      </c>
      <c r="T756">
        <v>3</v>
      </c>
      <c r="U756">
        <v>2</v>
      </c>
      <c r="V756">
        <v>2</v>
      </c>
      <c r="W756">
        <v>2</v>
      </c>
      <c r="X756">
        <v>2</v>
      </c>
      <c r="Y756">
        <v>2</v>
      </c>
      <c r="Z756" t="s">
        <v>1551</v>
      </c>
      <c r="AA756" t="s">
        <v>78</v>
      </c>
      <c r="AB756" t="str" cm="1">
        <f t="array" ref="AB756">_xlfn.IFS(cleaned_data[[#This Row],[YearsAtCompany]]&lt;=5, "0-5",cleaned_data[[#This Row],[YearsAtCompany]]&lt;=10,"6-10",TRUE,"10+")</f>
        <v>0-5</v>
      </c>
    </row>
    <row r="757" spans="1:28" x14ac:dyDescent="0.3">
      <c r="A757" s="2">
        <v>45</v>
      </c>
      <c r="B757" t="s">
        <v>43</v>
      </c>
      <c r="C757">
        <v>0</v>
      </c>
      <c r="D757" t="s">
        <v>36</v>
      </c>
      <c r="E757" t="s">
        <v>37</v>
      </c>
      <c r="F757">
        <v>11</v>
      </c>
      <c r="G757" t="s">
        <v>38</v>
      </c>
      <c r="H757" t="s">
        <v>827</v>
      </c>
      <c r="I757">
        <v>4</v>
      </c>
      <c r="J757" t="s">
        <v>39</v>
      </c>
      <c r="K757">
        <v>3</v>
      </c>
      <c r="L757">
        <v>4</v>
      </c>
      <c r="M757" t="s">
        <v>56</v>
      </c>
      <c r="N757">
        <v>4</v>
      </c>
      <c r="O757" t="s">
        <v>48</v>
      </c>
      <c r="P757" s="1">
        <v>17650</v>
      </c>
      <c r="Q757" t="s">
        <v>90</v>
      </c>
      <c r="R757" t="s">
        <v>43</v>
      </c>
      <c r="S757">
        <v>3</v>
      </c>
      <c r="T757">
        <v>26</v>
      </c>
      <c r="U757">
        <v>4</v>
      </c>
      <c r="V757">
        <v>9</v>
      </c>
      <c r="W757">
        <v>3</v>
      </c>
      <c r="X757">
        <v>1</v>
      </c>
      <c r="Y757">
        <v>1</v>
      </c>
      <c r="Z757" t="s">
        <v>1550</v>
      </c>
      <c r="AA757" t="s">
        <v>82</v>
      </c>
      <c r="AB757" t="str" cm="1">
        <f t="array" ref="AB757">_xlfn.IFS(cleaned_data[[#This Row],[YearsAtCompany]]&lt;=5, "0-5",cleaned_data[[#This Row],[YearsAtCompany]]&lt;=10,"6-10",TRUE,"10+")</f>
        <v>6-10</v>
      </c>
    </row>
    <row r="758" spans="1:28" x14ac:dyDescent="0.3">
      <c r="A758" s="2">
        <v>32</v>
      </c>
      <c r="B758" t="s">
        <v>43</v>
      </c>
      <c r="C758">
        <v>0</v>
      </c>
      <c r="D758" t="s">
        <v>55</v>
      </c>
      <c r="E758" t="s">
        <v>45</v>
      </c>
      <c r="F758">
        <v>29</v>
      </c>
      <c r="G758" t="s">
        <v>51</v>
      </c>
      <c r="H758" t="s">
        <v>828</v>
      </c>
      <c r="I758">
        <v>4</v>
      </c>
      <c r="J758" t="s">
        <v>39</v>
      </c>
      <c r="K758">
        <v>3</v>
      </c>
      <c r="L758">
        <v>1</v>
      </c>
      <c r="M758" t="s">
        <v>50</v>
      </c>
      <c r="N758">
        <v>3</v>
      </c>
      <c r="O758" t="s">
        <v>41</v>
      </c>
      <c r="P758" s="1">
        <v>4025</v>
      </c>
      <c r="Q758" t="s">
        <v>72</v>
      </c>
      <c r="R758" t="s">
        <v>43</v>
      </c>
      <c r="S758">
        <v>3</v>
      </c>
      <c r="T758">
        <v>10</v>
      </c>
      <c r="U758">
        <v>3</v>
      </c>
      <c r="V758">
        <v>8</v>
      </c>
      <c r="W758">
        <v>7</v>
      </c>
      <c r="X758">
        <v>7</v>
      </c>
      <c r="Y758">
        <v>7</v>
      </c>
      <c r="Z758" t="s">
        <v>1551</v>
      </c>
      <c r="AA758" t="s">
        <v>69</v>
      </c>
      <c r="AB758" t="str" cm="1">
        <f t="array" ref="AB758">_xlfn.IFS(cleaned_data[[#This Row],[YearsAtCompany]]&lt;=5, "0-5",cleaned_data[[#This Row],[YearsAtCompany]]&lt;=10,"6-10",TRUE,"10+")</f>
        <v>6-10</v>
      </c>
    </row>
    <row r="759" spans="1:28" x14ac:dyDescent="0.3">
      <c r="A759" s="2">
        <v>34</v>
      </c>
      <c r="B759" t="s">
        <v>43</v>
      </c>
      <c r="C759">
        <v>0</v>
      </c>
      <c r="D759" t="s">
        <v>36</v>
      </c>
      <c r="E759" t="s">
        <v>37</v>
      </c>
      <c r="F759">
        <v>1</v>
      </c>
      <c r="G759" t="s">
        <v>59</v>
      </c>
      <c r="H759" t="s">
        <v>829</v>
      </c>
      <c r="I759">
        <v>2</v>
      </c>
      <c r="J759" t="s">
        <v>46</v>
      </c>
      <c r="K759">
        <v>4</v>
      </c>
      <c r="L759">
        <v>2</v>
      </c>
      <c r="M759" t="s">
        <v>40</v>
      </c>
      <c r="N759">
        <v>4</v>
      </c>
      <c r="O759" t="s">
        <v>52</v>
      </c>
      <c r="P759" s="1">
        <v>9725</v>
      </c>
      <c r="Q759" t="s">
        <v>67</v>
      </c>
      <c r="R759" t="s">
        <v>43</v>
      </c>
      <c r="S759">
        <v>3</v>
      </c>
      <c r="T759">
        <v>16</v>
      </c>
      <c r="U759">
        <v>2</v>
      </c>
      <c r="V759">
        <v>15</v>
      </c>
      <c r="W759">
        <v>1</v>
      </c>
      <c r="X759">
        <v>0</v>
      </c>
      <c r="Y759">
        <v>9</v>
      </c>
      <c r="Z759" t="s">
        <v>1551</v>
      </c>
      <c r="AA759" t="s">
        <v>82</v>
      </c>
      <c r="AB759" t="str" cm="1">
        <f t="array" ref="AB759">_xlfn.IFS(cleaned_data[[#This Row],[YearsAtCompany]]&lt;=5, "0-5",cleaned_data[[#This Row],[YearsAtCompany]]&lt;=10,"6-10",TRUE,"10+")</f>
        <v>10+</v>
      </c>
    </row>
    <row r="760" spans="1:28" x14ac:dyDescent="0.3">
      <c r="A760" s="2">
        <v>59</v>
      </c>
      <c r="B760" t="s">
        <v>43</v>
      </c>
      <c r="C760">
        <v>0</v>
      </c>
      <c r="D760" t="s">
        <v>36</v>
      </c>
      <c r="E760" t="s">
        <v>37</v>
      </c>
      <c r="F760">
        <v>1</v>
      </c>
      <c r="G760" t="s">
        <v>60</v>
      </c>
      <c r="H760" t="s">
        <v>830</v>
      </c>
      <c r="I760">
        <v>2</v>
      </c>
      <c r="J760" t="s">
        <v>46</v>
      </c>
      <c r="K760">
        <v>3</v>
      </c>
      <c r="L760">
        <v>3</v>
      </c>
      <c r="M760" t="s">
        <v>56</v>
      </c>
      <c r="N760">
        <v>4</v>
      </c>
      <c r="O760" t="s">
        <v>48</v>
      </c>
      <c r="P760" s="1">
        <v>11904</v>
      </c>
      <c r="Q760" t="s">
        <v>67</v>
      </c>
      <c r="R760" t="s">
        <v>35</v>
      </c>
      <c r="S760">
        <v>3</v>
      </c>
      <c r="T760">
        <v>14</v>
      </c>
      <c r="U760">
        <v>1</v>
      </c>
      <c r="V760">
        <v>6</v>
      </c>
      <c r="W760">
        <v>4</v>
      </c>
      <c r="X760">
        <v>0</v>
      </c>
      <c r="Y760">
        <v>4</v>
      </c>
      <c r="Z760" t="s">
        <v>106</v>
      </c>
      <c r="AA760" t="s">
        <v>69</v>
      </c>
      <c r="AB760" t="str" cm="1">
        <f t="array" ref="AB760">_xlfn.IFS(cleaned_data[[#This Row],[YearsAtCompany]]&lt;=5, "0-5",cleaned_data[[#This Row],[YearsAtCompany]]&lt;=10,"6-10",TRUE,"10+")</f>
        <v>6-10</v>
      </c>
    </row>
    <row r="761" spans="1:28" x14ac:dyDescent="0.3">
      <c r="A761" s="2">
        <v>45</v>
      </c>
      <c r="B761" t="s">
        <v>43</v>
      </c>
      <c r="C761">
        <v>0</v>
      </c>
      <c r="D761" t="s">
        <v>36</v>
      </c>
      <c r="E761" t="s">
        <v>61</v>
      </c>
      <c r="F761">
        <v>24</v>
      </c>
      <c r="G761" t="s">
        <v>51</v>
      </c>
      <c r="H761" t="s">
        <v>831</v>
      </c>
      <c r="I761">
        <v>2</v>
      </c>
      <c r="J761" t="s">
        <v>46</v>
      </c>
      <c r="K761">
        <v>3</v>
      </c>
      <c r="L761">
        <v>1</v>
      </c>
      <c r="M761" t="s">
        <v>61</v>
      </c>
      <c r="N761">
        <v>2</v>
      </c>
      <c r="O761" t="s">
        <v>41</v>
      </c>
      <c r="P761" s="1">
        <v>2177</v>
      </c>
      <c r="Q761" t="s">
        <v>72</v>
      </c>
      <c r="R761" t="s">
        <v>43</v>
      </c>
      <c r="S761">
        <v>3</v>
      </c>
      <c r="T761">
        <v>6</v>
      </c>
      <c r="U761">
        <v>3</v>
      </c>
      <c r="V761">
        <v>6</v>
      </c>
      <c r="W761">
        <v>3</v>
      </c>
      <c r="X761">
        <v>0</v>
      </c>
      <c r="Y761">
        <v>4</v>
      </c>
      <c r="Z761" t="s">
        <v>1550</v>
      </c>
      <c r="AA761" t="s">
        <v>69</v>
      </c>
      <c r="AB761" t="str" cm="1">
        <f t="array" ref="AB761">_xlfn.IFS(cleaned_data[[#This Row],[YearsAtCompany]]&lt;=5, "0-5",cleaned_data[[#This Row],[YearsAtCompany]]&lt;=10,"6-10",TRUE,"10+")</f>
        <v>6-10</v>
      </c>
    </row>
    <row r="762" spans="1:28" x14ac:dyDescent="0.3">
      <c r="A762" s="2">
        <v>53</v>
      </c>
      <c r="B762" t="s">
        <v>43</v>
      </c>
      <c r="C762">
        <v>0</v>
      </c>
      <c r="D762" t="s">
        <v>44</v>
      </c>
      <c r="E762" t="s">
        <v>37</v>
      </c>
      <c r="F762">
        <v>2</v>
      </c>
      <c r="G762" t="s">
        <v>59</v>
      </c>
      <c r="H762" t="s">
        <v>832</v>
      </c>
      <c r="I762">
        <v>3</v>
      </c>
      <c r="J762" t="s">
        <v>39</v>
      </c>
      <c r="K762">
        <v>2</v>
      </c>
      <c r="L762">
        <v>3</v>
      </c>
      <c r="M762" t="s">
        <v>40</v>
      </c>
      <c r="N762">
        <v>2</v>
      </c>
      <c r="O762" t="s">
        <v>48</v>
      </c>
      <c r="P762" s="1">
        <v>7525</v>
      </c>
      <c r="Q762" t="s">
        <v>67</v>
      </c>
      <c r="R762" t="s">
        <v>43</v>
      </c>
      <c r="S762">
        <v>3</v>
      </c>
      <c r="T762">
        <v>30</v>
      </c>
      <c r="U762">
        <v>3</v>
      </c>
      <c r="V762">
        <v>15</v>
      </c>
      <c r="W762">
        <v>7</v>
      </c>
      <c r="X762">
        <v>6</v>
      </c>
      <c r="Y762">
        <v>12</v>
      </c>
      <c r="Z762" t="s">
        <v>106</v>
      </c>
      <c r="AA762" t="s">
        <v>82</v>
      </c>
      <c r="AB762" t="str" cm="1">
        <f t="array" ref="AB762">_xlfn.IFS(cleaned_data[[#This Row],[YearsAtCompany]]&lt;=5, "0-5",cleaned_data[[#This Row],[YearsAtCompany]]&lt;=10,"6-10",TRUE,"10+")</f>
        <v>10+</v>
      </c>
    </row>
    <row r="763" spans="1:28" x14ac:dyDescent="0.3">
      <c r="A763" s="2">
        <v>36</v>
      </c>
      <c r="B763" t="s">
        <v>35</v>
      </c>
      <c r="C763">
        <v>1</v>
      </c>
      <c r="D763" t="s">
        <v>36</v>
      </c>
      <c r="E763" t="s">
        <v>45</v>
      </c>
      <c r="F763">
        <v>15</v>
      </c>
      <c r="G763" t="s">
        <v>49</v>
      </c>
      <c r="H763" t="s">
        <v>833</v>
      </c>
      <c r="I763">
        <v>1</v>
      </c>
      <c r="J763" t="s">
        <v>46</v>
      </c>
      <c r="K763">
        <v>3</v>
      </c>
      <c r="L763">
        <v>2</v>
      </c>
      <c r="M763" t="s">
        <v>50</v>
      </c>
      <c r="N763">
        <v>3</v>
      </c>
      <c r="O763" t="s">
        <v>52</v>
      </c>
      <c r="P763" s="1">
        <v>4834</v>
      </c>
      <c r="Q763" t="s">
        <v>72</v>
      </c>
      <c r="R763" t="s">
        <v>43</v>
      </c>
      <c r="S763">
        <v>3</v>
      </c>
      <c r="T763">
        <v>9</v>
      </c>
      <c r="U763">
        <v>2</v>
      </c>
      <c r="V763">
        <v>1</v>
      </c>
      <c r="W763">
        <v>0</v>
      </c>
      <c r="X763">
        <v>0</v>
      </c>
      <c r="Y763">
        <v>0</v>
      </c>
      <c r="Z763" t="s">
        <v>1550</v>
      </c>
      <c r="AA763" t="s">
        <v>69</v>
      </c>
      <c r="AB763" t="str" cm="1">
        <f t="array" ref="AB763">_xlfn.IFS(cleaned_data[[#This Row],[YearsAtCompany]]&lt;=5, "0-5",cleaned_data[[#This Row],[YearsAtCompany]]&lt;=10,"6-10",TRUE,"10+")</f>
        <v>0-5</v>
      </c>
    </row>
    <row r="764" spans="1:28" x14ac:dyDescent="0.3">
      <c r="A764" s="2">
        <v>26</v>
      </c>
      <c r="B764" t="s">
        <v>35</v>
      </c>
      <c r="C764">
        <v>1</v>
      </c>
      <c r="D764" t="s">
        <v>44</v>
      </c>
      <c r="E764" t="s">
        <v>45</v>
      </c>
      <c r="F764">
        <v>2</v>
      </c>
      <c r="G764" t="s">
        <v>38</v>
      </c>
      <c r="H764" t="s">
        <v>834</v>
      </c>
      <c r="I764">
        <v>1</v>
      </c>
      <c r="J764" t="s">
        <v>46</v>
      </c>
      <c r="K764">
        <v>3</v>
      </c>
      <c r="L764">
        <v>1</v>
      </c>
      <c r="M764" t="s">
        <v>47</v>
      </c>
      <c r="N764">
        <v>1</v>
      </c>
      <c r="O764" t="s">
        <v>48</v>
      </c>
      <c r="P764" s="6">
        <v>2042</v>
      </c>
      <c r="Q764" t="s">
        <v>72</v>
      </c>
      <c r="R764" t="s">
        <v>35</v>
      </c>
      <c r="S764">
        <v>3</v>
      </c>
      <c r="T764">
        <v>6</v>
      </c>
      <c r="U764">
        <v>3</v>
      </c>
      <c r="V764">
        <v>3</v>
      </c>
      <c r="W764">
        <v>2</v>
      </c>
      <c r="X764">
        <v>1</v>
      </c>
      <c r="Y764">
        <v>2</v>
      </c>
      <c r="Z764" t="s">
        <v>1551</v>
      </c>
      <c r="AA764" t="s">
        <v>69</v>
      </c>
      <c r="AB764" t="str" cm="1">
        <f t="array" ref="AB764">_xlfn.IFS(cleaned_data[[#This Row],[YearsAtCompany]]&lt;=5, "0-5",cleaned_data[[#This Row],[YearsAtCompany]]&lt;=10,"6-10",TRUE,"10+")</f>
        <v>0-5</v>
      </c>
    </row>
    <row r="765" spans="1:28" x14ac:dyDescent="0.3">
      <c r="A765" s="2">
        <v>34</v>
      </c>
      <c r="B765" t="s">
        <v>43</v>
      </c>
      <c r="C765">
        <v>0</v>
      </c>
      <c r="D765" t="s">
        <v>36</v>
      </c>
      <c r="E765" t="s">
        <v>37</v>
      </c>
      <c r="F765">
        <v>10</v>
      </c>
      <c r="G765" t="s">
        <v>38</v>
      </c>
      <c r="H765" t="s">
        <v>835</v>
      </c>
      <c r="I765">
        <v>3</v>
      </c>
      <c r="J765" t="s">
        <v>39</v>
      </c>
      <c r="K765">
        <v>3</v>
      </c>
      <c r="L765">
        <v>1</v>
      </c>
      <c r="M765" t="s">
        <v>57</v>
      </c>
      <c r="N765">
        <v>3</v>
      </c>
      <c r="O765" t="s">
        <v>48</v>
      </c>
      <c r="P765" s="1">
        <v>2220</v>
      </c>
      <c r="Q765" t="s">
        <v>72</v>
      </c>
      <c r="R765" t="s">
        <v>35</v>
      </c>
      <c r="S765">
        <v>3</v>
      </c>
      <c r="T765">
        <v>1</v>
      </c>
      <c r="U765">
        <v>3</v>
      </c>
      <c r="V765">
        <v>1</v>
      </c>
      <c r="W765">
        <v>1</v>
      </c>
      <c r="X765">
        <v>0</v>
      </c>
      <c r="Y765">
        <v>0</v>
      </c>
      <c r="Z765" t="s">
        <v>1551</v>
      </c>
      <c r="AA765" t="s">
        <v>78</v>
      </c>
      <c r="AB765" t="str" cm="1">
        <f t="array" ref="AB765">_xlfn.IFS(cleaned_data[[#This Row],[YearsAtCompany]]&lt;=5, "0-5",cleaned_data[[#This Row],[YearsAtCompany]]&lt;=10,"6-10",TRUE,"10+")</f>
        <v>0-5</v>
      </c>
    </row>
    <row r="766" spans="1:28" x14ac:dyDescent="0.3">
      <c r="A766" s="2">
        <v>28</v>
      </c>
      <c r="B766" t="s">
        <v>43</v>
      </c>
      <c r="C766">
        <v>0</v>
      </c>
      <c r="D766" t="s">
        <v>36</v>
      </c>
      <c r="E766" t="s">
        <v>37</v>
      </c>
      <c r="F766">
        <v>10</v>
      </c>
      <c r="G766" t="s">
        <v>51</v>
      </c>
      <c r="H766" t="s">
        <v>836</v>
      </c>
      <c r="I766">
        <v>4</v>
      </c>
      <c r="J766" t="s">
        <v>46</v>
      </c>
      <c r="K766">
        <v>3</v>
      </c>
      <c r="L766">
        <v>1</v>
      </c>
      <c r="M766" t="s">
        <v>57</v>
      </c>
      <c r="N766">
        <v>2</v>
      </c>
      <c r="O766" t="s">
        <v>48</v>
      </c>
      <c r="P766" s="1">
        <v>1052</v>
      </c>
      <c r="Q766" t="s">
        <v>72</v>
      </c>
      <c r="R766" t="s">
        <v>43</v>
      </c>
      <c r="S766">
        <v>4</v>
      </c>
      <c r="T766">
        <v>1</v>
      </c>
      <c r="U766">
        <v>3</v>
      </c>
      <c r="V766">
        <v>1</v>
      </c>
      <c r="W766">
        <v>0</v>
      </c>
      <c r="X766">
        <v>0</v>
      </c>
      <c r="Y766">
        <v>0</v>
      </c>
      <c r="Z766" t="s">
        <v>1551</v>
      </c>
      <c r="AA766" t="s">
        <v>78</v>
      </c>
      <c r="AB766" t="str" cm="1">
        <f t="array" ref="AB766">_xlfn.IFS(cleaned_data[[#This Row],[YearsAtCompany]]&lt;=5, "0-5",cleaned_data[[#This Row],[YearsAtCompany]]&lt;=10,"6-10",TRUE,"10+")</f>
        <v>0-5</v>
      </c>
    </row>
    <row r="767" spans="1:28" x14ac:dyDescent="0.3">
      <c r="A767" s="2">
        <v>38</v>
      </c>
      <c r="B767" t="s">
        <v>43</v>
      </c>
      <c r="C767">
        <v>0</v>
      </c>
      <c r="D767" t="s">
        <v>44</v>
      </c>
      <c r="E767" t="s">
        <v>45</v>
      </c>
      <c r="F767">
        <v>3</v>
      </c>
      <c r="G767" t="s">
        <v>49</v>
      </c>
      <c r="H767" t="s">
        <v>837</v>
      </c>
      <c r="I767">
        <v>3</v>
      </c>
      <c r="J767" t="s">
        <v>46</v>
      </c>
      <c r="K767">
        <v>3</v>
      </c>
      <c r="L767">
        <v>1</v>
      </c>
      <c r="M767" t="s">
        <v>47</v>
      </c>
      <c r="N767">
        <v>3</v>
      </c>
      <c r="O767" t="s">
        <v>48</v>
      </c>
      <c r="P767" s="1">
        <v>2821</v>
      </c>
      <c r="Q767" t="s">
        <v>72</v>
      </c>
      <c r="R767" t="s">
        <v>43</v>
      </c>
      <c r="S767">
        <v>3</v>
      </c>
      <c r="T767">
        <v>8</v>
      </c>
      <c r="U767">
        <v>3</v>
      </c>
      <c r="V767">
        <v>2</v>
      </c>
      <c r="W767">
        <v>2</v>
      </c>
      <c r="X767">
        <v>2</v>
      </c>
      <c r="Y767">
        <v>2</v>
      </c>
      <c r="Z767" t="s">
        <v>1550</v>
      </c>
      <c r="AA767" t="s">
        <v>69</v>
      </c>
      <c r="AB767" t="str" cm="1">
        <f t="array" ref="AB767">_xlfn.IFS(cleaned_data[[#This Row],[YearsAtCompany]]&lt;=5, "0-5",cleaned_data[[#This Row],[YearsAtCompany]]&lt;=10,"6-10",TRUE,"10+")</f>
        <v>0-5</v>
      </c>
    </row>
    <row r="768" spans="1:28" x14ac:dyDescent="0.3">
      <c r="A768" s="2">
        <v>50</v>
      </c>
      <c r="B768" t="s">
        <v>43</v>
      </c>
      <c r="C768">
        <v>0</v>
      </c>
      <c r="D768" t="s">
        <v>36</v>
      </c>
      <c r="E768" t="s">
        <v>45</v>
      </c>
      <c r="F768">
        <v>2</v>
      </c>
      <c r="G768" t="s">
        <v>51</v>
      </c>
      <c r="H768" t="s">
        <v>838</v>
      </c>
      <c r="I768">
        <v>2</v>
      </c>
      <c r="J768" t="s">
        <v>46</v>
      </c>
      <c r="K768">
        <v>3</v>
      </c>
      <c r="L768">
        <v>5</v>
      </c>
      <c r="M768" t="s">
        <v>58</v>
      </c>
      <c r="N768">
        <v>3</v>
      </c>
      <c r="O768" t="s">
        <v>48</v>
      </c>
      <c r="P768" s="1">
        <v>19237</v>
      </c>
      <c r="Q768" t="s">
        <v>90</v>
      </c>
      <c r="R768" t="s">
        <v>35</v>
      </c>
      <c r="S768">
        <v>3</v>
      </c>
      <c r="T768">
        <v>29</v>
      </c>
      <c r="U768">
        <v>2</v>
      </c>
      <c r="V768">
        <v>8</v>
      </c>
      <c r="W768">
        <v>1</v>
      </c>
      <c r="X768">
        <v>7</v>
      </c>
      <c r="Y768">
        <v>7</v>
      </c>
      <c r="Z768" t="s">
        <v>106</v>
      </c>
      <c r="AA768" t="s">
        <v>82</v>
      </c>
      <c r="AB768" t="str" cm="1">
        <f t="array" ref="AB768">_xlfn.IFS(cleaned_data[[#This Row],[YearsAtCompany]]&lt;=5, "0-5",cleaned_data[[#This Row],[YearsAtCompany]]&lt;=10,"6-10",TRUE,"10+")</f>
        <v>6-10</v>
      </c>
    </row>
    <row r="769" spans="1:28" x14ac:dyDescent="0.3">
      <c r="A769" s="2">
        <v>37</v>
      </c>
      <c r="B769" t="s">
        <v>43</v>
      </c>
      <c r="C769">
        <v>0</v>
      </c>
      <c r="D769" t="s">
        <v>36</v>
      </c>
      <c r="E769" t="s">
        <v>45</v>
      </c>
      <c r="F769">
        <v>3</v>
      </c>
      <c r="G769" t="s">
        <v>49</v>
      </c>
      <c r="H769" t="s">
        <v>839</v>
      </c>
      <c r="I769">
        <v>4</v>
      </c>
      <c r="J769" t="s">
        <v>39</v>
      </c>
      <c r="K769">
        <v>3</v>
      </c>
      <c r="L769">
        <v>2</v>
      </c>
      <c r="M769" t="s">
        <v>54</v>
      </c>
      <c r="N769">
        <v>2</v>
      </c>
      <c r="O769" t="s">
        <v>41</v>
      </c>
      <c r="P769" s="1">
        <v>4107</v>
      </c>
      <c r="Q769" t="s">
        <v>72</v>
      </c>
      <c r="R769" t="s">
        <v>43</v>
      </c>
      <c r="S769">
        <v>3</v>
      </c>
      <c r="T769">
        <v>8</v>
      </c>
      <c r="U769">
        <v>2</v>
      </c>
      <c r="V769">
        <v>4</v>
      </c>
      <c r="W769">
        <v>3</v>
      </c>
      <c r="X769">
        <v>0</v>
      </c>
      <c r="Y769">
        <v>1</v>
      </c>
      <c r="Z769" t="s">
        <v>1550</v>
      </c>
      <c r="AA769" t="s">
        <v>69</v>
      </c>
      <c r="AB769" t="str" cm="1">
        <f t="array" ref="AB769">_xlfn.IFS(cleaned_data[[#This Row],[YearsAtCompany]]&lt;=5, "0-5",cleaned_data[[#This Row],[YearsAtCompany]]&lt;=10,"6-10",TRUE,"10+")</f>
        <v>0-5</v>
      </c>
    </row>
    <row r="770" spans="1:28" x14ac:dyDescent="0.3">
      <c r="A770" s="2">
        <v>40</v>
      </c>
      <c r="B770" t="s">
        <v>43</v>
      </c>
      <c r="C770">
        <v>0</v>
      </c>
      <c r="D770" t="s">
        <v>36</v>
      </c>
      <c r="E770" t="s">
        <v>37</v>
      </c>
      <c r="F770">
        <v>26</v>
      </c>
      <c r="G770" t="s">
        <v>59</v>
      </c>
      <c r="H770" t="s">
        <v>840</v>
      </c>
      <c r="I770">
        <v>3</v>
      </c>
      <c r="J770" t="s">
        <v>46</v>
      </c>
      <c r="K770">
        <v>3</v>
      </c>
      <c r="L770">
        <v>2</v>
      </c>
      <c r="M770" t="s">
        <v>40</v>
      </c>
      <c r="N770">
        <v>1</v>
      </c>
      <c r="O770" t="s">
        <v>48</v>
      </c>
      <c r="P770" s="6">
        <v>8396</v>
      </c>
      <c r="Q770" t="s">
        <v>67</v>
      </c>
      <c r="R770" t="s">
        <v>43</v>
      </c>
      <c r="S770">
        <v>3</v>
      </c>
      <c r="T770">
        <v>8</v>
      </c>
      <c r="U770">
        <v>2</v>
      </c>
      <c r="V770">
        <v>7</v>
      </c>
      <c r="W770">
        <v>7</v>
      </c>
      <c r="X770">
        <v>7</v>
      </c>
      <c r="Y770">
        <v>5</v>
      </c>
      <c r="Z770" t="s">
        <v>1550</v>
      </c>
      <c r="AA770" t="s">
        <v>69</v>
      </c>
      <c r="AB770" t="str" cm="1">
        <f t="array" ref="AB770">_xlfn.IFS(cleaned_data[[#This Row],[YearsAtCompany]]&lt;=5, "0-5",cleaned_data[[#This Row],[YearsAtCompany]]&lt;=10,"6-10",TRUE,"10+")</f>
        <v>6-10</v>
      </c>
    </row>
    <row r="771" spans="1:28" x14ac:dyDescent="0.3">
      <c r="A771" s="2">
        <v>26</v>
      </c>
      <c r="B771" t="s">
        <v>43</v>
      </c>
      <c r="C771">
        <v>0</v>
      </c>
      <c r="D771" t="s">
        <v>44</v>
      </c>
      <c r="E771" t="s">
        <v>45</v>
      </c>
      <c r="F771">
        <v>1</v>
      </c>
      <c r="G771" t="s">
        <v>51</v>
      </c>
      <c r="H771" t="s">
        <v>841</v>
      </c>
      <c r="I771">
        <v>1</v>
      </c>
      <c r="J771" t="s">
        <v>39</v>
      </c>
      <c r="K771">
        <v>2</v>
      </c>
      <c r="L771">
        <v>1</v>
      </c>
      <c r="M771" t="s">
        <v>47</v>
      </c>
      <c r="N771">
        <v>3</v>
      </c>
      <c r="O771" t="s">
        <v>52</v>
      </c>
      <c r="P771" s="1">
        <v>2007</v>
      </c>
      <c r="Q771" t="s">
        <v>72</v>
      </c>
      <c r="R771" t="s">
        <v>43</v>
      </c>
      <c r="S771">
        <v>3</v>
      </c>
      <c r="T771">
        <v>5</v>
      </c>
      <c r="U771">
        <v>3</v>
      </c>
      <c r="V771">
        <v>5</v>
      </c>
      <c r="W771">
        <v>3</v>
      </c>
      <c r="X771">
        <v>1</v>
      </c>
      <c r="Y771">
        <v>3</v>
      </c>
      <c r="Z771" t="s">
        <v>1551</v>
      </c>
      <c r="AA771" t="s">
        <v>78</v>
      </c>
      <c r="AB771" t="str" cm="1">
        <f t="array" ref="AB771">_xlfn.IFS(cleaned_data[[#This Row],[YearsAtCompany]]&lt;=5, "0-5",cleaned_data[[#This Row],[YearsAtCompany]]&lt;=10,"6-10",TRUE,"10+")</f>
        <v>0-5</v>
      </c>
    </row>
    <row r="772" spans="1:28" x14ac:dyDescent="0.3">
      <c r="A772" s="2">
        <v>46</v>
      </c>
      <c r="B772" t="s">
        <v>43</v>
      </c>
      <c r="C772">
        <v>0</v>
      </c>
      <c r="D772" t="s">
        <v>36</v>
      </c>
      <c r="E772" t="s">
        <v>45</v>
      </c>
      <c r="F772">
        <v>1</v>
      </c>
      <c r="G772" t="s">
        <v>51</v>
      </c>
      <c r="H772" t="s">
        <v>842</v>
      </c>
      <c r="I772">
        <v>4</v>
      </c>
      <c r="J772" t="s">
        <v>46</v>
      </c>
      <c r="K772">
        <v>3</v>
      </c>
      <c r="L772">
        <v>5</v>
      </c>
      <c r="M772" t="s">
        <v>58</v>
      </c>
      <c r="N772">
        <v>4</v>
      </c>
      <c r="O772" t="s">
        <v>52</v>
      </c>
      <c r="P772" s="1">
        <v>19627</v>
      </c>
      <c r="Q772" t="s">
        <v>90</v>
      </c>
      <c r="R772" t="s">
        <v>43</v>
      </c>
      <c r="S772">
        <v>3</v>
      </c>
      <c r="T772">
        <v>23</v>
      </c>
      <c r="U772">
        <v>3</v>
      </c>
      <c r="V772">
        <v>2</v>
      </c>
      <c r="W772">
        <v>2</v>
      </c>
      <c r="X772">
        <v>2</v>
      </c>
      <c r="Y772">
        <v>2</v>
      </c>
      <c r="Z772" t="s">
        <v>106</v>
      </c>
      <c r="AA772" t="s">
        <v>82</v>
      </c>
      <c r="AB772" t="str" cm="1">
        <f t="array" ref="AB772">_xlfn.IFS(cleaned_data[[#This Row],[YearsAtCompany]]&lt;=5, "0-5",cleaned_data[[#This Row],[YearsAtCompany]]&lt;=10,"6-10",TRUE,"10+")</f>
        <v>0-5</v>
      </c>
    </row>
    <row r="773" spans="1:28" x14ac:dyDescent="0.3">
      <c r="A773" s="2">
        <v>54</v>
      </c>
      <c r="B773" t="s">
        <v>43</v>
      </c>
      <c r="C773">
        <v>0</v>
      </c>
      <c r="D773" t="s">
        <v>36</v>
      </c>
      <c r="E773" t="s">
        <v>37</v>
      </c>
      <c r="F773">
        <v>2</v>
      </c>
      <c r="G773" t="s">
        <v>38</v>
      </c>
      <c r="H773" t="s">
        <v>843</v>
      </c>
      <c r="I773">
        <v>3</v>
      </c>
      <c r="J773" t="s">
        <v>39</v>
      </c>
      <c r="K773">
        <v>2</v>
      </c>
      <c r="L773">
        <v>3</v>
      </c>
      <c r="M773" t="s">
        <v>40</v>
      </c>
      <c r="N773">
        <v>3</v>
      </c>
      <c r="O773" t="s">
        <v>48</v>
      </c>
      <c r="P773" s="1">
        <v>10686</v>
      </c>
      <c r="Q773" t="s">
        <v>67</v>
      </c>
      <c r="R773" t="s">
        <v>43</v>
      </c>
      <c r="S773">
        <v>3</v>
      </c>
      <c r="T773">
        <v>13</v>
      </c>
      <c r="U773">
        <v>3</v>
      </c>
      <c r="V773">
        <v>9</v>
      </c>
      <c r="W773">
        <v>4</v>
      </c>
      <c r="X773">
        <v>7</v>
      </c>
      <c r="Y773">
        <v>0</v>
      </c>
      <c r="Z773" t="s">
        <v>106</v>
      </c>
      <c r="AA773" t="s">
        <v>69</v>
      </c>
      <c r="AB773" t="str" cm="1">
        <f t="array" ref="AB773">_xlfn.IFS(cleaned_data[[#This Row],[YearsAtCompany]]&lt;=5, "0-5",cleaned_data[[#This Row],[YearsAtCompany]]&lt;=10,"6-10",TRUE,"10+")</f>
        <v>6-10</v>
      </c>
    </row>
    <row r="774" spans="1:28" x14ac:dyDescent="0.3">
      <c r="A774" s="2">
        <v>56</v>
      </c>
      <c r="B774" t="s">
        <v>43</v>
      </c>
      <c r="C774">
        <v>0</v>
      </c>
      <c r="D774" t="s">
        <v>44</v>
      </c>
      <c r="E774" t="s">
        <v>45</v>
      </c>
      <c r="F774">
        <v>9</v>
      </c>
      <c r="G774" t="s">
        <v>51</v>
      </c>
      <c r="H774" t="s">
        <v>844</v>
      </c>
      <c r="I774">
        <v>1</v>
      </c>
      <c r="J774" t="s">
        <v>39</v>
      </c>
      <c r="K774">
        <v>3</v>
      </c>
      <c r="L774">
        <v>1</v>
      </c>
      <c r="M774" t="s">
        <v>47</v>
      </c>
      <c r="N774">
        <v>3</v>
      </c>
      <c r="O774" t="s">
        <v>48</v>
      </c>
      <c r="P774" s="1">
        <v>2942</v>
      </c>
      <c r="Q774" t="s">
        <v>72</v>
      </c>
      <c r="R774" t="s">
        <v>43</v>
      </c>
      <c r="S774">
        <v>3</v>
      </c>
      <c r="T774">
        <v>18</v>
      </c>
      <c r="U774">
        <v>3</v>
      </c>
      <c r="V774">
        <v>5</v>
      </c>
      <c r="W774">
        <v>4</v>
      </c>
      <c r="X774">
        <v>0</v>
      </c>
      <c r="Y774">
        <v>3</v>
      </c>
      <c r="Z774" t="s">
        <v>106</v>
      </c>
      <c r="AA774" t="s">
        <v>82</v>
      </c>
      <c r="AB774" t="str" cm="1">
        <f t="array" ref="AB774">_xlfn.IFS(cleaned_data[[#This Row],[YearsAtCompany]]&lt;=5, "0-5",cleaned_data[[#This Row],[YearsAtCompany]]&lt;=10,"6-10",TRUE,"10+")</f>
        <v>0-5</v>
      </c>
    </row>
    <row r="775" spans="1:28" x14ac:dyDescent="0.3">
      <c r="A775" s="2">
        <v>36</v>
      </c>
      <c r="B775" t="s">
        <v>43</v>
      </c>
      <c r="C775">
        <v>0</v>
      </c>
      <c r="D775" t="s">
        <v>36</v>
      </c>
      <c r="E775" t="s">
        <v>45</v>
      </c>
      <c r="F775">
        <v>12</v>
      </c>
      <c r="G775" t="s">
        <v>51</v>
      </c>
      <c r="H775" t="s">
        <v>845</v>
      </c>
      <c r="I775">
        <v>4</v>
      </c>
      <c r="J775" t="s">
        <v>39</v>
      </c>
      <c r="K775">
        <v>2</v>
      </c>
      <c r="L775">
        <v>3</v>
      </c>
      <c r="M775" t="s">
        <v>53</v>
      </c>
      <c r="N775">
        <v>4</v>
      </c>
      <c r="O775" t="s">
        <v>41</v>
      </c>
      <c r="P775" s="1">
        <v>8858</v>
      </c>
      <c r="Q775" t="s">
        <v>67</v>
      </c>
      <c r="R775" t="s">
        <v>43</v>
      </c>
      <c r="S775">
        <v>3</v>
      </c>
      <c r="T775">
        <v>15</v>
      </c>
      <c r="U775">
        <v>2</v>
      </c>
      <c r="V775">
        <v>14</v>
      </c>
      <c r="W775">
        <v>8</v>
      </c>
      <c r="X775">
        <v>7</v>
      </c>
      <c r="Y775">
        <v>8</v>
      </c>
      <c r="Z775" t="s">
        <v>1550</v>
      </c>
      <c r="AA775" t="s">
        <v>69</v>
      </c>
      <c r="AB775" t="str" cm="1">
        <f t="array" ref="AB775">_xlfn.IFS(cleaned_data[[#This Row],[YearsAtCompany]]&lt;=5, "0-5",cleaned_data[[#This Row],[YearsAtCompany]]&lt;=10,"6-10",TRUE,"10+")</f>
        <v>10+</v>
      </c>
    </row>
    <row r="776" spans="1:28" x14ac:dyDescent="0.3">
      <c r="A776" s="2">
        <v>55</v>
      </c>
      <c r="B776" t="s">
        <v>43</v>
      </c>
      <c r="C776">
        <v>0</v>
      </c>
      <c r="D776" t="s">
        <v>55</v>
      </c>
      <c r="E776" t="s">
        <v>45</v>
      </c>
      <c r="F776">
        <v>2</v>
      </c>
      <c r="G776" t="s">
        <v>51</v>
      </c>
      <c r="H776" t="s">
        <v>846</v>
      </c>
      <c r="I776">
        <v>3</v>
      </c>
      <c r="J776" t="s">
        <v>46</v>
      </c>
      <c r="K776">
        <v>2</v>
      </c>
      <c r="L776">
        <v>4</v>
      </c>
      <c r="M776" t="s">
        <v>56</v>
      </c>
      <c r="N776">
        <v>1</v>
      </c>
      <c r="O776" t="s">
        <v>41</v>
      </c>
      <c r="P776" s="6">
        <v>16756</v>
      </c>
      <c r="Q776" t="s">
        <v>90</v>
      </c>
      <c r="R776" t="s">
        <v>43</v>
      </c>
      <c r="S776">
        <v>3</v>
      </c>
      <c r="T776">
        <v>31</v>
      </c>
      <c r="U776">
        <v>4</v>
      </c>
      <c r="V776">
        <v>9</v>
      </c>
      <c r="W776">
        <v>7</v>
      </c>
      <c r="X776">
        <v>6</v>
      </c>
      <c r="Y776">
        <v>2</v>
      </c>
      <c r="Z776" t="s">
        <v>106</v>
      </c>
      <c r="AA776" t="s">
        <v>82</v>
      </c>
      <c r="AB776" t="str" cm="1">
        <f t="array" ref="AB776">_xlfn.IFS(cleaned_data[[#This Row],[YearsAtCompany]]&lt;=5, "0-5",cleaned_data[[#This Row],[YearsAtCompany]]&lt;=10,"6-10",TRUE,"10+")</f>
        <v>6-10</v>
      </c>
    </row>
    <row r="777" spans="1:28" x14ac:dyDescent="0.3">
      <c r="A777" s="2">
        <v>43</v>
      </c>
      <c r="B777" t="s">
        <v>43</v>
      </c>
      <c r="C777">
        <v>0</v>
      </c>
      <c r="D777" t="s">
        <v>36</v>
      </c>
      <c r="E777" t="s">
        <v>37</v>
      </c>
      <c r="F777">
        <v>25</v>
      </c>
      <c r="G777" t="s">
        <v>51</v>
      </c>
      <c r="H777" t="s">
        <v>847</v>
      </c>
      <c r="I777">
        <v>3</v>
      </c>
      <c r="J777" t="s">
        <v>46</v>
      </c>
      <c r="K777">
        <v>2</v>
      </c>
      <c r="L777">
        <v>3</v>
      </c>
      <c r="M777" t="s">
        <v>40</v>
      </c>
      <c r="N777">
        <v>4</v>
      </c>
      <c r="O777" t="s">
        <v>52</v>
      </c>
      <c r="P777" s="1">
        <v>10798</v>
      </c>
      <c r="Q777" t="s">
        <v>67</v>
      </c>
      <c r="R777" t="s">
        <v>43</v>
      </c>
      <c r="S777">
        <v>3</v>
      </c>
      <c r="T777">
        <v>18</v>
      </c>
      <c r="U777">
        <v>3</v>
      </c>
      <c r="V777">
        <v>1</v>
      </c>
      <c r="W777">
        <v>0</v>
      </c>
      <c r="X777">
        <v>0</v>
      </c>
      <c r="Y777">
        <v>0</v>
      </c>
      <c r="Z777" t="s">
        <v>1550</v>
      </c>
      <c r="AA777" t="s">
        <v>82</v>
      </c>
      <c r="AB777" t="str" cm="1">
        <f t="array" ref="AB777">_xlfn.IFS(cleaned_data[[#This Row],[YearsAtCompany]]&lt;=5, "0-5",cleaned_data[[#This Row],[YearsAtCompany]]&lt;=10,"6-10",TRUE,"10+")</f>
        <v>0-5</v>
      </c>
    </row>
    <row r="778" spans="1:28" x14ac:dyDescent="0.3">
      <c r="A778" s="2">
        <v>20</v>
      </c>
      <c r="B778" t="s">
        <v>35</v>
      </c>
      <c r="C778">
        <v>1</v>
      </c>
      <c r="D778" t="s">
        <v>44</v>
      </c>
      <c r="E778" t="s">
        <v>37</v>
      </c>
      <c r="F778">
        <v>9</v>
      </c>
      <c r="G778" t="s">
        <v>59</v>
      </c>
      <c r="H778" t="s">
        <v>848</v>
      </c>
      <c r="I778">
        <v>4</v>
      </c>
      <c r="J778" t="s">
        <v>39</v>
      </c>
      <c r="K778">
        <v>3</v>
      </c>
      <c r="L778">
        <v>1</v>
      </c>
      <c r="M778" t="s">
        <v>57</v>
      </c>
      <c r="N778">
        <v>4</v>
      </c>
      <c r="O778" t="s">
        <v>41</v>
      </c>
      <c r="P778" s="1">
        <v>2323</v>
      </c>
      <c r="Q778" t="s">
        <v>72</v>
      </c>
      <c r="R778" t="s">
        <v>35</v>
      </c>
      <c r="S778">
        <v>3</v>
      </c>
      <c r="T778">
        <v>2</v>
      </c>
      <c r="U778">
        <v>3</v>
      </c>
      <c r="V778">
        <v>2</v>
      </c>
      <c r="W778">
        <v>2</v>
      </c>
      <c r="X778">
        <v>0</v>
      </c>
      <c r="Y778">
        <v>2</v>
      </c>
      <c r="Z778" t="s">
        <v>68</v>
      </c>
      <c r="AA778" t="s">
        <v>78</v>
      </c>
      <c r="AB778" t="str" cm="1">
        <f t="array" ref="AB778">_xlfn.IFS(cleaned_data[[#This Row],[YearsAtCompany]]&lt;=5, "0-5",cleaned_data[[#This Row],[YearsAtCompany]]&lt;=10,"6-10",TRUE,"10+")</f>
        <v>0-5</v>
      </c>
    </row>
    <row r="779" spans="1:28" x14ac:dyDescent="0.3">
      <c r="A779" s="2">
        <v>21</v>
      </c>
      <c r="B779" t="s">
        <v>35</v>
      </c>
      <c r="C779">
        <v>1</v>
      </c>
      <c r="D779" t="s">
        <v>36</v>
      </c>
      <c r="E779" t="s">
        <v>45</v>
      </c>
      <c r="F779">
        <v>10</v>
      </c>
      <c r="G779" t="s">
        <v>38</v>
      </c>
      <c r="H779" t="s">
        <v>849</v>
      </c>
      <c r="I779">
        <v>3</v>
      </c>
      <c r="J779" t="s">
        <v>39</v>
      </c>
      <c r="K779">
        <v>2</v>
      </c>
      <c r="L779">
        <v>1</v>
      </c>
      <c r="M779" t="s">
        <v>50</v>
      </c>
      <c r="N779">
        <v>1</v>
      </c>
      <c r="O779" t="s">
        <v>41</v>
      </c>
      <c r="P779" s="6">
        <v>1416</v>
      </c>
      <c r="Q779" t="s">
        <v>72</v>
      </c>
      <c r="R779" t="s">
        <v>43</v>
      </c>
      <c r="S779">
        <v>3</v>
      </c>
      <c r="T779">
        <v>1</v>
      </c>
      <c r="U779">
        <v>2</v>
      </c>
      <c r="V779">
        <v>1</v>
      </c>
      <c r="W779">
        <v>0</v>
      </c>
      <c r="X779">
        <v>1</v>
      </c>
      <c r="Y779">
        <v>0</v>
      </c>
      <c r="Z779" t="s">
        <v>68</v>
      </c>
      <c r="AA779" t="s">
        <v>78</v>
      </c>
      <c r="AB779" t="str" cm="1">
        <f t="array" ref="AB779">_xlfn.IFS(cleaned_data[[#This Row],[YearsAtCompany]]&lt;=5, "0-5",cleaned_data[[#This Row],[YearsAtCompany]]&lt;=10,"6-10",TRUE,"10+")</f>
        <v>0-5</v>
      </c>
    </row>
    <row r="780" spans="1:28" x14ac:dyDescent="0.3">
      <c r="A780" s="2">
        <v>46</v>
      </c>
      <c r="B780" t="s">
        <v>43</v>
      </c>
      <c r="C780">
        <v>0</v>
      </c>
      <c r="D780" t="s">
        <v>36</v>
      </c>
      <c r="E780" t="s">
        <v>45</v>
      </c>
      <c r="F780">
        <v>8</v>
      </c>
      <c r="G780" t="s">
        <v>38</v>
      </c>
      <c r="H780" t="s">
        <v>850</v>
      </c>
      <c r="I780">
        <v>4</v>
      </c>
      <c r="J780" t="s">
        <v>39</v>
      </c>
      <c r="K780">
        <v>2</v>
      </c>
      <c r="L780">
        <v>2</v>
      </c>
      <c r="M780" t="s">
        <v>47</v>
      </c>
      <c r="N780">
        <v>1</v>
      </c>
      <c r="O780" t="s">
        <v>52</v>
      </c>
      <c r="P780" s="6">
        <v>4615</v>
      </c>
      <c r="Q780" t="s">
        <v>72</v>
      </c>
      <c r="R780" t="s">
        <v>35</v>
      </c>
      <c r="S780">
        <v>4</v>
      </c>
      <c r="T780">
        <v>19</v>
      </c>
      <c r="U780">
        <v>3</v>
      </c>
      <c r="V780">
        <v>16</v>
      </c>
      <c r="W780">
        <v>13</v>
      </c>
      <c r="X780">
        <v>1</v>
      </c>
      <c r="Y780">
        <v>7</v>
      </c>
      <c r="Z780" t="s">
        <v>106</v>
      </c>
      <c r="AA780" t="s">
        <v>82</v>
      </c>
      <c r="AB780" t="str" cm="1">
        <f t="array" ref="AB780">_xlfn.IFS(cleaned_data[[#This Row],[YearsAtCompany]]&lt;=5, "0-5",cleaned_data[[#This Row],[YearsAtCompany]]&lt;=10,"6-10",TRUE,"10+")</f>
        <v>10+</v>
      </c>
    </row>
    <row r="781" spans="1:28" x14ac:dyDescent="0.3">
      <c r="A781" s="2">
        <v>51</v>
      </c>
      <c r="B781" t="s">
        <v>35</v>
      </c>
      <c r="C781">
        <v>1</v>
      </c>
      <c r="D781" t="s">
        <v>36</v>
      </c>
      <c r="E781" t="s">
        <v>45</v>
      </c>
      <c r="F781">
        <v>4</v>
      </c>
      <c r="G781" t="s">
        <v>38</v>
      </c>
      <c r="H781" t="s">
        <v>851</v>
      </c>
      <c r="I781">
        <v>1</v>
      </c>
      <c r="J781" t="s">
        <v>46</v>
      </c>
      <c r="K781">
        <v>3</v>
      </c>
      <c r="L781">
        <v>1</v>
      </c>
      <c r="M781" t="s">
        <v>47</v>
      </c>
      <c r="N781">
        <v>3</v>
      </c>
      <c r="O781" t="s">
        <v>48</v>
      </c>
      <c r="P781" s="1">
        <v>2461</v>
      </c>
      <c r="Q781" t="s">
        <v>72</v>
      </c>
      <c r="R781" t="s">
        <v>35</v>
      </c>
      <c r="S781">
        <v>3</v>
      </c>
      <c r="T781">
        <v>18</v>
      </c>
      <c r="U781">
        <v>4</v>
      </c>
      <c r="V781">
        <v>10</v>
      </c>
      <c r="W781">
        <v>0</v>
      </c>
      <c r="X781">
        <v>2</v>
      </c>
      <c r="Y781">
        <v>7</v>
      </c>
      <c r="Z781" t="s">
        <v>106</v>
      </c>
      <c r="AA781" t="s">
        <v>82</v>
      </c>
      <c r="AB781" t="str" cm="1">
        <f t="array" ref="AB781">_xlfn.IFS(cleaned_data[[#This Row],[YearsAtCompany]]&lt;=5, "0-5",cleaned_data[[#This Row],[YearsAtCompany]]&lt;=10,"6-10",TRUE,"10+")</f>
        <v>6-10</v>
      </c>
    </row>
    <row r="782" spans="1:28" x14ac:dyDescent="0.3">
      <c r="A782" s="2">
        <v>28</v>
      </c>
      <c r="B782" t="s">
        <v>35</v>
      </c>
      <c r="C782">
        <v>1</v>
      </c>
      <c r="D782" t="s">
        <v>55</v>
      </c>
      <c r="E782" t="s">
        <v>45</v>
      </c>
      <c r="F782">
        <v>24</v>
      </c>
      <c r="G782" t="s">
        <v>60</v>
      </c>
      <c r="H782" t="s">
        <v>852</v>
      </c>
      <c r="I782">
        <v>2</v>
      </c>
      <c r="J782" t="s">
        <v>46</v>
      </c>
      <c r="K782">
        <v>2</v>
      </c>
      <c r="L782">
        <v>3</v>
      </c>
      <c r="M782" t="s">
        <v>54</v>
      </c>
      <c r="N782">
        <v>1</v>
      </c>
      <c r="O782" t="s">
        <v>41</v>
      </c>
      <c r="P782" s="6">
        <v>8722</v>
      </c>
      <c r="Q782" t="s">
        <v>67</v>
      </c>
      <c r="R782" t="s">
        <v>43</v>
      </c>
      <c r="S782">
        <v>3</v>
      </c>
      <c r="T782">
        <v>10</v>
      </c>
      <c r="U782">
        <v>2</v>
      </c>
      <c r="V782">
        <v>10</v>
      </c>
      <c r="W782">
        <v>7</v>
      </c>
      <c r="X782">
        <v>1</v>
      </c>
      <c r="Y782">
        <v>9</v>
      </c>
      <c r="Z782" t="s">
        <v>1551</v>
      </c>
      <c r="AA782" t="s">
        <v>69</v>
      </c>
      <c r="AB782" t="str" cm="1">
        <f t="array" ref="AB782">_xlfn.IFS(cleaned_data[[#This Row],[YearsAtCompany]]&lt;=5, "0-5",cleaned_data[[#This Row],[YearsAtCompany]]&lt;=10,"6-10",TRUE,"10+")</f>
        <v>6-10</v>
      </c>
    </row>
    <row r="783" spans="1:28" x14ac:dyDescent="0.3">
      <c r="A783" s="2">
        <v>26</v>
      </c>
      <c r="B783" t="s">
        <v>43</v>
      </c>
      <c r="C783">
        <v>0</v>
      </c>
      <c r="D783" t="s">
        <v>36</v>
      </c>
      <c r="E783" t="s">
        <v>45</v>
      </c>
      <c r="F783">
        <v>1</v>
      </c>
      <c r="G783" t="s">
        <v>51</v>
      </c>
      <c r="H783" t="s">
        <v>853</v>
      </c>
      <c r="I783">
        <v>1</v>
      </c>
      <c r="J783" t="s">
        <v>46</v>
      </c>
      <c r="K783">
        <v>2</v>
      </c>
      <c r="L783">
        <v>1</v>
      </c>
      <c r="M783" t="s">
        <v>50</v>
      </c>
      <c r="N783">
        <v>1</v>
      </c>
      <c r="O783" t="s">
        <v>48</v>
      </c>
      <c r="P783" s="6">
        <v>3955</v>
      </c>
      <c r="Q783" t="s">
        <v>72</v>
      </c>
      <c r="R783" t="s">
        <v>43</v>
      </c>
      <c r="S783">
        <v>3</v>
      </c>
      <c r="T783">
        <v>6</v>
      </c>
      <c r="U783">
        <v>3</v>
      </c>
      <c r="V783">
        <v>5</v>
      </c>
      <c r="W783">
        <v>3</v>
      </c>
      <c r="X783">
        <v>1</v>
      </c>
      <c r="Y783">
        <v>3</v>
      </c>
      <c r="Z783" t="s">
        <v>1551</v>
      </c>
      <c r="AA783" t="s">
        <v>69</v>
      </c>
      <c r="AB783" t="str" cm="1">
        <f t="array" ref="AB783">_xlfn.IFS(cleaned_data[[#This Row],[YearsAtCompany]]&lt;=5, "0-5",cleaned_data[[#This Row],[YearsAtCompany]]&lt;=10,"6-10",TRUE,"10+")</f>
        <v>0-5</v>
      </c>
    </row>
    <row r="784" spans="1:28" x14ac:dyDescent="0.3">
      <c r="A784" s="2">
        <v>30</v>
      </c>
      <c r="B784" t="s">
        <v>43</v>
      </c>
      <c r="C784">
        <v>0</v>
      </c>
      <c r="D784" t="s">
        <v>36</v>
      </c>
      <c r="E784" t="s">
        <v>45</v>
      </c>
      <c r="F784">
        <v>20</v>
      </c>
      <c r="G784" t="s">
        <v>49</v>
      </c>
      <c r="H784" t="s">
        <v>854</v>
      </c>
      <c r="I784">
        <v>3</v>
      </c>
      <c r="J784" t="s">
        <v>46</v>
      </c>
      <c r="K784">
        <v>3</v>
      </c>
      <c r="L784">
        <v>2</v>
      </c>
      <c r="M784" t="s">
        <v>53</v>
      </c>
      <c r="N784">
        <v>1</v>
      </c>
      <c r="O784" t="s">
        <v>48</v>
      </c>
      <c r="P784" s="6">
        <v>9957</v>
      </c>
      <c r="Q784" t="s">
        <v>67</v>
      </c>
      <c r="R784" t="s">
        <v>43</v>
      </c>
      <c r="S784">
        <v>3</v>
      </c>
      <c r="T784">
        <v>7</v>
      </c>
      <c r="U784">
        <v>2</v>
      </c>
      <c r="V784">
        <v>6</v>
      </c>
      <c r="W784">
        <v>2</v>
      </c>
      <c r="X784">
        <v>0</v>
      </c>
      <c r="Y784">
        <v>2</v>
      </c>
      <c r="Z784" t="s">
        <v>1551</v>
      </c>
      <c r="AA784" t="s">
        <v>69</v>
      </c>
      <c r="AB784" t="str" cm="1">
        <f t="array" ref="AB784">_xlfn.IFS(cleaned_data[[#This Row],[YearsAtCompany]]&lt;=5, "0-5",cleaned_data[[#This Row],[YearsAtCompany]]&lt;=10,"6-10",TRUE,"10+")</f>
        <v>6-10</v>
      </c>
    </row>
    <row r="785" spans="1:28" x14ac:dyDescent="0.3">
      <c r="A785" s="2">
        <v>41</v>
      </c>
      <c r="B785" t="s">
        <v>43</v>
      </c>
      <c r="C785">
        <v>0</v>
      </c>
      <c r="D785" t="s">
        <v>36</v>
      </c>
      <c r="E785" t="s">
        <v>45</v>
      </c>
      <c r="F785">
        <v>7</v>
      </c>
      <c r="G785" t="s">
        <v>60</v>
      </c>
      <c r="H785" t="s">
        <v>855</v>
      </c>
      <c r="I785">
        <v>2</v>
      </c>
      <c r="J785" t="s">
        <v>39</v>
      </c>
      <c r="K785">
        <v>4</v>
      </c>
      <c r="L785">
        <v>1</v>
      </c>
      <c r="M785" t="s">
        <v>47</v>
      </c>
      <c r="N785">
        <v>3</v>
      </c>
      <c r="O785" t="s">
        <v>48</v>
      </c>
      <c r="P785" s="1">
        <v>3376</v>
      </c>
      <c r="Q785" t="s">
        <v>72</v>
      </c>
      <c r="R785" t="s">
        <v>43</v>
      </c>
      <c r="S785">
        <v>3</v>
      </c>
      <c r="T785">
        <v>10</v>
      </c>
      <c r="U785">
        <v>3</v>
      </c>
      <c r="V785">
        <v>10</v>
      </c>
      <c r="W785">
        <v>6</v>
      </c>
      <c r="X785">
        <v>0</v>
      </c>
      <c r="Y785">
        <v>8</v>
      </c>
      <c r="Z785" t="s">
        <v>1550</v>
      </c>
      <c r="AA785" t="s">
        <v>69</v>
      </c>
      <c r="AB785" t="str" cm="1">
        <f t="array" ref="AB785">_xlfn.IFS(cleaned_data[[#This Row],[YearsAtCompany]]&lt;=5, "0-5",cleaned_data[[#This Row],[YearsAtCompany]]&lt;=10,"6-10",TRUE,"10+")</f>
        <v>6-10</v>
      </c>
    </row>
    <row r="786" spans="1:28" x14ac:dyDescent="0.3">
      <c r="A786" s="2">
        <v>38</v>
      </c>
      <c r="B786" t="s">
        <v>43</v>
      </c>
      <c r="C786">
        <v>0</v>
      </c>
      <c r="D786" t="s">
        <v>36</v>
      </c>
      <c r="E786" t="s">
        <v>45</v>
      </c>
      <c r="F786">
        <v>17</v>
      </c>
      <c r="G786" t="s">
        <v>38</v>
      </c>
      <c r="H786" t="s">
        <v>856</v>
      </c>
      <c r="I786">
        <v>3</v>
      </c>
      <c r="J786" t="s">
        <v>39</v>
      </c>
      <c r="K786">
        <v>2</v>
      </c>
      <c r="L786">
        <v>3</v>
      </c>
      <c r="M786" t="s">
        <v>54</v>
      </c>
      <c r="N786">
        <v>3</v>
      </c>
      <c r="O786" t="s">
        <v>48</v>
      </c>
      <c r="P786" s="1">
        <v>8823</v>
      </c>
      <c r="Q786" t="s">
        <v>67</v>
      </c>
      <c r="R786" t="s">
        <v>43</v>
      </c>
      <c r="S786">
        <v>3</v>
      </c>
      <c r="T786">
        <v>20</v>
      </c>
      <c r="U786">
        <v>2</v>
      </c>
      <c r="V786">
        <v>19</v>
      </c>
      <c r="W786">
        <v>9</v>
      </c>
      <c r="X786">
        <v>1</v>
      </c>
      <c r="Y786">
        <v>9</v>
      </c>
      <c r="Z786" t="s">
        <v>1550</v>
      </c>
      <c r="AA786" t="s">
        <v>82</v>
      </c>
      <c r="AB786" t="str" cm="1">
        <f t="array" ref="AB786">_xlfn.IFS(cleaned_data[[#This Row],[YearsAtCompany]]&lt;=5, "0-5",cleaned_data[[#This Row],[YearsAtCompany]]&lt;=10,"6-10",TRUE,"10+")</f>
        <v>10+</v>
      </c>
    </row>
    <row r="787" spans="1:28" x14ac:dyDescent="0.3">
      <c r="A787" s="2">
        <v>40</v>
      </c>
      <c r="B787" t="s">
        <v>43</v>
      </c>
      <c r="C787">
        <v>0</v>
      </c>
      <c r="D787" t="s">
        <v>36</v>
      </c>
      <c r="E787" t="s">
        <v>45</v>
      </c>
      <c r="F787">
        <v>20</v>
      </c>
      <c r="G787" t="s">
        <v>60</v>
      </c>
      <c r="H787" t="s">
        <v>857</v>
      </c>
      <c r="I787">
        <v>1</v>
      </c>
      <c r="J787" t="s">
        <v>46</v>
      </c>
      <c r="K787">
        <v>3</v>
      </c>
      <c r="L787">
        <v>3</v>
      </c>
      <c r="M787" t="s">
        <v>54</v>
      </c>
      <c r="N787">
        <v>4</v>
      </c>
      <c r="O787" t="s">
        <v>48</v>
      </c>
      <c r="P787" s="1">
        <v>10322</v>
      </c>
      <c r="Q787" t="s">
        <v>67</v>
      </c>
      <c r="R787" t="s">
        <v>43</v>
      </c>
      <c r="S787">
        <v>4</v>
      </c>
      <c r="T787">
        <v>14</v>
      </c>
      <c r="U787">
        <v>3</v>
      </c>
      <c r="V787">
        <v>11</v>
      </c>
      <c r="W787">
        <v>10</v>
      </c>
      <c r="X787">
        <v>11</v>
      </c>
      <c r="Y787">
        <v>1</v>
      </c>
      <c r="Z787" t="s">
        <v>1550</v>
      </c>
      <c r="AA787" t="s">
        <v>69</v>
      </c>
      <c r="AB787" t="str" cm="1">
        <f t="array" ref="AB787">_xlfn.IFS(cleaned_data[[#This Row],[YearsAtCompany]]&lt;=5, "0-5",cleaned_data[[#This Row],[YearsAtCompany]]&lt;=10,"6-10",TRUE,"10+")</f>
        <v>10+</v>
      </c>
    </row>
    <row r="788" spans="1:28" x14ac:dyDescent="0.3">
      <c r="A788" s="2">
        <v>27</v>
      </c>
      <c r="B788" t="s">
        <v>43</v>
      </c>
      <c r="C788">
        <v>0</v>
      </c>
      <c r="D788" t="s">
        <v>55</v>
      </c>
      <c r="E788" t="s">
        <v>45</v>
      </c>
      <c r="F788">
        <v>8</v>
      </c>
      <c r="G788" t="s">
        <v>38</v>
      </c>
      <c r="H788" t="s">
        <v>858</v>
      </c>
      <c r="I788">
        <v>1</v>
      </c>
      <c r="J788" t="s">
        <v>46</v>
      </c>
      <c r="K788">
        <v>1</v>
      </c>
      <c r="L788">
        <v>1</v>
      </c>
      <c r="M788" t="s">
        <v>50</v>
      </c>
      <c r="N788">
        <v>3</v>
      </c>
      <c r="O788" t="s">
        <v>48</v>
      </c>
      <c r="P788" s="1">
        <v>4621</v>
      </c>
      <c r="Q788" t="s">
        <v>72</v>
      </c>
      <c r="R788" t="s">
        <v>43</v>
      </c>
      <c r="S788">
        <v>3</v>
      </c>
      <c r="T788">
        <v>3</v>
      </c>
      <c r="U788">
        <v>3</v>
      </c>
      <c r="V788">
        <v>3</v>
      </c>
      <c r="W788">
        <v>2</v>
      </c>
      <c r="X788">
        <v>1</v>
      </c>
      <c r="Y788">
        <v>2</v>
      </c>
      <c r="Z788" t="s">
        <v>1551</v>
      </c>
      <c r="AA788" t="s">
        <v>78</v>
      </c>
      <c r="AB788" t="str" cm="1">
        <f t="array" ref="AB788">_xlfn.IFS(cleaned_data[[#This Row],[YearsAtCompany]]&lt;=5, "0-5",cleaned_data[[#This Row],[YearsAtCompany]]&lt;=10,"6-10",TRUE,"10+")</f>
        <v>0-5</v>
      </c>
    </row>
    <row r="789" spans="1:28" x14ac:dyDescent="0.3">
      <c r="A789" s="2">
        <v>55</v>
      </c>
      <c r="B789" t="s">
        <v>43</v>
      </c>
      <c r="C789">
        <v>0</v>
      </c>
      <c r="D789" t="s">
        <v>44</v>
      </c>
      <c r="E789" t="s">
        <v>45</v>
      </c>
      <c r="F789">
        <v>2</v>
      </c>
      <c r="G789" t="s">
        <v>38</v>
      </c>
      <c r="H789" t="s">
        <v>859</v>
      </c>
      <c r="I789">
        <v>4</v>
      </c>
      <c r="J789" t="s">
        <v>46</v>
      </c>
      <c r="K789">
        <v>3</v>
      </c>
      <c r="L789">
        <v>3</v>
      </c>
      <c r="M789" t="s">
        <v>53</v>
      </c>
      <c r="N789">
        <v>2</v>
      </c>
      <c r="O789" t="s">
        <v>48</v>
      </c>
      <c r="P789" s="1">
        <v>10976</v>
      </c>
      <c r="Q789" t="s">
        <v>67</v>
      </c>
      <c r="R789" t="s">
        <v>43</v>
      </c>
      <c r="S789">
        <v>3</v>
      </c>
      <c r="T789">
        <v>23</v>
      </c>
      <c r="U789">
        <v>3</v>
      </c>
      <c r="V789">
        <v>3</v>
      </c>
      <c r="W789">
        <v>2</v>
      </c>
      <c r="X789">
        <v>1</v>
      </c>
      <c r="Y789">
        <v>2</v>
      </c>
      <c r="Z789" t="s">
        <v>106</v>
      </c>
      <c r="AA789" t="s">
        <v>82</v>
      </c>
      <c r="AB789" t="str" cm="1">
        <f t="array" ref="AB789">_xlfn.IFS(cleaned_data[[#This Row],[YearsAtCompany]]&lt;=5, "0-5",cleaned_data[[#This Row],[YearsAtCompany]]&lt;=10,"6-10",TRUE,"10+")</f>
        <v>0-5</v>
      </c>
    </row>
    <row r="790" spans="1:28" x14ac:dyDescent="0.3">
      <c r="A790" s="2">
        <v>28</v>
      </c>
      <c r="B790" t="s">
        <v>43</v>
      </c>
      <c r="C790">
        <v>0</v>
      </c>
      <c r="D790" t="s">
        <v>36</v>
      </c>
      <c r="E790" t="s">
        <v>45</v>
      </c>
      <c r="F790">
        <v>10</v>
      </c>
      <c r="G790" t="s">
        <v>49</v>
      </c>
      <c r="H790" t="s">
        <v>860</v>
      </c>
      <c r="I790">
        <v>3</v>
      </c>
      <c r="J790" t="s">
        <v>39</v>
      </c>
      <c r="K790">
        <v>3</v>
      </c>
      <c r="L790">
        <v>2</v>
      </c>
      <c r="M790" t="s">
        <v>47</v>
      </c>
      <c r="N790">
        <v>3</v>
      </c>
      <c r="O790" t="s">
        <v>41</v>
      </c>
      <c r="P790" s="1">
        <v>3660</v>
      </c>
      <c r="Q790" t="s">
        <v>72</v>
      </c>
      <c r="R790" t="s">
        <v>43</v>
      </c>
      <c r="S790">
        <v>3</v>
      </c>
      <c r="T790">
        <v>10</v>
      </c>
      <c r="U790">
        <v>4</v>
      </c>
      <c r="V790">
        <v>8</v>
      </c>
      <c r="W790">
        <v>7</v>
      </c>
      <c r="X790">
        <v>1</v>
      </c>
      <c r="Y790">
        <v>7</v>
      </c>
      <c r="Z790" t="s">
        <v>1551</v>
      </c>
      <c r="AA790" t="s">
        <v>69</v>
      </c>
      <c r="AB790" t="str" cm="1">
        <f t="array" ref="AB790">_xlfn.IFS(cleaned_data[[#This Row],[YearsAtCompany]]&lt;=5, "0-5",cleaned_data[[#This Row],[YearsAtCompany]]&lt;=10,"6-10",TRUE,"10+")</f>
        <v>6-10</v>
      </c>
    </row>
    <row r="791" spans="1:28" x14ac:dyDescent="0.3">
      <c r="A791" s="2">
        <v>44</v>
      </c>
      <c r="B791" t="s">
        <v>35</v>
      </c>
      <c r="C791">
        <v>1</v>
      </c>
      <c r="D791" t="s">
        <v>36</v>
      </c>
      <c r="E791" t="s">
        <v>61</v>
      </c>
      <c r="F791">
        <v>1</v>
      </c>
      <c r="G791" t="s">
        <v>51</v>
      </c>
      <c r="H791" t="s">
        <v>861</v>
      </c>
      <c r="I791">
        <v>2</v>
      </c>
      <c r="J791" t="s">
        <v>46</v>
      </c>
      <c r="K791">
        <v>2</v>
      </c>
      <c r="L791">
        <v>3</v>
      </c>
      <c r="M791" t="s">
        <v>61</v>
      </c>
      <c r="N791">
        <v>1</v>
      </c>
      <c r="O791" t="s">
        <v>48</v>
      </c>
      <c r="P791" s="6">
        <v>10482</v>
      </c>
      <c r="Q791" t="s">
        <v>67</v>
      </c>
      <c r="R791" t="s">
        <v>43</v>
      </c>
      <c r="S791">
        <v>3</v>
      </c>
      <c r="T791">
        <v>24</v>
      </c>
      <c r="U791">
        <v>3</v>
      </c>
      <c r="V791">
        <v>20</v>
      </c>
      <c r="W791">
        <v>6</v>
      </c>
      <c r="X791">
        <v>3</v>
      </c>
      <c r="Y791">
        <v>6</v>
      </c>
      <c r="Z791" t="s">
        <v>1550</v>
      </c>
      <c r="AA791" t="s">
        <v>82</v>
      </c>
      <c r="AB791" t="str" cm="1">
        <f t="array" ref="AB791">_xlfn.IFS(cleaned_data[[#This Row],[YearsAtCompany]]&lt;=5, "0-5",cleaned_data[[#This Row],[YearsAtCompany]]&lt;=10,"6-10",TRUE,"10+")</f>
        <v>10+</v>
      </c>
    </row>
    <row r="792" spans="1:28" x14ac:dyDescent="0.3">
      <c r="A792" s="2">
        <v>33</v>
      </c>
      <c r="B792" t="s">
        <v>43</v>
      </c>
      <c r="C792">
        <v>0</v>
      </c>
      <c r="D792" t="s">
        <v>36</v>
      </c>
      <c r="E792" t="s">
        <v>45</v>
      </c>
      <c r="F792">
        <v>5</v>
      </c>
      <c r="G792" t="s">
        <v>38</v>
      </c>
      <c r="H792" t="s">
        <v>862</v>
      </c>
      <c r="I792">
        <v>4</v>
      </c>
      <c r="J792" t="s">
        <v>46</v>
      </c>
      <c r="K792">
        <v>2</v>
      </c>
      <c r="L792">
        <v>3</v>
      </c>
      <c r="M792" t="s">
        <v>54</v>
      </c>
      <c r="N792">
        <v>4</v>
      </c>
      <c r="O792" t="s">
        <v>52</v>
      </c>
      <c r="P792" s="1">
        <v>7119</v>
      </c>
      <c r="Q792" t="s">
        <v>67</v>
      </c>
      <c r="R792" t="s">
        <v>43</v>
      </c>
      <c r="S792">
        <v>3</v>
      </c>
      <c r="T792">
        <v>9</v>
      </c>
      <c r="U792">
        <v>3</v>
      </c>
      <c r="V792">
        <v>3</v>
      </c>
      <c r="W792">
        <v>2</v>
      </c>
      <c r="X792">
        <v>1</v>
      </c>
      <c r="Y792">
        <v>2</v>
      </c>
      <c r="Z792" t="s">
        <v>1551</v>
      </c>
      <c r="AA792" t="s">
        <v>69</v>
      </c>
      <c r="AB792" t="str" cm="1">
        <f t="array" ref="AB792">_xlfn.IFS(cleaned_data[[#This Row],[YearsAtCompany]]&lt;=5, "0-5",cleaned_data[[#This Row],[YearsAtCompany]]&lt;=10,"6-10",TRUE,"10+")</f>
        <v>0-5</v>
      </c>
    </row>
    <row r="793" spans="1:28" x14ac:dyDescent="0.3">
      <c r="A793" s="2">
        <v>35</v>
      </c>
      <c r="B793" t="s">
        <v>35</v>
      </c>
      <c r="C793">
        <v>1</v>
      </c>
      <c r="D793" t="s">
        <v>36</v>
      </c>
      <c r="E793" t="s">
        <v>37</v>
      </c>
      <c r="F793">
        <v>4</v>
      </c>
      <c r="G793" t="s">
        <v>60</v>
      </c>
      <c r="H793" t="s">
        <v>863</v>
      </c>
      <c r="I793">
        <v>4</v>
      </c>
      <c r="J793" t="s">
        <v>46</v>
      </c>
      <c r="K793">
        <v>3</v>
      </c>
      <c r="L793">
        <v>3</v>
      </c>
      <c r="M793" t="s">
        <v>40</v>
      </c>
      <c r="N793">
        <v>1</v>
      </c>
      <c r="O793" t="s">
        <v>41</v>
      </c>
      <c r="P793" s="6">
        <v>9582</v>
      </c>
      <c r="Q793" t="s">
        <v>67</v>
      </c>
      <c r="R793" t="s">
        <v>35</v>
      </c>
      <c r="S793">
        <v>4</v>
      </c>
      <c r="T793">
        <v>9</v>
      </c>
      <c r="U793">
        <v>3</v>
      </c>
      <c r="V793">
        <v>8</v>
      </c>
      <c r="W793">
        <v>7</v>
      </c>
      <c r="X793">
        <v>4</v>
      </c>
      <c r="Y793">
        <v>7</v>
      </c>
      <c r="Z793" t="s">
        <v>1551</v>
      </c>
      <c r="AA793" t="s">
        <v>69</v>
      </c>
      <c r="AB793" t="str" cm="1">
        <f t="array" ref="AB793">_xlfn.IFS(cleaned_data[[#This Row],[YearsAtCompany]]&lt;=5, "0-5",cleaned_data[[#This Row],[YearsAtCompany]]&lt;=10,"6-10",TRUE,"10+")</f>
        <v>6-10</v>
      </c>
    </row>
    <row r="794" spans="1:28" x14ac:dyDescent="0.3">
      <c r="A794" s="2">
        <v>33</v>
      </c>
      <c r="B794" t="s">
        <v>35</v>
      </c>
      <c r="C794">
        <v>1</v>
      </c>
      <c r="D794" t="s">
        <v>44</v>
      </c>
      <c r="E794" t="s">
        <v>45</v>
      </c>
      <c r="F794">
        <v>29</v>
      </c>
      <c r="G794" t="s">
        <v>51</v>
      </c>
      <c r="H794" t="s">
        <v>864</v>
      </c>
      <c r="I794">
        <v>1</v>
      </c>
      <c r="J794" t="s">
        <v>39</v>
      </c>
      <c r="K794">
        <v>2</v>
      </c>
      <c r="L794">
        <v>2</v>
      </c>
      <c r="M794" t="s">
        <v>47</v>
      </c>
      <c r="N794">
        <v>3</v>
      </c>
      <c r="O794" t="s">
        <v>41</v>
      </c>
      <c r="P794" s="1">
        <v>4508</v>
      </c>
      <c r="Q794" t="s">
        <v>72</v>
      </c>
      <c r="R794" t="s">
        <v>43</v>
      </c>
      <c r="S794">
        <v>4</v>
      </c>
      <c r="T794">
        <v>14</v>
      </c>
      <c r="U794">
        <v>3</v>
      </c>
      <c r="V794">
        <v>13</v>
      </c>
      <c r="W794">
        <v>7</v>
      </c>
      <c r="X794">
        <v>3</v>
      </c>
      <c r="Y794">
        <v>8</v>
      </c>
      <c r="Z794" t="s">
        <v>1551</v>
      </c>
      <c r="AA794" t="s">
        <v>69</v>
      </c>
      <c r="AB794" t="str" cm="1">
        <f t="array" ref="AB794">_xlfn.IFS(cleaned_data[[#This Row],[YearsAtCompany]]&lt;=5, "0-5",cleaned_data[[#This Row],[YearsAtCompany]]&lt;=10,"6-10",TRUE,"10+")</f>
        <v>10+</v>
      </c>
    </row>
    <row r="795" spans="1:28" x14ac:dyDescent="0.3">
      <c r="A795" s="2">
        <v>28</v>
      </c>
      <c r="B795" t="s">
        <v>43</v>
      </c>
      <c r="C795">
        <v>0</v>
      </c>
      <c r="D795" t="s">
        <v>36</v>
      </c>
      <c r="E795" t="s">
        <v>45</v>
      </c>
      <c r="F795">
        <v>15</v>
      </c>
      <c r="G795" t="s">
        <v>38</v>
      </c>
      <c r="H795" t="s">
        <v>865</v>
      </c>
      <c r="I795">
        <v>1</v>
      </c>
      <c r="J795" t="s">
        <v>46</v>
      </c>
      <c r="K795">
        <v>3</v>
      </c>
      <c r="L795">
        <v>1</v>
      </c>
      <c r="M795" t="s">
        <v>50</v>
      </c>
      <c r="N795">
        <v>3</v>
      </c>
      <c r="O795" t="s">
        <v>52</v>
      </c>
      <c r="P795" s="1">
        <v>2207</v>
      </c>
      <c r="Q795" t="s">
        <v>72</v>
      </c>
      <c r="R795" t="s">
        <v>43</v>
      </c>
      <c r="S795">
        <v>3</v>
      </c>
      <c r="T795">
        <v>4</v>
      </c>
      <c r="U795">
        <v>2</v>
      </c>
      <c r="V795">
        <v>4</v>
      </c>
      <c r="W795">
        <v>2</v>
      </c>
      <c r="X795">
        <v>2</v>
      </c>
      <c r="Y795">
        <v>2</v>
      </c>
      <c r="Z795" t="s">
        <v>1551</v>
      </c>
      <c r="AA795" t="s">
        <v>78</v>
      </c>
      <c r="AB795" t="str" cm="1">
        <f t="array" ref="AB795">_xlfn.IFS(cleaned_data[[#This Row],[YearsAtCompany]]&lt;=5, "0-5",cleaned_data[[#This Row],[YearsAtCompany]]&lt;=10,"6-10",TRUE,"10+")</f>
        <v>0-5</v>
      </c>
    </row>
    <row r="796" spans="1:28" x14ac:dyDescent="0.3">
      <c r="A796" s="2">
        <v>34</v>
      </c>
      <c r="B796" t="s">
        <v>43</v>
      </c>
      <c r="C796">
        <v>0</v>
      </c>
      <c r="D796" t="s">
        <v>44</v>
      </c>
      <c r="E796" t="s">
        <v>45</v>
      </c>
      <c r="F796">
        <v>3</v>
      </c>
      <c r="G796" t="s">
        <v>38</v>
      </c>
      <c r="H796" t="s">
        <v>866</v>
      </c>
      <c r="I796">
        <v>1</v>
      </c>
      <c r="J796" t="s">
        <v>46</v>
      </c>
      <c r="K796">
        <v>3</v>
      </c>
      <c r="L796">
        <v>2</v>
      </c>
      <c r="M796" t="s">
        <v>54</v>
      </c>
      <c r="N796">
        <v>4</v>
      </c>
      <c r="O796" t="s">
        <v>41</v>
      </c>
      <c r="P796" s="1">
        <v>7756</v>
      </c>
      <c r="Q796" t="s">
        <v>67</v>
      </c>
      <c r="R796" t="s">
        <v>43</v>
      </c>
      <c r="S796">
        <v>3</v>
      </c>
      <c r="T796">
        <v>7</v>
      </c>
      <c r="U796">
        <v>2</v>
      </c>
      <c r="V796">
        <v>6</v>
      </c>
      <c r="W796">
        <v>2</v>
      </c>
      <c r="X796">
        <v>0</v>
      </c>
      <c r="Y796">
        <v>4</v>
      </c>
      <c r="Z796" t="s">
        <v>1551</v>
      </c>
      <c r="AA796" t="s">
        <v>69</v>
      </c>
      <c r="AB796" t="str" cm="1">
        <f t="array" ref="AB796">_xlfn.IFS(cleaned_data[[#This Row],[YearsAtCompany]]&lt;=5, "0-5",cleaned_data[[#This Row],[YearsAtCompany]]&lt;=10,"6-10",TRUE,"10+")</f>
        <v>6-10</v>
      </c>
    </row>
    <row r="797" spans="1:28" x14ac:dyDescent="0.3">
      <c r="A797" s="2">
        <v>37</v>
      </c>
      <c r="B797" t="s">
        <v>43</v>
      </c>
      <c r="C797">
        <v>0</v>
      </c>
      <c r="D797" t="s">
        <v>36</v>
      </c>
      <c r="E797" t="s">
        <v>37</v>
      </c>
      <c r="F797">
        <v>10</v>
      </c>
      <c r="G797" t="s">
        <v>38</v>
      </c>
      <c r="H797" t="s">
        <v>867</v>
      </c>
      <c r="I797">
        <v>4</v>
      </c>
      <c r="J797" t="s">
        <v>39</v>
      </c>
      <c r="K797">
        <v>2</v>
      </c>
      <c r="L797">
        <v>2</v>
      </c>
      <c r="M797" t="s">
        <v>40</v>
      </c>
      <c r="N797">
        <v>4</v>
      </c>
      <c r="O797" t="s">
        <v>52</v>
      </c>
      <c r="P797" s="1">
        <v>6694</v>
      </c>
      <c r="Q797" t="s">
        <v>67</v>
      </c>
      <c r="R797" t="s">
        <v>35</v>
      </c>
      <c r="S797">
        <v>3</v>
      </c>
      <c r="T797">
        <v>8</v>
      </c>
      <c r="U797">
        <v>3</v>
      </c>
      <c r="V797">
        <v>1</v>
      </c>
      <c r="W797">
        <v>0</v>
      </c>
      <c r="X797">
        <v>0</v>
      </c>
      <c r="Y797">
        <v>0</v>
      </c>
      <c r="Z797" t="s">
        <v>1550</v>
      </c>
      <c r="AA797" t="s">
        <v>69</v>
      </c>
      <c r="AB797" t="str" cm="1">
        <f t="array" ref="AB797">_xlfn.IFS(cleaned_data[[#This Row],[YearsAtCompany]]&lt;=5, "0-5",cleaned_data[[#This Row],[YearsAtCompany]]&lt;=10,"6-10",TRUE,"10+")</f>
        <v>0-5</v>
      </c>
    </row>
    <row r="798" spans="1:28" x14ac:dyDescent="0.3">
      <c r="A798" s="2">
        <v>25</v>
      </c>
      <c r="B798" t="s">
        <v>35</v>
      </c>
      <c r="C798">
        <v>1</v>
      </c>
      <c r="D798" t="s">
        <v>36</v>
      </c>
      <c r="E798" t="s">
        <v>45</v>
      </c>
      <c r="F798">
        <v>4</v>
      </c>
      <c r="G798" t="s">
        <v>60</v>
      </c>
      <c r="H798" t="s">
        <v>868</v>
      </c>
      <c r="I798">
        <v>4</v>
      </c>
      <c r="J798" t="s">
        <v>46</v>
      </c>
      <c r="K798">
        <v>3</v>
      </c>
      <c r="L798">
        <v>1</v>
      </c>
      <c r="M798" t="s">
        <v>50</v>
      </c>
      <c r="N798">
        <v>4</v>
      </c>
      <c r="O798" t="s">
        <v>48</v>
      </c>
      <c r="P798" s="1">
        <v>3691</v>
      </c>
      <c r="Q798" t="s">
        <v>72</v>
      </c>
      <c r="R798" t="s">
        <v>35</v>
      </c>
      <c r="S798">
        <v>3</v>
      </c>
      <c r="T798">
        <v>7</v>
      </c>
      <c r="U798">
        <v>4</v>
      </c>
      <c r="V798">
        <v>7</v>
      </c>
      <c r="W798">
        <v>7</v>
      </c>
      <c r="X798">
        <v>5</v>
      </c>
      <c r="Y798">
        <v>6</v>
      </c>
      <c r="Z798" t="s">
        <v>68</v>
      </c>
      <c r="AA798" t="s">
        <v>69</v>
      </c>
      <c r="AB798" t="str" cm="1">
        <f t="array" ref="AB798">_xlfn.IFS(cleaned_data[[#This Row],[YearsAtCompany]]&lt;=5, "0-5",cleaned_data[[#This Row],[YearsAtCompany]]&lt;=10,"6-10",TRUE,"10+")</f>
        <v>6-10</v>
      </c>
    </row>
    <row r="799" spans="1:28" x14ac:dyDescent="0.3">
      <c r="A799" s="2">
        <v>26</v>
      </c>
      <c r="B799" t="s">
        <v>35</v>
      </c>
      <c r="C799">
        <v>1</v>
      </c>
      <c r="D799" t="s">
        <v>36</v>
      </c>
      <c r="E799" t="s">
        <v>45</v>
      </c>
      <c r="F799">
        <v>21</v>
      </c>
      <c r="G799" t="s">
        <v>51</v>
      </c>
      <c r="H799" t="s">
        <v>869</v>
      </c>
      <c r="I799">
        <v>1</v>
      </c>
      <c r="J799" t="s">
        <v>46</v>
      </c>
      <c r="K799">
        <v>3</v>
      </c>
      <c r="L799">
        <v>1</v>
      </c>
      <c r="M799" t="s">
        <v>50</v>
      </c>
      <c r="N799">
        <v>3</v>
      </c>
      <c r="O799" t="s">
        <v>52</v>
      </c>
      <c r="P799" s="1">
        <v>2377</v>
      </c>
      <c r="Q799" t="s">
        <v>72</v>
      </c>
      <c r="R799" t="s">
        <v>43</v>
      </c>
      <c r="S799">
        <v>4</v>
      </c>
      <c r="T799">
        <v>1</v>
      </c>
      <c r="U799">
        <v>2</v>
      </c>
      <c r="V799">
        <v>1</v>
      </c>
      <c r="W799">
        <v>1</v>
      </c>
      <c r="X799">
        <v>0</v>
      </c>
      <c r="Y799">
        <v>0</v>
      </c>
      <c r="Z799" t="s">
        <v>1551</v>
      </c>
      <c r="AA799" t="s">
        <v>78</v>
      </c>
      <c r="AB799" t="str" cm="1">
        <f t="array" ref="AB799">_xlfn.IFS(cleaned_data[[#This Row],[YearsAtCompany]]&lt;=5, "0-5",cleaned_data[[#This Row],[YearsAtCompany]]&lt;=10,"6-10",TRUE,"10+")</f>
        <v>0-5</v>
      </c>
    </row>
    <row r="800" spans="1:28" x14ac:dyDescent="0.3">
      <c r="A800" s="2">
        <v>33</v>
      </c>
      <c r="B800" t="s">
        <v>35</v>
      </c>
      <c r="C800">
        <v>1</v>
      </c>
      <c r="D800" t="s">
        <v>36</v>
      </c>
      <c r="E800" t="s">
        <v>45</v>
      </c>
      <c r="F800">
        <v>25</v>
      </c>
      <c r="G800" t="s">
        <v>51</v>
      </c>
      <c r="H800" t="s">
        <v>870</v>
      </c>
      <c r="I800">
        <v>1</v>
      </c>
      <c r="J800" t="s">
        <v>46</v>
      </c>
      <c r="K800">
        <v>2</v>
      </c>
      <c r="L800">
        <v>1</v>
      </c>
      <c r="M800" t="s">
        <v>47</v>
      </c>
      <c r="N800">
        <v>2</v>
      </c>
      <c r="O800" t="s">
        <v>41</v>
      </c>
      <c r="P800" s="1">
        <v>2313</v>
      </c>
      <c r="Q800" t="s">
        <v>72</v>
      </c>
      <c r="R800" t="s">
        <v>35</v>
      </c>
      <c r="S800">
        <v>4</v>
      </c>
      <c r="T800">
        <v>5</v>
      </c>
      <c r="U800">
        <v>3</v>
      </c>
      <c r="V800">
        <v>2</v>
      </c>
      <c r="W800">
        <v>2</v>
      </c>
      <c r="X800">
        <v>2</v>
      </c>
      <c r="Y800">
        <v>2</v>
      </c>
      <c r="Z800" t="s">
        <v>1551</v>
      </c>
      <c r="AA800" t="s">
        <v>78</v>
      </c>
      <c r="AB800" t="str" cm="1">
        <f t="array" ref="AB800">_xlfn.IFS(cleaned_data[[#This Row],[YearsAtCompany]]&lt;=5, "0-5",cleaned_data[[#This Row],[YearsAtCompany]]&lt;=10,"6-10",TRUE,"10+")</f>
        <v>0-5</v>
      </c>
    </row>
    <row r="801" spans="1:28" x14ac:dyDescent="0.3">
      <c r="A801" s="2">
        <v>42</v>
      </c>
      <c r="B801" t="s">
        <v>43</v>
      </c>
      <c r="C801">
        <v>0</v>
      </c>
      <c r="D801" t="s">
        <v>36</v>
      </c>
      <c r="E801" t="s">
        <v>45</v>
      </c>
      <c r="F801">
        <v>2</v>
      </c>
      <c r="G801" t="s">
        <v>51</v>
      </c>
      <c r="H801" t="s">
        <v>871</v>
      </c>
      <c r="I801">
        <v>4</v>
      </c>
      <c r="J801" t="s">
        <v>46</v>
      </c>
      <c r="K801">
        <v>3</v>
      </c>
      <c r="L801">
        <v>4</v>
      </c>
      <c r="M801" t="s">
        <v>56</v>
      </c>
      <c r="N801">
        <v>1</v>
      </c>
      <c r="O801" t="s">
        <v>48</v>
      </c>
      <c r="P801" s="6">
        <v>17665</v>
      </c>
      <c r="Q801" t="s">
        <v>90</v>
      </c>
      <c r="R801" t="s">
        <v>43</v>
      </c>
      <c r="S801">
        <v>3</v>
      </c>
      <c r="T801">
        <v>23</v>
      </c>
      <c r="U801">
        <v>3</v>
      </c>
      <c r="V801">
        <v>22</v>
      </c>
      <c r="W801">
        <v>6</v>
      </c>
      <c r="X801">
        <v>13</v>
      </c>
      <c r="Y801">
        <v>7</v>
      </c>
      <c r="Z801" t="s">
        <v>1550</v>
      </c>
      <c r="AA801" t="s">
        <v>82</v>
      </c>
      <c r="AB801" t="str" cm="1">
        <f t="array" ref="AB801">_xlfn.IFS(cleaned_data[[#This Row],[YearsAtCompany]]&lt;=5, "0-5",cleaned_data[[#This Row],[YearsAtCompany]]&lt;=10,"6-10",TRUE,"10+")</f>
        <v>10+</v>
      </c>
    </row>
    <row r="802" spans="1:28" x14ac:dyDescent="0.3">
      <c r="A802" s="2">
        <v>28</v>
      </c>
      <c r="B802" t="s">
        <v>35</v>
      </c>
      <c r="C802">
        <v>1</v>
      </c>
      <c r="D802" t="s">
        <v>44</v>
      </c>
      <c r="E802" t="s">
        <v>45</v>
      </c>
      <c r="F802">
        <v>1</v>
      </c>
      <c r="G802" t="s">
        <v>51</v>
      </c>
      <c r="H802" t="s">
        <v>872</v>
      </c>
      <c r="I802">
        <v>1</v>
      </c>
      <c r="J802" t="s">
        <v>46</v>
      </c>
      <c r="K802">
        <v>2</v>
      </c>
      <c r="L802">
        <v>1</v>
      </c>
      <c r="M802" t="s">
        <v>50</v>
      </c>
      <c r="N802">
        <v>2</v>
      </c>
      <c r="O802" t="s">
        <v>52</v>
      </c>
      <c r="P802" s="1">
        <v>2596</v>
      </c>
      <c r="Q802" t="s">
        <v>72</v>
      </c>
      <c r="R802" t="s">
        <v>43</v>
      </c>
      <c r="S802">
        <v>3</v>
      </c>
      <c r="T802">
        <v>1</v>
      </c>
      <c r="U802">
        <v>3</v>
      </c>
      <c r="V802">
        <v>1</v>
      </c>
      <c r="W802">
        <v>0</v>
      </c>
      <c r="X802">
        <v>0</v>
      </c>
      <c r="Y802">
        <v>0</v>
      </c>
      <c r="Z802" t="s">
        <v>1551</v>
      </c>
      <c r="AA802" t="s">
        <v>78</v>
      </c>
      <c r="AB802" t="str" cm="1">
        <f t="array" ref="AB802">_xlfn.IFS(cleaned_data[[#This Row],[YearsAtCompany]]&lt;=5, "0-5",cleaned_data[[#This Row],[YearsAtCompany]]&lt;=10,"6-10",TRUE,"10+")</f>
        <v>0-5</v>
      </c>
    </row>
    <row r="803" spans="1:28" x14ac:dyDescent="0.3">
      <c r="A803" s="2">
        <v>50</v>
      </c>
      <c r="B803" t="s">
        <v>35</v>
      </c>
      <c r="C803">
        <v>1</v>
      </c>
      <c r="D803" t="s">
        <v>44</v>
      </c>
      <c r="E803" t="s">
        <v>37</v>
      </c>
      <c r="F803">
        <v>1</v>
      </c>
      <c r="G803" t="s">
        <v>49</v>
      </c>
      <c r="H803" t="s">
        <v>873</v>
      </c>
      <c r="I803">
        <v>4</v>
      </c>
      <c r="J803" t="s">
        <v>46</v>
      </c>
      <c r="K803">
        <v>3</v>
      </c>
      <c r="L803">
        <v>2</v>
      </c>
      <c r="M803" t="s">
        <v>40</v>
      </c>
      <c r="N803">
        <v>3</v>
      </c>
      <c r="O803" t="s">
        <v>41</v>
      </c>
      <c r="P803" s="1">
        <v>4728</v>
      </c>
      <c r="Q803" t="s">
        <v>72</v>
      </c>
      <c r="R803" t="s">
        <v>35</v>
      </c>
      <c r="S803">
        <v>3</v>
      </c>
      <c r="T803">
        <v>5</v>
      </c>
      <c r="U803">
        <v>3</v>
      </c>
      <c r="V803">
        <v>0</v>
      </c>
      <c r="W803">
        <v>0</v>
      </c>
      <c r="X803">
        <v>0</v>
      </c>
      <c r="Y803">
        <v>0</v>
      </c>
      <c r="Z803" t="s">
        <v>106</v>
      </c>
      <c r="AA803" t="s">
        <v>78</v>
      </c>
      <c r="AB803" t="str" cm="1">
        <f t="array" ref="AB803">_xlfn.IFS(cleaned_data[[#This Row],[YearsAtCompany]]&lt;=5, "0-5",cleaned_data[[#This Row],[YearsAtCompany]]&lt;=10,"6-10",TRUE,"10+")</f>
        <v>0-5</v>
      </c>
    </row>
    <row r="804" spans="1:28" x14ac:dyDescent="0.3">
      <c r="A804" s="2">
        <v>33</v>
      </c>
      <c r="B804" t="s">
        <v>43</v>
      </c>
      <c r="C804">
        <v>0</v>
      </c>
      <c r="D804" t="s">
        <v>44</v>
      </c>
      <c r="E804" t="s">
        <v>37</v>
      </c>
      <c r="F804">
        <v>7</v>
      </c>
      <c r="G804" t="s">
        <v>38</v>
      </c>
      <c r="H804" t="s">
        <v>874</v>
      </c>
      <c r="I804">
        <v>4</v>
      </c>
      <c r="J804" t="s">
        <v>39</v>
      </c>
      <c r="K804">
        <v>3</v>
      </c>
      <c r="L804">
        <v>2</v>
      </c>
      <c r="M804" t="s">
        <v>40</v>
      </c>
      <c r="N804">
        <v>2</v>
      </c>
      <c r="O804" t="s">
        <v>48</v>
      </c>
      <c r="P804" s="1">
        <v>4302</v>
      </c>
      <c r="Q804" t="s">
        <v>72</v>
      </c>
      <c r="R804" t="s">
        <v>43</v>
      </c>
      <c r="S804">
        <v>3</v>
      </c>
      <c r="T804">
        <v>4</v>
      </c>
      <c r="U804">
        <v>3</v>
      </c>
      <c r="V804">
        <v>3</v>
      </c>
      <c r="W804">
        <v>2</v>
      </c>
      <c r="X804">
        <v>0</v>
      </c>
      <c r="Y804">
        <v>2</v>
      </c>
      <c r="Z804" t="s">
        <v>1551</v>
      </c>
      <c r="AA804" t="s">
        <v>78</v>
      </c>
      <c r="AB804" t="str" cm="1">
        <f t="array" ref="AB804">_xlfn.IFS(cleaned_data[[#This Row],[YearsAtCompany]]&lt;=5, "0-5",cleaned_data[[#This Row],[YearsAtCompany]]&lt;=10,"6-10",TRUE,"10+")</f>
        <v>0-5</v>
      </c>
    </row>
    <row r="805" spans="1:28" x14ac:dyDescent="0.3">
      <c r="A805" s="2">
        <v>34</v>
      </c>
      <c r="B805" t="s">
        <v>43</v>
      </c>
      <c r="C805">
        <v>0</v>
      </c>
      <c r="D805" t="s">
        <v>55</v>
      </c>
      <c r="E805" t="s">
        <v>45</v>
      </c>
      <c r="F805">
        <v>3</v>
      </c>
      <c r="G805" t="s">
        <v>38</v>
      </c>
      <c r="H805" t="s">
        <v>875</v>
      </c>
      <c r="I805">
        <v>3</v>
      </c>
      <c r="J805" t="s">
        <v>46</v>
      </c>
      <c r="K805">
        <v>2</v>
      </c>
      <c r="L805">
        <v>1</v>
      </c>
      <c r="M805" t="s">
        <v>47</v>
      </c>
      <c r="N805">
        <v>4</v>
      </c>
      <c r="O805" t="s">
        <v>48</v>
      </c>
      <c r="P805" s="1">
        <v>2979</v>
      </c>
      <c r="Q805" t="s">
        <v>72</v>
      </c>
      <c r="R805" t="s">
        <v>43</v>
      </c>
      <c r="S805">
        <v>3</v>
      </c>
      <c r="T805">
        <v>6</v>
      </c>
      <c r="U805">
        <v>3</v>
      </c>
      <c r="V805">
        <v>0</v>
      </c>
      <c r="W805">
        <v>0</v>
      </c>
      <c r="X805">
        <v>0</v>
      </c>
      <c r="Y805">
        <v>0</v>
      </c>
      <c r="Z805" t="s">
        <v>1551</v>
      </c>
      <c r="AA805" t="s">
        <v>69</v>
      </c>
      <c r="AB805" t="str" cm="1">
        <f t="array" ref="AB805">_xlfn.IFS(cleaned_data[[#This Row],[YearsAtCompany]]&lt;=5, "0-5",cleaned_data[[#This Row],[YearsAtCompany]]&lt;=10,"6-10",TRUE,"10+")</f>
        <v>0-5</v>
      </c>
    </row>
    <row r="806" spans="1:28" x14ac:dyDescent="0.3">
      <c r="A806" s="2">
        <v>48</v>
      </c>
      <c r="B806" t="s">
        <v>43</v>
      </c>
      <c r="C806">
        <v>0</v>
      </c>
      <c r="D806" t="s">
        <v>55</v>
      </c>
      <c r="E806" t="s">
        <v>45</v>
      </c>
      <c r="F806">
        <v>1</v>
      </c>
      <c r="G806" t="s">
        <v>51</v>
      </c>
      <c r="H806" t="s">
        <v>876</v>
      </c>
      <c r="I806">
        <v>1</v>
      </c>
      <c r="J806" t="s">
        <v>46</v>
      </c>
      <c r="K806">
        <v>4</v>
      </c>
      <c r="L806">
        <v>4</v>
      </c>
      <c r="M806" t="s">
        <v>56</v>
      </c>
      <c r="N806">
        <v>4</v>
      </c>
      <c r="O806" t="s">
        <v>41</v>
      </c>
      <c r="P806" s="1">
        <v>16885</v>
      </c>
      <c r="Q806" t="s">
        <v>90</v>
      </c>
      <c r="R806" t="s">
        <v>43</v>
      </c>
      <c r="S806">
        <v>4</v>
      </c>
      <c r="T806">
        <v>27</v>
      </c>
      <c r="U806">
        <v>2</v>
      </c>
      <c r="V806">
        <v>5</v>
      </c>
      <c r="W806">
        <v>4</v>
      </c>
      <c r="X806">
        <v>2</v>
      </c>
      <c r="Y806">
        <v>1</v>
      </c>
      <c r="Z806" t="s">
        <v>106</v>
      </c>
      <c r="AA806" t="s">
        <v>82</v>
      </c>
      <c r="AB806" t="str" cm="1">
        <f t="array" ref="AB806">_xlfn.IFS(cleaned_data[[#This Row],[YearsAtCompany]]&lt;=5, "0-5",cleaned_data[[#This Row],[YearsAtCompany]]&lt;=10,"6-10",TRUE,"10+")</f>
        <v>0-5</v>
      </c>
    </row>
    <row r="807" spans="1:28" x14ac:dyDescent="0.3">
      <c r="A807" s="2">
        <v>45</v>
      </c>
      <c r="B807" t="s">
        <v>43</v>
      </c>
      <c r="C807">
        <v>0</v>
      </c>
      <c r="D807" t="s">
        <v>55</v>
      </c>
      <c r="E807" t="s">
        <v>37</v>
      </c>
      <c r="F807">
        <v>9</v>
      </c>
      <c r="G807" t="s">
        <v>38</v>
      </c>
      <c r="H807" t="s">
        <v>877</v>
      </c>
      <c r="I807">
        <v>2</v>
      </c>
      <c r="J807" t="s">
        <v>39</v>
      </c>
      <c r="K807">
        <v>2</v>
      </c>
      <c r="L807">
        <v>2</v>
      </c>
      <c r="M807" t="s">
        <v>40</v>
      </c>
      <c r="N807">
        <v>3</v>
      </c>
      <c r="O807" t="s">
        <v>48</v>
      </c>
      <c r="P807" s="1">
        <v>5593</v>
      </c>
      <c r="Q807" t="s">
        <v>67</v>
      </c>
      <c r="R807" t="s">
        <v>43</v>
      </c>
      <c r="S807">
        <v>3</v>
      </c>
      <c r="T807">
        <v>15</v>
      </c>
      <c r="U807">
        <v>3</v>
      </c>
      <c r="V807">
        <v>15</v>
      </c>
      <c r="W807">
        <v>10</v>
      </c>
      <c r="X807">
        <v>4</v>
      </c>
      <c r="Y807">
        <v>12</v>
      </c>
      <c r="Z807" t="s">
        <v>1550</v>
      </c>
      <c r="AA807" t="s">
        <v>69</v>
      </c>
      <c r="AB807" t="str" cm="1">
        <f t="array" ref="AB807">_xlfn.IFS(cleaned_data[[#This Row],[YearsAtCompany]]&lt;=5, "0-5",cleaned_data[[#This Row],[YearsAtCompany]]&lt;=10,"6-10",TRUE,"10+")</f>
        <v>10+</v>
      </c>
    </row>
    <row r="808" spans="1:28" x14ac:dyDescent="0.3">
      <c r="A808" s="2">
        <v>52</v>
      </c>
      <c r="B808" t="s">
        <v>43</v>
      </c>
      <c r="C808">
        <v>0</v>
      </c>
      <c r="D808" t="s">
        <v>36</v>
      </c>
      <c r="E808" t="s">
        <v>45</v>
      </c>
      <c r="F808">
        <v>7</v>
      </c>
      <c r="G808" t="s">
        <v>38</v>
      </c>
      <c r="H808" t="s">
        <v>878</v>
      </c>
      <c r="I808">
        <v>2</v>
      </c>
      <c r="J808" t="s">
        <v>46</v>
      </c>
      <c r="K808">
        <v>3</v>
      </c>
      <c r="L808">
        <v>3</v>
      </c>
      <c r="M808" t="s">
        <v>54</v>
      </c>
      <c r="N808">
        <v>2</v>
      </c>
      <c r="O808" t="s">
        <v>41</v>
      </c>
      <c r="P808" s="1">
        <v>10445</v>
      </c>
      <c r="Q808" t="s">
        <v>67</v>
      </c>
      <c r="R808" t="s">
        <v>43</v>
      </c>
      <c r="S808">
        <v>3</v>
      </c>
      <c r="T808">
        <v>18</v>
      </c>
      <c r="U808">
        <v>3</v>
      </c>
      <c r="V808">
        <v>8</v>
      </c>
      <c r="W808">
        <v>6</v>
      </c>
      <c r="X808">
        <v>4</v>
      </c>
      <c r="Y808">
        <v>0</v>
      </c>
      <c r="Z808" t="s">
        <v>106</v>
      </c>
      <c r="AA808" t="s">
        <v>82</v>
      </c>
      <c r="AB808" t="str" cm="1">
        <f t="array" ref="AB808">_xlfn.IFS(cleaned_data[[#This Row],[YearsAtCompany]]&lt;=5, "0-5",cleaned_data[[#This Row],[YearsAtCompany]]&lt;=10,"6-10",TRUE,"10+")</f>
        <v>6-10</v>
      </c>
    </row>
    <row r="809" spans="1:28" x14ac:dyDescent="0.3">
      <c r="A809" s="2">
        <v>38</v>
      </c>
      <c r="B809" t="s">
        <v>43</v>
      </c>
      <c r="C809">
        <v>0</v>
      </c>
      <c r="D809" t="s">
        <v>36</v>
      </c>
      <c r="E809" t="s">
        <v>37</v>
      </c>
      <c r="F809">
        <v>10</v>
      </c>
      <c r="G809" t="s">
        <v>59</v>
      </c>
      <c r="H809" t="s">
        <v>879</v>
      </c>
      <c r="I809">
        <v>3</v>
      </c>
      <c r="J809" t="s">
        <v>46</v>
      </c>
      <c r="K809">
        <v>2</v>
      </c>
      <c r="L809">
        <v>3</v>
      </c>
      <c r="M809" t="s">
        <v>40</v>
      </c>
      <c r="N809">
        <v>3</v>
      </c>
      <c r="O809" t="s">
        <v>52</v>
      </c>
      <c r="P809" s="1">
        <v>8740</v>
      </c>
      <c r="Q809" t="s">
        <v>67</v>
      </c>
      <c r="R809" t="s">
        <v>35</v>
      </c>
      <c r="S809">
        <v>3</v>
      </c>
      <c r="T809">
        <v>9</v>
      </c>
      <c r="U809">
        <v>3</v>
      </c>
      <c r="V809">
        <v>8</v>
      </c>
      <c r="W809">
        <v>7</v>
      </c>
      <c r="X809">
        <v>2</v>
      </c>
      <c r="Y809">
        <v>7</v>
      </c>
      <c r="Z809" t="s">
        <v>1550</v>
      </c>
      <c r="AA809" t="s">
        <v>69</v>
      </c>
      <c r="AB809" t="str" cm="1">
        <f t="array" ref="AB809">_xlfn.IFS(cleaned_data[[#This Row],[YearsAtCompany]]&lt;=5, "0-5",cleaned_data[[#This Row],[YearsAtCompany]]&lt;=10,"6-10",TRUE,"10+")</f>
        <v>6-10</v>
      </c>
    </row>
    <row r="810" spans="1:28" x14ac:dyDescent="0.3">
      <c r="A810" s="2">
        <v>29</v>
      </c>
      <c r="B810" t="s">
        <v>43</v>
      </c>
      <c r="C810">
        <v>0</v>
      </c>
      <c r="D810" t="s">
        <v>36</v>
      </c>
      <c r="E810" t="s">
        <v>45</v>
      </c>
      <c r="F810">
        <v>28</v>
      </c>
      <c r="G810" t="s">
        <v>38</v>
      </c>
      <c r="H810" t="s">
        <v>880</v>
      </c>
      <c r="I810">
        <v>3</v>
      </c>
      <c r="J810" t="s">
        <v>39</v>
      </c>
      <c r="K810">
        <v>3</v>
      </c>
      <c r="L810">
        <v>1</v>
      </c>
      <c r="M810" t="s">
        <v>47</v>
      </c>
      <c r="N810">
        <v>4</v>
      </c>
      <c r="O810" t="s">
        <v>52</v>
      </c>
      <c r="P810" s="1">
        <v>2514</v>
      </c>
      <c r="Q810" t="s">
        <v>72</v>
      </c>
      <c r="R810" t="s">
        <v>43</v>
      </c>
      <c r="S810">
        <v>4</v>
      </c>
      <c r="T810">
        <v>11</v>
      </c>
      <c r="U810">
        <v>3</v>
      </c>
      <c r="V810">
        <v>7</v>
      </c>
      <c r="W810">
        <v>5</v>
      </c>
      <c r="X810">
        <v>1</v>
      </c>
      <c r="Y810">
        <v>7</v>
      </c>
      <c r="Z810" t="s">
        <v>1551</v>
      </c>
      <c r="AA810" t="s">
        <v>69</v>
      </c>
      <c r="AB810" t="str" cm="1">
        <f t="array" ref="AB810">_xlfn.IFS(cleaned_data[[#This Row],[YearsAtCompany]]&lt;=5, "0-5",cleaned_data[[#This Row],[YearsAtCompany]]&lt;=10,"6-10",TRUE,"10+")</f>
        <v>6-10</v>
      </c>
    </row>
    <row r="811" spans="1:28" x14ac:dyDescent="0.3">
      <c r="A811" s="2">
        <v>28</v>
      </c>
      <c r="B811" t="s">
        <v>43</v>
      </c>
      <c r="C811">
        <v>0</v>
      </c>
      <c r="D811" t="s">
        <v>36</v>
      </c>
      <c r="E811" t="s">
        <v>45</v>
      </c>
      <c r="F811">
        <v>3</v>
      </c>
      <c r="G811" t="s">
        <v>51</v>
      </c>
      <c r="H811" t="s">
        <v>881</v>
      </c>
      <c r="I811">
        <v>4</v>
      </c>
      <c r="J811" t="s">
        <v>39</v>
      </c>
      <c r="K811">
        <v>3</v>
      </c>
      <c r="L811">
        <v>3</v>
      </c>
      <c r="M811" t="s">
        <v>53</v>
      </c>
      <c r="N811">
        <v>2</v>
      </c>
      <c r="O811" t="s">
        <v>52</v>
      </c>
      <c r="P811" s="1">
        <v>7655</v>
      </c>
      <c r="Q811" t="s">
        <v>67</v>
      </c>
      <c r="R811" t="s">
        <v>43</v>
      </c>
      <c r="S811">
        <v>3</v>
      </c>
      <c r="T811">
        <v>10</v>
      </c>
      <c r="U811">
        <v>2</v>
      </c>
      <c r="V811">
        <v>9</v>
      </c>
      <c r="W811">
        <v>7</v>
      </c>
      <c r="X811">
        <v>1</v>
      </c>
      <c r="Y811">
        <v>7</v>
      </c>
      <c r="Z811" t="s">
        <v>1551</v>
      </c>
      <c r="AA811" t="s">
        <v>69</v>
      </c>
      <c r="AB811" t="str" cm="1">
        <f t="array" ref="AB811">_xlfn.IFS(cleaned_data[[#This Row],[YearsAtCompany]]&lt;=5, "0-5",cleaned_data[[#This Row],[YearsAtCompany]]&lt;=10,"6-10",TRUE,"10+")</f>
        <v>6-10</v>
      </c>
    </row>
    <row r="812" spans="1:28" x14ac:dyDescent="0.3">
      <c r="A812" s="2">
        <v>46</v>
      </c>
      <c r="B812" t="s">
        <v>43</v>
      </c>
      <c r="C812">
        <v>0</v>
      </c>
      <c r="D812" t="s">
        <v>36</v>
      </c>
      <c r="E812" t="s">
        <v>37</v>
      </c>
      <c r="F812">
        <v>3</v>
      </c>
      <c r="G812" t="s">
        <v>59</v>
      </c>
      <c r="H812" t="s">
        <v>882</v>
      </c>
      <c r="I812">
        <v>1</v>
      </c>
      <c r="J812" t="s">
        <v>46</v>
      </c>
      <c r="K812">
        <v>3</v>
      </c>
      <c r="L812">
        <v>4</v>
      </c>
      <c r="M812" t="s">
        <v>56</v>
      </c>
      <c r="N812">
        <v>3</v>
      </c>
      <c r="O812" t="s">
        <v>48</v>
      </c>
      <c r="P812" s="1">
        <v>17465</v>
      </c>
      <c r="Q812" t="s">
        <v>90</v>
      </c>
      <c r="R812" t="s">
        <v>43</v>
      </c>
      <c r="S812">
        <v>3</v>
      </c>
      <c r="T812">
        <v>23</v>
      </c>
      <c r="U812">
        <v>3</v>
      </c>
      <c r="V812">
        <v>12</v>
      </c>
      <c r="W812">
        <v>9</v>
      </c>
      <c r="X812">
        <v>4</v>
      </c>
      <c r="Y812">
        <v>9</v>
      </c>
      <c r="Z812" t="s">
        <v>106</v>
      </c>
      <c r="AA812" t="s">
        <v>82</v>
      </c>
      <c r="AB812" t="str" cm="1">
        <f t="array" ref="AB812">_xlfn.IFS(cleaned_data[[#This Row],[YearsAtCompany]]&lt;=5, "0-5",cleaned_data[[#This Row],[YearsAtCompany]]&lt;=10,"6-10",TRUE,"10+")</f>
        <v>10+</v>
      </c>
    </row>
    <row r="813" spans="1:28" x14ac:dyDescent="0.3">
      <c r="A813" s="2">
        <v>38</v>
      </c>
      <c r="B813" t="s">
        <v>43</v>
      </c>
      <c r="C813">
        <v>0</v>
      </c>
      <c r="D813" t="s">
        <v>36</v>
      </c>
      <c r="E813" t="s">
        <v>37</v>
      </c>
      <c r="F813">
        <v>2</v>
      </c>
      <c r="G813" t="s">
        <v>59</v>
      </c>
      <c r="H813" t="s">
        <v>883</v>
      </c>
      <c r="I813">
        <v>4</v>
      </c>
      <c r="J813" t="s">
        <v>46</v>
      </c>
      <c r="K813">
        <v>3</v>
      </c>
      <c r="L813">
        <v>3</v>
      </c>
      <c r="M813" t="s">
        <v>40</v>
      </c>
      <c r="N813">
        <v>2</v>
      </c>
      <c r="O813" t="s">
        <v>41</v>
      </c>
      <c r="P813" s="1">
        <v>7351</v>
      </c>
      <c r="Q813" t="s">
        <v>67</v>
      </c>
      <c r="R813" t="s">
        <v>43</v>
      </c>
      <c r="S813">
        <v>3</v>
      </c>
      <c r="T813">
        <v>10</v>
      </c>
      <c r="U813">
        <v>3</v>
      </c>
      <c r="V813">
        <v>1</v>
      </c>
      <c r="W813">
        <v>0</v>
      </c>
      <c r="X813">
        <v>0</v>
      </c>
      <c r="Y813">
        <v>0</v>
      </c>
      <c r="Z813" t="s">
        <v>1550</v>
      </c>
      <c r="AA813" t="s">
        <v>69</v>
      </c>
      <c r="AB813" t="str" cm="1">
        <f t="array" ref="AB813">_xlfn.IFS(cleaned_data[[#This Row],[YearsAtCompany]]&lt;=5, "0-5",cleaned_data[[#This Row],[YearsAtCompany]]&lt;=10,"6-10",TRUE,"10+")</f>
        <v>0-5</v>
      </c>
    </row>
    <row r="814" spans="1:28" x14ac:dyDescent="0.3">
      <c r="A814" s="2">
        <v>43</v>
      </c>
      <c r="B814" t="s">
        <v>43</v>
      </c>
      <c r="C814">
        <v>0</v>
      </c>
      <c r="D814" t="s">
        <v>44</v>
      </c>
      <c r="E814" t="s">
        <v>45</v>
      </c>
      <c r="F814">
        <v>27</v>
      </c>
      <c r="G814" t="s">
        <v>38</v>
      </c>
      <c r="H814" t="s">
        <v>884</v>
      </c>
      <c r="I814">
        <v>3</v>
      </c>
      <c r="J814" t="s">
        <v>39</v>
      </c>
      <c r="K814">
        <v>3</v>
      </c>
      <c r="L814">
        <v>3</v>
      </c>
      <c r="M814" t="s">
        <v>53</v>
      </c>
      <c r="N814">
        <v>1</v>
      </c>
      <c r="O814" t="s">
        <v>48</v>
      </c>
      <c r="P814" s="6">
        <v>10820</v>
      </c>
      <c r="Q814" t="s">
        <v>67</v>
      </c>
      <c r="R814" t="s">
        <v>43</v>
      </c>
      <c r="S814">
        <v>3</v>
      </c>
      <c r="T814">
        <v>18</v>
      </c>
      <c r="U814">
        <v>3</v>
      </c>
      <c r="V814">
        <v>8</v>
      </c>
      <c r="W814">
        <v>7</v>
      </c>
      <c r="X814">
        <v>0</v>
      </c>
      <c r="Y814">
        <v>1</v>
      </c>
      <c r="Z814" t="s">
        <v>1550</v>
      </c>
      <c r="AA814" t="s">
        <v>82</v>
      </c>
      <c r="AB814" t="str" cm="1">
        <f t="array" ref="AB814">_xlfn.IFS(cleaned_data[[#This Row],[YearsAtCompany]]&lt;=5, "0-5",cleaned_data[[#This Row],[YearsAtCompany]]&lt;=10,"6-10",TRUE,"10+")</f>
        <v>6-10</v>
      </c>
    </row>
    <row r="815" spans="1:28" x14ac:dyDescent="0.3">
      <c r="A815" s="2">
        <v>39</v>
      </c>
      <c r="B815" t="s">
        <v>35</v>
      </c>
      <c r="C815">
        <v>1</v>
      </c>
      <c r="D815" t="s">
        <v>44</v>
      </c>
      <c r="E815" t="s">
        <v>45</v>
      </c>
      <c r="F815">
        <v>2</v>
      </c>
      <c r="G815" t="s">
        <v>38</v>
      </c>
      <c r="H815" t="s">
        <v>885</v>
      </c>
      <c r="I815">
        <v>1</v>
      </c>
      <c r="J815" t="s">
        <v>46</v>
      </c>
      <c r="K815">
        <v>3</v>
      </c>
      <c r="L815">
        <v>4</v>
      </c>
      <c r="M815" t="s">
        <v>54</v>
      </c>
      <c r="N815">
        <v>4</v>
      </c>
      <c r="O815" t="s">
        <v>52</v>
      </c>
      <c r="P815" s="1">
        <v>12169</v>
      </c>
      <c r="Q815" t="s">
        <v>90</v>
      </c>
      <c r="R815" t="s">
        <v>43</v>
      </c>
      <c r="S815">
        <v>3</v>
      </c>
      <c r="T815">
        <v>21</v>
      </c>
      <c r="U815">
        <v>3</v>
      </c>
      <c r="V815">
        <v>18</v>
      </c>
      <c r="W815">
        <v>7</v>
      </c>
      <c r="X815">
        <v>11</v>
      </c>
      <c r="Y815">
        <v>5</v>
      </c>
      <c r="Z815" t="s">
        <v>1550</v>
      </c>
      <c r="AA815" t="s">
        <v>82</v>
      </c>
      <c r="AB815" t="str" cm="1">
        <f t="array" ref="AB815">_xlfn.IFS(cleaned_data[[#This Row],[YearsAtCompany]]&lt;=5, "0-5",cleaned_data[[#This Row],[YearsAtCompany]]&lt;=10,"6-10",TRUE,"10+")</f>
        <v>10+</v>
      </c>
    </row>
    <row r="816" spans="1:28" x14ac:dyDescent="0.3">
      <c r="A816" s="2">
        <v>40</v>
      </c>
      <c r="B816" t="s">
        <v>43</v>
      </c>
      <c r="C816">
        <v>0</v>
      </c>
      <c r="D816" t="s">
        <v>36</v>
      </c>
      <c r="E816" t="s">
        <v>45</v>
      </c>
      <c r="F816">
        <v>14</v>
      </c>
      <c r="G816" t="s">
        <v>51</v>
      </c>
      <c r="H816" t="s">
        <v>886</v>
      </c>
      <c r="I816">
        <v>3</v>
      </c>
      <c r="J816" t="s">
        <v>46</v>
      </c>
      <c r="K816">
        <v>2</v>
      </c>
      <c r="L816">
        <v>5</v>
      </c>
      <c r="M816" t="s">
        <v>58</v>
      </c>
      <c r="N816">
        <v>3</v>
      </c>
      <c r="O816" t="s">
        <v>41</v>
      </c>
      <c r="P816" s="1">
        <v>19626</v>
      </c>
      <c r="Q816" t="s">
        <v>90</v>
      </c>
      <c r="R816" t="s">
        <v>43</v>
      </c>
      <c r="S816">
        <v>3</v>
      </c>
      <c r="T816">
        <v>21</v>
      </c>
      <c r="U816">
        <v>4</v>
      </c>
      <c r="V816">
        <v>20</v>
      </c>
      <c r="W816">
        <v>7</v>
      </c>
      <c r="X816">
        <v>4</v>
      </c>
      <c r="Y816">
        <v>9</v>
      </c>
      <c r="Z816" t="s">
        <v>1550</v>
      </c>
      <c r="AA816" t="s">
        <v>82</v>
      </c>
      <c r="AB816" t="str" cm="1">
        <f t="array" ref="AB816">_xlfn.IFS(cleaned_data[[#This Row],[YearsAtCompany]]&lt;=5, "0-5",cleaned_data[[#This Row],[YearsAtCompany]]&lt;=10,"6-10",TRUE,"10+")</f>
        <v>10+</v>
      </c>
    </row>
    <row r="817" spans="1:28" x14ac:dyDescent="0.3">
      <c r="A817" s="2">
        <v>21</v>
      </c>
      <c r="B817" t="s">
        <v>43</v>
      </c>
      <c r="C817">
        <v>0</v>
      </c>
      <c r="D817" t="s">
        <v>36</v>
      </c>
      <c r="E817" t="s">
        <v>45</v>
      </c>
      <c r="F817">
        <v>1</v>
      </c>
      <c r="G817" t="s">
        <v>60</v>
      </c>
      <c r="H817" t="s">
        <v>887</v>
      </c>
      <c r="I817">
        <v>4</v>
      </c>
      <c r="J817" t="s">
        <v>39</v>
      </c>
      <c r="K817">
        <v>2</v>
      </c>
      <c r="L817">
        <v>1</v>
      </c>
      <c r="M817" t="s">
        <v>47</v>
      </c>
      <c r="N817">
        <v>2</v>
      </c>
      <c r="O817" t="s">
        <v>41</v>
      </c>
      <c r="P817" s="1">
        <v>2070</v>
      </c>
      <c r="Q817" t="s">
        <v>72</v>
      </c>
      <c r="R817" t="s">
        <v>35</v>
      </c>
      <c r="S817">
        <v>3</v>
      </c>
      <c r="T817">
        <v>2</v>
      </c>
      <c r="U817">
        <v>4</v>
      </c>
      <c r="V817">
        <v>2</v>
      </c>
      <c r="W817">
        <v>2</v>
      </c>
      <c r="X817">
        <v>2</v>
      </c>
      <c r="Y817">
        <v>2</v>
      </c>
      <c r="Z817" t="s">
        <v>68</v>
      </c>
      <c r="AA817" t="s">
        <v>78</v>
      </c>
      <c r="AB817" t="str" cm="1">
        <f t="array" ref="AB817">_xlfn.IFS(cleaned_data[[#This Row],[YearsAtCompany]]&lt;=5, "0-5",cleaned_data[[#This Row],[YearsAtCompany]]&lt;=10,"6-10",TRUE,"10+")</f>
        <v>0-5</v>
      </c>
    </row>
    <row r="818" spans="1:28" x14ac:dyDescent="0.3">
      <c r="A818" s="2">
        <v>39</v>
      </c>
      <c r="B818" t="s">
        <v>43</v>
      </c>
      <c r="C818">
        <v>0</v>
      </c>
      <c r="D818" t="s">
        <v>55</v>
      </c>
      <c r="E818" t="s">
        <v>45</v>
      </c>
      <c r="F818">
        <v>9</v>
      </c>
      <c r="G818" t="s">
        <v>38</v>
      </c>
      <c r="H818" t="s">
        <v>888</v>
      </c>
      <c r="I818">
        <v>3</v>
      </c>
      <c r="J818" t="s">
        <v>46</v>
      </c>
      <c r="K818">
        <v>3</v>
      </c>
      <c r="L818">
        <v>2</v>
      </c>
      <c r="M818" t="s">
        <v>50</v>
      </c>
      <c r="N818">
        <v>2</v>
      </c>
      <c r="O818" t="s">
        <v>41</v>
      </c>
      <c r="P818" s="1">
        <v>6782</v>
      </c>
      <c r="Q818" t="s">
        <v>67</v>
      </c>
      <c r="R818" t="s">
        <v>43</v>
      </c>
      <c r="S818">
        <v>3</v>
      </c>
      <c r="T818">
        <v>9</v>
      </c>
      <c r="U818">
        <v>2</v>
      </c>
      <c r="V818">
        <v>5</v>
      </c>
      <c r="W818">
        <v>4</v>
      </c>
      <c r="X818">
        <v>0</v>
      </c>
      <c r="Y818">
        <v>3</v>
      </c>
      <c r="Z818" t="s">
        <v>1550</v>
      </c>
      <c r="AA818" t="s">
        <v>69</v>
      </c>
      <c r="AB818" t="str" cm="1">
        <f t="array" ref="AB818">_xlfn.IFS(cleaned_data[[#This Row],[YearsAtCompany]]&lt;=5, "0-5",cleaned_data[[#This Row],[YearsAtCompany]]&lt;=10,"6-10",TRUE,"10+")</f>
        <v>0-5</v>
      </c>
    </row>
    <row r="819" spans="1:28" x14ac:dyDescent="0.3">
      <c r="A819" s="2">
        <v>36</v>
      </c>
      <c r="B819" t="s">
        <v>43</v>
      </c>
      <c r="C819">
        <v>0</v>
      </c>
      <c r="D819" t="s">
        <v>55</v>
      </c>
      <c r="E819" t="s">
        <v>45</v>
      </c>
      <c r="F819">
        <v>18</v>
      </c>
      <c r="G819" t="s">
        <v>38</v>
      </c>
      <c r="H819" t="s">
        <v>889</v>
      </c>
      <c r="I819">
        <v>1</v>
      </c>
      <c r="J819" t="s">
        <v>46</v>
      </c>
      <c r="K819">
        <v>3</v>
      </c>
      <c r="L819">
        <v>2</v>
      </c>
      <c r="M819" t="s">
        <v>53</v>
      </c>
      <c r="N819">
        <v>4</v>
      </c>
      <c r="O819" t="s">
        <v>41</v>
      </c>
      <c r="P819" s="1">
        <v>7779</v>
      </c>
      <c r="Q819" t="s">
        <v>67</v>
      </c>
      <c r="R819" t="s">
        <v>43</v>
      </c>
      <c r="S819">
        <v>4</v>
      </c>
      <c r="T819">
        <v>18</v>
      </c>
      <c r="U819">
        <v>3</v>
      </c>
      <c r="V819">
        <v>11</v>
      </c>
      <c r="W819">
        <v>9</v>
      </c>
      <c r="X819">
        <v>0</v>
      </c>
      <c r="Y819">
        <v>9</v>
      </c>
      <c r="Z819" t="s">
        <v>1550</v>
      </c>
      <c r="AA819" t="s">
        <v>82</v>
      </c>
      <c r="AB819" t="str" cm="1">
        <f t="array" ref="AB819">_xlfn.IFS(cleaned_data[[#This Row],[YearsAtCompany]]&lt;=5, "0-5",cleaned_data[[#This Row],[YearsAtCompany]]&lt;=10,"6-10",TRUE,"10+")</f>
        <v>10+</v>
      </c>
    </row>
    <row r="820" spans="1:28" x14ac:dyDescent="0.3">
      <c r="A820" s="2">
        <v>31</v>
      </c>
      <c r="B820" t="s">
        <v>43</v>
      </c>
      <c r="C820">
        <v>0</v>
      </c>
      <c r="D820" t="s">
        <v>44</v>
      </c>
      <c r="E820" t="s">
        <v>37</v>
      </c>
      <c r="F820">
        <v>20</v>
      </c>
      <c r="G820" t="s">
        <v>38</v>
      </c>
      <c r="H820" t="s">
        <v>890</v>
      </c>
      <c r="I820">
        <v>3</v>
      </c>
      <c r="J820" t="s">
        <v>46</v>
      </c>
      <c r="K820">
        <v>4</v>
      </c>
      <c r="L820">
        <v>1</v>
      </c>
      <c r="M820" t="s">
        <v>57</v>
      </c>
      <c r="N820">
        <v>4</v>
      </c>
      <c r="O820" t="s">
        <v>48</v>
      </c>
      <c r="P820" s="1">
        <v>2791</v>
      </c>
      <c r="Q820" t="s">
        <v>72</v>
      </c>
      <c r="R820" t="s">
        <v>43</v>
      </c>
      <c r="S820">
        <v>3</v>
      </c>
      <c r="T820">
        <v>3</v>
      </c>
      <c r="U820">
        <v>3</v>
      </c>
      <c r="V820">
        <v>2</v>
      </c>
      <c r="W820">
        <v>2</v>
      </c>
      <c r="X820">
        <v>2</v>
      </c>
      <c r="Y820">
        <v>2</v>
      </c>
      <c r="Z820" t="s">
        <v>1551</v>
      </c>
      <c r="AA820" t="s">
        <v>78</v>
      </c>
      <c r="AB820" t="str" cm="1">
        <f t="array" ref="AB820">_xlfn.IFS(cleaned_data[[#This Row],[YearsAtCompany]]&lt;=5, "0-5",cleaned_data[[#This Row],[YearsAtCompany]]&lt;=10,"6-10",TRUE,"10+")</f>
        <v>0-5</v>
      </c>
    </row>
    <row r="821" spans="1:28" x14ac:dyDescent="0.3">
      <c r="A821" s="2">
        <v>28</v>
      </c>
      <c r="B821" t="s">
        <v>43</v>
      </c>
      <c r="C821">
        <v>0</v>
      </c>
      <c r="D821" t="s">
        <v>36</v>
      </c>
      <c r="E821" t="s">
        <v>45</v>
      </c>
      <c r="F821">
        <v>2</v>
      </c>
      <c r="G821" t="s">
        <v>38</v>
      </c>
      <c r="H821" t="s">
        <v>891</v>
      </c>
      <c r="I821">
        <v>1</v>
      </c>
      <c r="J821" t="s">
        <v>46</v>
      </c>
      <c r="K821">
        <v>2</v>
      </c>
      <c r="L821">
        <v>1</v>
      </c>
      <c r="M821" t="s">
        <v>47</v>
      </c>
      <c r="N821">
        <v>2</v>
      </c>
      <c r="O821" t="s">
        <v>48</v>
      </c>
      <c r="P821" s="1">
        <v>3201</v>
      </c>
      <c r="Q821" t="s">
        <v>72</v>
      </c>
      <c r="R821" t="s">
        <v>43</v>
      </c>
      <c r="S821">
        <v>3</v>
      </c>
      <c r="T821">
        <v>6</v>
      </c>
      <c r="U821">
        <v>1</v>
      </c>
      <c r="V821">
        <v>5</v>
      </c>
      <c r="W821">
        <v>3</v>
      </c>
      <c r="X821">
        <v>0</v>
      </c>
      <c r="Y821">
        <v>4</v>
      </c>
      <c r="Z821" t="s">
        <v>1551</v>
      </c>
      <c r="AA821" t="s">
        <v>69</v>
      </c>
      <c r="AB821" t="str" cm="1">
        <f t="array" ref="AB821">_xlfn.IFS(cleaned_data[[#This Row],[YearsAtCompany]]&lt;=5, "0-5",cleaned_data[[#This Row],[YearsAtCompany]]&lt;=10,"6-10",TRUE,"10+")</f>
        <v>0-5</v>
      </c>
    </row>
    <row r="822" spans="1:28" x14ac:dyDescent="0.3">
      <c r="A822" s="2">
        <v>35</v>
      </c>
      <c r="B822" t="s">
        <v>43</v>
      </c>
      <c r="C822">
        <v>0</v>
      </c>
      <c r="D822" t="s">
        <v>44</v>
      </c>
      <c r="E822" t="s">
        <v>37</v>
      </c>
      <c r="F822">
        <v>11</v>
      </c>
      <c r="G822" t="s">
        <v>59</v>
      </c>
      <c r="H822" t="s">
        <v>892</v>
      </c>
      <c r="I822">
        <v>4</v>
      </c>
      <c r="J822" t="s">
        <v>46</v>
      </c>
      <c r="K822">
        <v>3</v>
      </c>
      <c r="L822">
        <v>2</v>
      </c>
      <c r="M822" t="s">
        <v>40</v>
      </c>
      <c r="N822">
        <v>4</v>
      </c>
      <c r="O822" t="s">
        <v>52</v>
      </c>
      <c r="P822" s="1">
        <v>4968</v>
      </c>
      <c r="Q822" t="s">
        <v>72</v>
      </c>
      <c r="R822" t="s">
        <v>43</v>
      </c>
      <c r="S822">
        <v>3</v>
      </c>
      <c r="T822">
        <v>5</v>
      </c>
      <c r="U822">
        <v>3</v>
      </c>
      <c r="V822">
        <v>5</v>
      </c>
      <c r="W822">
        <v>2</v>
      </c>
      <c r="X822">
        <v>0</v>
      </c>
      <c r="Y822">
        <v>2</v>
      </c>
      <c r="Z822" t="s">
        <v>1551</v>
      </c>
      <c r="AA822" t="s">
        <v>78</v>
      </c>
      <c r="AB822" t="str" cm="1">
        <f t="array" ref="AB822">_xlfn.IFS(cleaned_data[[#This Row],[YearsAtCompany]]&lt;=5, "0-5",cleaned_data[[#This Row],[YearsAtCompany]]&lt;=10,"6-10",TRUE,"10+")</f>
        <v>0-5</v>
      </c>
    </row>
    <row r="823" spans="1:28" x14ac:dyDescent="0.3">
      <c r="A823" s="2">
        <v>49</v>
      </c>
      <c r="B823" t="s">
        <v>43</v>
      </c>
      <c r="C823">
        <v>0</v>
      </c>
      <c r="D823" t="s">
        <v>36</v>
      </c>
      <c r="E823" t="s">
        <v>37</v>
      </c>
      <c r="F823">
        <v>8</v>
      </c>
      <c r="G823" t="s">
        <v>60</v>
      </c>
      <c r="H823" t="s">
        <v>893</v>
      </c>
      <c r="I823">
        <v>4</v>
      </c>
      <c r="J823" t="s">
        <v>46</v>
      </c>
      <c r="K823">
        <v>2</v>
      </c>
      <c r="L823">
        <v>4</v>
      </c>
      <c r="M823" t="s">
        <v>40</v>
      </c>
      <c r="N823">
        <v>2</v>
      </c>
      <c r="O823" t="s">
        <v>48</v>
      </c>
      <c r="P823" s="1">
        <v>13120</v>
      </c>
      <c r="Q823" t="s">
        <v>90</v>
      </c>
      <c r="R823" t="s">
        <v>43</v>
      </c>
      <c r="S823">
        <v>3</v>
      </c>
      <c r="T823">
        <v>22</v>
      </c>
      <c r="U823">
        <v>3</v>
      </c>
      <c r="V823">
        <v>9</v>
      </c>
      <c r="W823">
        <v>8</v>
      </c>
      <c r="X823">
        <v>2</v>
      </c>
      <c r="Y823">
        <v>3</v>
      </c>
      <c r="Z823" t="s">
        <v>106</v>
      </c>
      <c r="AA823" t="s">
        <v>82</v>
      </c>
      <c r="AB823" t="str" cm="1">
        <f t="array" ref="AB823">_xlfn.IFS(cleaned_data[[#This Row],[YearsAtCompany]]&lt;=5, "0-5",cleaned_data[[#This Row],[YearsAtCompany]]&lt;=10,"6-10",TRUE,"10+")</f>
        <v>6-10</v>
      </c>
    </row>
    <row r="824" spans="1:28" x14ac:dyDescent="0.3">
      <c r="A824" s="2">
        <v>34</v>
      </c>
      <c r="B824" t="s">
        <v>43</v>
      </c>
      <c r="C824">
        <v>0</v>
      </c>
      <c r="D824" t="s">
        <v>44</v>
      </c>
      <c r="E824" t="s">
        <v>45</v>
      </c>
      <c r="F824">
        <v>2</v>
      </c>
      <c r="G824" t="s">
        <v>38</v>
      </c>
      <c r="H824" t="s">
        <v>894</v>
      </c>
      <c r="I824">
        <v>4</v>
      </c>
      <c r="J824" t="s">
        <v>46</v>
      </c>
      <c r="K824">
        <v>3</v>
      </c>
      <c r="L824">
        <v>2</v>
      </c>
      <c r="M824" t="s">
        <v>53</v>
      </c>
      <c r="N824">
        <v>3</v>
      </c>
      <c r="O824" t="s">
        <v>41</v>
      </c>
      <c r="P824" s="1">
        <v>4033</v>
      </c>
      <c r="Q824" t="s">
        <v>72</v>
      </c>
      <c r="R824" t="s">
        <v>43</v>
      </c>
      <c r="S824">
        <v>3</v>
      </c>
      <c r="T824">
        <v>5</v>
      </c>
      <c r="U824">
        <v>2</v>
      </c>
      <c r="V824">
        <v>3</v>
      </c>
      <c r="W824">
        <v>2</v>
      </c>
      <c r="X824">
        <v>0</v>
      </c>
      <c r="Y824">
        <v>2</v>
      </c>
      <c r="Z824" t="s">
        <v>1551</v>
      </c>
      <c r="AA824" t="s">
        <v>78</v>
      </c>
      <c r="AB824" t="str" cm="1">
        <f t="array" ref="AB824">_xlfn.IFS(cleaned_data[[#This Row],[YearsAtCompany]]&lt;=5, "0-5",cleaned_data[[#This Row],[YearsAtCompany]]&lt;=10,"6-10",TRUE,"10+")</f>
        <v>0-5</v>
      </c>
    </row>
    <row r="825" spans="1:28" x14ac:dyDescent="0.3">
      <c r="A825" s="2">
        <v>29</v>
      </c>
      <c r="B825" t="s">
        <v>43</v>
      </c>
      <c r="C825">
        <v>0</v>
      </c>
      <c r="D825" t="s">
        <v>44</v>
      </c>
      <c r="E825" t="s">
        <v>45</v>
      </c>
      <c r="F825">
        <v>10</v>
      </c>
      <c r="G825" t="s">
        <v>38</v>
      </c>
      <c r="H825" t="s">
        <v>895</v>
      </c>
      <c r="I825">
        <v>4</v>
      </c>
      <c r="J825" t="s">
        <v>39</v>
      </c>
      <c r="K825">
        <v>3</v>
      </c>
      <c r="L825">
        <v>1</v>
      </c>
      <c r="M825" t="s">
        <v>47</v>
      </c>
      <c r="N825">
        <v>2</v>
      </c>
      <c r="O825" t="s">
        <v>52</v>
      </c>
      <c r="P825" s="1">
        <v>3291</v>
      </c>
      <c r="Q825" t="s">
        <v>72</v>
      </c>
      <c r="R825" t="s">
        <v>43</v>
      </c>
      <c r="S825">
        <v>3</v>
      </c>
      <c r="T825">
        <v>8</v>
      </c>
      <c r="U825">
        <v>2</v>
      </c>
      <c r="V825">
        <v>7</v>
      </c>
      <c r="W825">
        <v>5</v>
      </c>
      <c r="X825">
        <v>1</v>
      </c>
      <c r="Y825">
        <v>1</v>
      </c>
      <c r="Z825" t="s">
        <v>1551</v>
      </c>
      <c r="AA825" t="s">
        <v>69</v>
      </c>
      <c r="AB825" t="str" cm="1">
        <f t="array" ref="AB825">_xlfn.IFS(cleaned_data[[#This Row],[YearsAtCompany]]&lt;=5, "0-5",cleaned_data[[#This Row],[YearsAtCompany]]&lt;=10,"6-10",TRUE,"10+")</f>
        <v>6-10</v>
      </c>
    </row>
    <row r="826" spans="1:28" x14ac:dyDescent="0.3">
      <c r="A826" s="2">
        <v>42</v>
      </c>
      <c r="B826" t="s">
        <v>43</v>
      </c>
      <c r="C826">
        <v>0</v>
      </c>
      <c r="D826" t="s">
        <v>36</v>
      </c>
      <c r="E826" t="s">
        <v>45</v>
      </c>
      <c r="F826">
        <v>29</v>
      </c>
      <c r="G826" t="s">
        <v>51</v>
      </c>
      <c r="H826" t="s">
        <v>896</v>
      </c>
      <c r="I826">
        <v>2</v>
      </c>
      <c r="J826" t="s">
        <v>46</v>
      </c>
      <c r="K826">
        <v>1</v>
      </c>
      <c r="L826">
        <v>2</v>
      </c>
      <c r="M826" t="s">
        <v>50</v>
      </c>
      <c r="N826">
        <v>4</v>
      </c>
      <c r="O826" t="s">
        <v>41</v>
      </c>
      <c r="P826" s="1">
        <v>4272</v>
      </c>
      <c r="Q826" t="s">
        <v>72</v>
      </c>
      <c r="R826" t="s">
        <v>43</v>
      </c>
      <c r="S826">
        <v>3</v>
      </c>
      <c r="T826">
        <v>16</v>
      </c>
      <c r="U826">
        <v>3</v>
      </c>
      <c r="V826">
        <v>1</v>
      </c>
      <c r="W826">
        <v>0</v>
      </c>
      <c r="X826">
        <v>0</v>
      </c>
      <c r="Y826">
        <v>0</v>
      </c>
      <c r="Z826" t="s">
        <v>1550</v>
      </c>
      <c r="AA826" t="s">
        <v>82</v>
      </c>
      <c r="AB826" t="str" cm="1">
        <f t="array" ref="AB826">_xlfn.IFS(cleaned_data[[#This Row],[YearsAtCompany]]&lt;=5, "0-5",cleaned_data[[#This Row],[YearsAtCompany]]&lt;=10,"6-10",TRUE,"10+")</f>
        <v>0-5</v>
      </c>
    </row>
    <row r="827" spans="1:28" x14ac:dyDescent="0.3">
      <c r="A827" s="2">
        <v>29</v>
      </c>
      <c r="B827" t="s">
        <v>43</v>
      </c>
      <c r="C827">
        <v>0</v>
      </c>
      <c r="D827" t="s">
        <v>36</v>
      </c>
      <c r="E827" t="s">
        <v>45</v>
      </c>
      <c r="F827">
        <v>8</v>
      </c>
      <c r="G827" t="s">
        <v>51</v>
      </c>
      <c r="H827" t="s">
        <v>897</v>
      </c>
      <c r="I827">
        <v>2</v>
      </c>
      <c r="J827" t="s">
        <v>46</v>
      </c>
      <c r="K827">
        <v>2</v>
      </c>
      <c r="L827">
        <v>2</v>
      </c>
      <c r="M827" t="s">
        <v>53</v>
      </c>
      <c r="N827">
        <v>4</v>
      </c>
      <c r="O827" t="s">
        <v>48</v>
      </c>
      <c r="P827" s="1">
        <v>5056</v>
      </c>
      <c r="Q827" t="s">
        <v>67</v>
      </c>
      <c r="R827" t="s">
        <v>35</v>
      </c>
      <c r="S827">
        <v>3</v>
      </c>
      <c r="T827">
        <v>10</v>
      </c>
      <c r="U827">
        <v>2</v>
      </c>
      <c r="V827">
        <v>10</v>
      </c>
      <c r="W827">
        <v>7</v>
      </c>
      <c r="X827">
        <v>1</v>
      </c>
      <c r="Y827">
        <v>2</v>
      </c>
      <c r="Z827" t="s">
        <v>1551</v>
      </c>
      <c r="AA827" t="s">
        <v>69</v>
      </c>
      <c r="AB827" t="str" cm="1">
        <f t="array" ref="AB827">_xlfn.IFS(cleaned_data[[#This Row],[YearsAtCompany]]&lt;=5, "0-5",cleaned_data[[#This Row],[YearsAtCompany]]&lt;=10,"6-10",TRUE,"10+")</f>
        <v>6-10</v>
      </c>
    </row>
    <row r="828" spans="1:28" x14ac:dyDescent="0.3">
      <c r="A828" s="2">
        <v>38</v>
      </c>
      <c r="B828" t="s">
        <v>43</v>
      </c>
      <c r="C828">
        <v>0</v>
      </c>
      <c r="D828" t="s">
        <v>36</v>
      </c>
      <c r="E828" t="s">
        <v>61</v>
      </c>
      <c r="F828">
        <v>1</v>
      </c>
      <c r="G828" t="s">
        <v>61</v>
      </c>
      <c r="H828" t="s">
        <v>898</v>
      </c>
      <c r="I828">
        <v>3</v>
      </c>
      <c r="J828" t="s">
        <v>46</v>
      </c>
      <c r="K828">
        <v>4</v>
      </c>
      <c r="L828">
        <v>1</v>
      </c>
      <c r="M828" t="s">
        <v>61</v>
      </c>
      <c r="N828">
        <v>3</v>
      </c>
      <c r="O828" t="s">
        <v>48</v>
      </c>
      <c r="P828" s="1">
        <v>2844</v>
      </c>
      <c r="Q828" t="s">
        <v>72</v>
      </c>
      <c r="R828" t="s">
        <v>43</v>
      </c>
      <c r="S828">
        <v>3</v>
      </c>
      <c r="T828">
        <v>7</v>
      </c>
      <c r="U828">
        <v>4</v>
      </c>
      <c r="V828">
        <v>7</v>
      </c>
      <c r="W828">
        <v>6</v>
      </c>
      <c r="X828">
        <v>5</v>
      </c>
      <c r="Y828">
        <v>0</v>
      </c>
      <c r="Z828" t="s">
        <v>1550</v>
      </c>
      <c r="AA828" t="s">
        <v>69</v>
      </c>
      <c r="AB828" t="str" cm="1">
        <f t="array" ref="AB828">_xlfn.IFS(cleaned_data[[#This Row],[YearsAtCompany]]&lt;=5, "0-5",cleaned_data[[#This Row],[YearsAtCompany]]&lt;=10,"6-10",TRUE,"10+")</f>
        <v>6-10</v>
      </c>
    </row>
    <row r="829" spans="1:28" x14ac:dyDescent="0.3">
      <c r="A829" s="2">
        <v>28</v>
      </c>
      <c r="B829" t="s">
        <v>43</v>
      </c>
      <c r="C829">
        <v>0</v>
      </c>
      <c r="D829" t="s">
        <v>44</v>
      </c>
      <c r="E829" t="s">
        <v>45</v>
      </c>
      <c r="F829">
        <v>6</v>
      </c>
      <c r="G829" t="s">
        <v>38</v>
      </c>
      <c r="H829" t="s">
        <v>899</v>
      </c>
      <c r="I829">
        <v>3</v>
      </c>
      <c r="J829" t="s">
        <v>46</v>
      </c>
      <c r="K829">
        <v>2</v>
      </c>
      <c r="L829">
        <v>1</v>
      </c>
      <c r="M829" t="s">
        <v>47</v>
      </c>
      <c r="N829">
        <v>3</v>
      </c>
      <c r="O829" t="s">
        <v>52</v>
      </c>
      <c r="P829" s="1">
        <v>2703</v>
      </c>
      <c r="Q829" t="s">
        <v>72</v>
      </c>
      <c r="R829" t="s">
        <v>35</v>
      </c>
      <c r="S829">
        <v>3</v>
      </c>
      <c r="T829">
        <v>3</v>
      </c>
      <c r="U829">
        <v>3</v>
      </c>
      <c r="V829">
        <v>3</v>
      </c>
      <c r="W829">
        <v>1</v>
      </c>
      <c r="X829">
        <v>0</v>
      </c>
      <c r="Y829">
        <v>2</v>
      </c>
      <c r="Z829" t="s">
        <v>1551</v>
      </c>
      <c r="AA829" t="s">
        <v>78</v>
      </c>
      <c r="AB829" t="str" cm="1">
        <f t="array" ref="AB829">_xlfn.IFS(cleaned_data[[#This Row],[YearsAtCompany]]&lt;=5, "0-5",cleaned_data[[#This Row],[YearsAtCompany]]&lt;=10,"6-10",TRUE,"10+")</f>
        <v>0-5</v>
      </c>
    </row>
    <row r="830" spans="1:28" x14ac:dyDescent="0.3">
      <c r="A830" s="2">
        <v>18</v>
      </c>
      <c r="B830" t="s">
        <v>35</v>
      </c>
      <c r="C830">
        <v>1</v>
      </c>
      <c r="D830" t="s">
        <v>55</v>
      </c>
      <c r="E830" t="s">
        <v>45</v>
      </c>
      <c r="F830">
        <v>8</v>
      </c>
      <c r="G830" t="s">
        <v>51</v>
      </c>
      <c r="H830" t="s">
        <v>900</v>
      </c>
      <c r="I830">
        <v>3</v>
      </c>
      <c r="J830" t="s">
        <v>46</v>
      </c>
      <c r="K830">
        <v>3</v>
      </c>
      <c r="L830">
        <v>1</v>
      </c>
      <c r="M830" t="s">
        <v>50</v>
      </c>
      <c r="N830">
        <v>3</v>
      </c>
      <c r="O830" t="s">
        <v>41</v>
      </c>
      <c r="P830" s="1">
        <v>1904</v>
      </c>
      <c r="Q830" t="s">
        <v>72</v>
      </c>
      <c r="R830" t="s">
        <v>43</v>
      </c>
      <c r="S830">
        <v>3</v>
      </c>
      <c r="T830">
        <v>0</v>
      </c>
      <c r="U830">
        <v>3</v>
      </c>
      <c r="V830">
        <v>0</v>
      </c>
      <c r="W830">
        <v>0</v>
      </c>
      <c r="X830">
        <v>0</v>
      </c>
      <c r="Y830">
        <v>0</v>
      </c>
      <c r="Z830" t="s">
        <v>68</v>
      </c>
      <c r="AA830" t="s">
        <v>78</v>
      </c>
      <c r="AB830" t="str" cm="1">
        <f t="array" ref="AB830">_xlfn.IFS(cleaned_data[[#This Row],[YearsAtCompany]]&lt;=5, "0-5",cleaned_data[[#This Row],[YearsAtCompany]]&lt;=10,"6-10",TRUE,"10+")</f>
        <v>0-5</v>
      </c>
    </row>
    <row r="831" spans="1:28" x14ac:dyDescent="0.3">
      <c r="A831" s="2">
        <v>33</v>
      </c>
      <c r="B831" t="s">
        <v>35</v>
      </c>
      <c r="C831">
        <v>1</v>
      </c>
      <c r="D831" t="s">
        <v>36</v>
      </c>
      <c r="E831" t="s">
        <v>37</v>
      </c>
      <c r="F831">
        <v>9</v>
      </c>
      <c r="G831" t="s">
        <v>59</v>
      </c>
      <c r="H831" t="s">
        <v>901</v>
      </c>
      <c r="I831">
        <v>1</v>
      </c>
      <c r="J831" t="s">
        <v>39</v>
      </c>
      <c r="K831">
        <v>3</v>
      </c>
      <c r="L831">
        <v>2</v>
      </c>
      <c r="M831" t="s">
        <v>40</v>
      </c>
      <c r="N831">
        <v>1</v>
      </c>
      <c r="O831" t="s">
        <v>41</v>
      </c>
      <c r="P831" s="6">
        <v>8224</v>
      </c>
      <c r="Q831" t="s">
        <v>67</v>
      </c>
      <c r="R831" t="s">
        <v>35</v>
      </c>
      <c r="S831">
        <v>3</v>
      </c>
      <c r="T831">
        <v>6</v>
      </c>
      <c r="U831">
        <v>3</v>
      </c>
      <c r="V831">
        <v>5</v>
      </c>
      <c r="W831">
        <v>2</v>
      </c>
      <c r="X831">
        <v>0</v>
      </c>
      <c r="Y831">
        <v>3</v>
      </c>
      <c r="Z831" t="s">
        <v>1551</v>
      </c>
      <c r="AA831" t="s">
        <v>69</v>
      </c>
      <c r="AB831" t="str" cm="1">
        <f t="array" ref="AB831">_xlfn.IFS(cleaned_data[[#This Row],[YearsAtCompany]]&lt;=5, "0-5",cleaned_data[[#This Row],[YearsAtCompany]]&lt;=10,"6-10",TRUE,"10+")</f>
        <v>0-5</v>
      </c>
    </row>
    <row r="832" spans="1:28" x14ac:dyDescent="0.3">
      <c r="A832" s="2">
        <v>41</v>
      </c>
      <c r="B832" t="s">
        <v>43</v>
      </c>
      <c r="C832">
        <v>0</v>
      </c>
      <c r="D832" t="s">
        <v>36</v>
      </c>
      <c r="E832" t="s">
        <v>45</v>
      </c>
      <c r="F832">
        <v>12</v>
      </c>
      <c r="G832" t="s">
        <v>38</v>
      </c>
      <c r="H832" t="s">
        <v>902</v>
      </c>
      <c r="I832">
        <v>2</v>
      </c>
      <c r="J832" t="s">
        <v>46</v>
      </c>
      <c r="K832">
        <v>3</v>
      </c>
      <c r="L832">
        <v>1</v>
      </c>
      <c r="M832" t="s">
        <v>50</v>
      </c>
      <c r="N832">
        <v>4</v>
      </c>
      <c r="O832" t="s">
        <v>48</v>
      </c>
      <c r="P832" s="1">
        <v>4766</v>
      </c>
      <c r="Q832" t="s">
        <v>72</v>
      </c>
      <c r="R832" t="s">
        <v>35</v>
      </c>
      <c r="S832">
        <v>3</v>
      </c>
      <c r="T832">
        <v>6</v>
      </c>
      <c r="U832">
        <v>3</v>
      </c>
      <c r="V832">
        <v>1</v>
      </c>
      <c r="W832">
        <v>0</v>
      </c>
      <c r="X832">
        <v>0</v>
      </c>
      <c r="Y832">
        <v>0</v>
      </c>
      <c r="Z832" t="s">
        <v>1550</v>
      </c>
      <c r="AA832" t="s">
        <v>69</v>
      </c>
      <c r="AB832" t="str" cm="1">
        <f t="array" ref="AB832">_xlfn.IFS(cleaned_data[[#This Row],[YearsAtCompany]]&lt;=5, "0-5",cleaned_data[[#This Row],[YearsAtCompany]]&lt;=10,"6-10",TRUE,"10+")</f>
        <v>0-5</v>
      </c>
    </row>
    <row r="833" spans="1:28" x14ac:dyDescent="0.3">
      <c r="A833" s="2">
        <v>31</v>
      </c>
      <c r="B833" t="s">
        <v>35</v>
      </c>
      <c r="C833">
        <v>1</v>
      </c>
      <c r="D833" t="s">
        <v>44</v>
      </c>
      <c r="E833" t="s">
        <v>45</v>
      </c>
      <c r="F833">
        <v>15</v>
      </c>
      <c r="G833" t="s">
        <v>51</v>
      </c>
      <c r="H833" t="s">
        <v>903</v>
      </c>
      <c r="I833">
        <v>3</v>
      </c>
      <c r="J833" t="s">
        <v>46</v>
      </c>
      <c r="K833">
        <v>3</v>
      </c>
      <c r="L833">
        <v>1</v>
      </c>
      <c r="M833" t="s">
        <v>50</v>
      </c>
      <c r="N833">
        <v>3</v>
      </c>
      <c r="O833" t="s">
        <v>48</v>
      </c>
      <c r="P833" s="1">
        <v>2610</v>
      </c>
      <c r="Q833" t="s">
        <v>72</v>
      </c>
      <c r="R833" t="s">
        <v>43</v>
      </c>
      <c r="S833">
        <v>3</v>
      </c>
      <c r="T833">
        <v>2</v>
      </c>
      <c r="U833">
        <v>2</v>
      </c>
      <c r="V833">
        <v>2</v>
      </c>
      <c r="W833">
        <v>2</v>
      </c>
      <c r="X833">
        <v>2</v>
      </c>
      <c r="Y833">
        <v>2</v>
      </c>
      <c r="Z833" t="s">
        <v>1551</v>
      </c>
      <c r="AA833" t="s">
        <v>78</v>
      </c>
      <c r="AB833" t="str" cm="1">
        <f t="array" ref="AB833">_xlfn.IFS(cleaned_data[[#This Row],[YearsAtCompany]]&lt;=5, "0-5",cleaned_data[[#This Row],[YearsAtCompany]]&lt;=10,"6-10",TRUE,"10+")</f>
        <v>0-5</v>
      </c>
    </row>
    <row r="834" spans="1:28" x14ac:dyDescent="0.3">
      <c r="A834" s="2">
        <v>37</v>
      </c>
      <c r="B834" t="s">
        <v>43</v>
      </c>
      <c r="C834">
        <v>0</v>
      </c>
      <c r="D834" t="s">
        <v>36</v>
      </c>
      <c r="E834" t="s">
        <v>45</v>
      </c>
      <c r="F834">
        <v>25</v>
      </c>
      <c r="G834" t="s">
        <v>51</v>
      </c>
      <c r="H834" t="s">
        <v>904</v>
      </c>
      <c r="I834">
        <v>3</v>
      </c>
      <c r="J834" t="s">
        <v>39</v>
      </c>
      <c r="K834">
        <v>2</v>
      </c>
      <c r="L834">
        <v>2</v>
      </c>
      <c r="M834" t="s">
        <v>54</v>
      </c>
      <c r="N834">
        <v>4</v>
      </c>
      <c r="O834" t="s">
        <v>52</v>
      </c>
      <c r="P834" s="1">
        <v>5731</v>
      </c>
      <c r="Q834" t="s">
        <v>67</v>
      </c>
      <c r="R834" t="s">
        <v>43</v>
      </c>
      <c r="S834">
        <v>3</v>
      </c>
      <c r="T834">
        <v>9</v>
      </c>
      <c r="U834">
        <v>3</v>
      </c>
      <c r="V834">
        <v>6</v>
      </c>
      <c r="W834">
        <v>2</v>
      </c>
      <c r="X834">
        <v>1</v>
      </c>
      <c r="Y834">
        <v>3</v>
      </c>
      <c r="Z834" t="s">
        <v>1550</v>
      </c>
      <c r="AA834" t="s">
        <v>69</v>
      </c>
      <c r="AB834" t="str" cm="1">
        <f t="array" ref="AB834">_xlfn.IFS(cleaned_data[[#This Row],[YearsAtCompany]]&lt;=5, "0-5",cleaned_data[[#This Row],[YearsAtCompany]]&lt;=10,"6-10",TRUE,"10+")</f>
        <v>6-10</v>
      </c>
    </row>
    <row r="835" spans="1:28" x14ac:dyDescent="0.3">
      <c r="A835" s="2">
        <v>27</v>
      </c>
      <c r="B835" t="s">
        <v>43</v>
      </c>
      <c r="C835">
        <v>0</v>
      </c>
      <c r="D835" t="s">
        <v>36</v>
      </c>
      <c r="E835" t="s">
        <v>45</v>
      </c>
      <c r="F835">
        <v>6</v>
      </c>
      <c r="G835" t="s">
        <v>38</v>
      </c>
      <c r="H835" t="s">
        <v>905</v>
      </c>
      <c r="I835">
        <v>4</v>
      </c>
      <c r="J835" t="s">
        <v>46</v>
      </c>
      <c r="K835">
        <v>2</v>
      </c>
      <c r="L835">
        <v>1</v>
      </c>
      <c r="M835" t="s">
        <v>47</v>
      </c>
      <c r="N835">
        <v>3</v>
      </c>
      <c r="O835" t="s">
        <v>48</v>
      </c>
      <c r="P835" s="1">
        <v>2539</v>
      </c>
      <c r="Q835" t="s">
        <v>72</v>
      </c>
      <c r="R835" t="s">
        <v>43</v>
      </c>
      <c r="S835">
        <v>3</v>
      </c>
      <c r="T835">
        <v>4</v>
      </c>
      <c r="U835">
        <v>3</v>
      </c>
      <c r="V835">
        <v>4</v>
      </c>
      <c r="W835">
        <v>2</v>
      </c>
      <c r="X835">
        <v>2</v>
      </c>
      <c r="Y835">
        <v>2</v>
      </c>
      <c r="Z835" t="s">
        <v>1551</v>
      </c>
      <c r="AA835" t="s">
        <v>78</v>
      </c>
      <c r="AB835" t="str" cm="1">
        <f t="array" ref="AB835">_xlfn.IFS(cleaned_data[[#This Row],[YearsAtCompany]]&lt;=5, "0-5",cleaned_data[[#This Row],[YearsAtCompany]]&lt;=10,"6-10",TRUE,"10+")</f>
        <v>0-5</v>
      </c>
    </row>
    <row r="836" spans="1:28" x14ac:dyDescent="0.3">
      <c r="A836" s="2">
        <v>34</v>
      </c>
      <c r="B836" t="s">
        <v>43</v>
      </c>
      <c r="C836">
        <v>0</v>
      </c>
      <c r="D836" t="s">
        <v>36</v>
      </c>
      <c r="E836" t="s">
        <v>37</v>
      </c>
      <c r="F836">
        <v>9</v>
      </c>
      <c r="G836" t="s">
        <v>38</v>
      </c>
      <c r="H836" t="s">
        <v>906</v>
      </c>
      <c r="I836">
        <v>2</v>
      </c>
      <c r="J836" t="s">
        <v>39</v>
      </c>
      <c r="K836">
        <v>3</v>
      </c>
      <c r="L836">
        <v>2</v>
      </c>
      <c r="M836" t="s">
        <v>40</v>
      </c>
      <c r="N836">
        <v>3</v>
      </c>
      <c r="O836" t="s">
        <v>48</v>
      </c>
      <c r="P836" s="1">
        <v>5714</v>
      </c>
      <c r="Q836" t="s">
        <v>67</v>
      </c>
      <c r="R836" t="s">
        <v>43</v>
      </c>
      <c r="S836">
        <v>4</v>
      </c>
      <c r="T836">
        <v>6</v>
      </c>
      <c r="U836">
        <v>2</v>
      </c>
      <c r="V836">
        <v>6</v>
      </c>
      <c r="W836">
        <v>5</v>
      </c>
      <c r="X836">
        <v>1</v>
      </c>
      <c r="Y836">
        <v>3</v>
      </c>
      <c r="Z836" t="s">
        <v>1551</v>
      </c>
      <c r="AA836" t="s">
        <v>69</v>
      </c>
      <c r="AB836" t="str" cm="1">
        <f t="array" ref="AB836">_xlfn.IFS(cleaned_data[[#This Row],[YearsAtCompany]]&lt;=5, "0-5",cleaned_data[[#This Row],[YearsAtCompany]]&lt;=10,"6-10",TRUE,"10+")</f>
        <v>6-10</v>
      </c>
    </row>
    <row r="837" spans="1:28" x14ac:dyDescent="0.3">
      <c r="A837" s="2">
        <v>35</v>
      </c>
      <c r="B837" t="s">
        <v>43</v>
      </c>
      <c r="C837">
        <v>0</v>
      </c>
      <c r="D837" t="s">
        <v>36</v>
      </c>
      <c r="E837" t="s">
        <v>61</v>
      </c>
      <c r="F837">
        <v>8</v>
      </c>
      <c r="G837" t="s">
        <v>60</v>
      </c>
      <c r="H837" t="s">
        <v>907</v>
      </c>
      <c r="I837">
        <v>3</v>
      </c>
      <c r="J837" t="s">
        <v>46</v>
      </c>
      <c r="K837">
        <v>3</v>
      </c>
      <c r="L837">
        <v>1</v>
      </c>
      <c r="M837" t="s">
        <v>61</v>
      </c>
      <c r="N837">
        <v>3</v>
      </c>
      <c r="O837" t="s">
        <v>41</v>
      </c>
      <c r="P837" s="1">
        <v>4323</v>
      </c>
      <c r="Q837" t="s">
        <v>72</v>
      </c>
      <c r="R837" t="s">
        <v>43</v>
      </c>
      <c r="S837">
        <v>3</v>
      </c>
      <c r="T837">
        <v>6</v>
      </c>
      <c r="U837">
        <v>1</v>
      </c>
      <c r="V837">
        <v>5</v>
      </c>
      <c r="W837">
        <v>4</v>
      </c>
      <c r="X837">
        <v>1</v>
      </c>
      <c r="Y837">
        <v>4</v>
      </c>
      <c r="Z837" t="s">
        <v>1551</v>
      </c>
      <c r="AA837" t="s">
        <v>69</v>
      </c>
      <c r="AB837" t="str" cm="1">
        <f t="array" ref="AB837">_xlfn.IFS(cleaned_data[[#This Row],[YearsAtCompany]]&lt;=5, "0-5",cleaned_data[[#This Row],[YearsAtCompany]]&lt;=10,"6-10",TRUE,"10+")</f>
        <v>0-5</v>
      </c>
    </row>
    <row r="838" spans="1:28" x14ac:dyDescent="0.3">
      <c r="A838" s="2">
        <v>29</v>
      </c>
      <c r="B838" t="s">
        <v>35</v>
      </c>
      <c r="C838">
        <v>1</v>
      </c>
      <c r="D838" t="s">
        <v>36</v>
      </c>
      <c r="E838" t="s">
        <v>37</v>
      </c>
      <c r="F838">
        <v>23</v>
      </c>
      <c r="G838" t="s">
        <v>38</v>
      </c>
      <c r="H838" t="s">
        <v>908</v>
      </c>
      <c r="I838">
        <v>4</v>
      </c>
      <c r="J838" t="s">
        <v>39</v>
      </c>
      <c r="K838">
        <v>2</v>
      </c>
      <c r="L838">
        <v>3</v>
      </c>
      <c r="M838" t="s">
        <v>40</v>
      </c>
      <c r="N838">
        <v>1</v>
      </c>
      <c r="O838" t="s">
        <v>48</v>
      </c>
      <c r="P838" s="6">
        <v>7336</v>
      </c>
      <c r="Q838" t="s">
        <v>67</v>
      </c>
      <c r="R838" t="s">
        <v>43</v>
      </c>
      <c r="S838">
        <v>3</v>
      </c>
      <c r="T838">
        <v>11</v>
      </c>
      <c r="U838">
        <v>1</v>
      </c>
      <c r="V838">
        <v>11</v>
      </c>
      <c r="W838">
        <v>8</v>
      </c>
      <c r="X838">
        <v>3</v>
      </c>
      <c r="Y838">
        <v>10</v>
      </c>
      <c r="Z838" t="s">
        <v>1551</v>
      </c>
      <c r="AA838" t="s">
        <v>69</v>
      </c>
      <c r="AB838" t="str" cm="1">
        <f t="array" ref="AB838">_xlfn.IFS(cleaned_data[[#This Row],[YearsAtCompany]]&lt;=5, "0-5",cleaned_data[[#This Row],[YearsAtCompany]]&lt;=10,"6-10",TRUE,"10+")</f>
        <v>10+</v>
      </c>
    </row>
    <row r="839" spans="1:28" x14ac:dyDescent="0.3">
      <c r="A839" s="2">
        <v>40</v>
      </c>
      <c r="B839" t="s">
        <v>43</v>
      </c>
      <c r="C839">
        <v>0</v>
      </c>
      <c r="D839" t="s">
        <v>44</v>
      </c>
      <c r="E839" t="s">
        <v>45</v>
      </c>
      <c r="F839">
        <v>9</v>
      </c>
      <c r="G839" t="s">
        <v>51</v>
      </c>
      <c r="H839" t="s">
        <v>909</v>
      </c>
      <c r="I839">
        <v>2</v>
      </c>
      <c r="J839" t="s">
        <v>39</v>
      </c>
      <c r="K839">
        <v>3</v>
      </c>
      <c r="L839">
        <v>3</v>
      </c>
      <c r="M839" t="s">
        <v>58</v>
      </c>
      <c r="N839">
        <v>3</v>
      </c>
      <c r="O839" t="s">
        <v>41</v>
      </c>
      <c r="P839" s="1">
        <v>13499</v>
      </c>
      <c r="Q839" t="s">
        <v>90</v>
      </c>
      <c r="R839" t="s">
        <v>43</v>
      </c>
      <c r="S839">
        <v>3</v>
      </c>
      <c r="T839">
        <v>20</v>
      </c>
      <c r="U839">
        <v>2</v>
      </c>
      <c r="V839">
        <v>18</v>
      </c>
      <c r="W839">
        <v>7</v>
      </c>
      <c r="X839">
        <v>2</v>
      </c>
      <c r="Y839">
        <v>13</v>
      </c>
      <c r="Z839" t="s">
        <v>1550</v>
      </c>
      <c r="AA839" t="s">
        <v>82</v>
      </c>
      <c r="AB839" t="str" cm="1">
        <f t="array" ref="AB839">_xlfn.IFS(cleaned_data[[#This Row],[YearsAtCompany]]&lt;=5, "0-5",cleaned_data[[#This Row],[YearsAtCompany]]&lt;=10,"6-10",TRUE,"10+")</f>
        <v>10+</v>
      </c>
    </row>
    <row r="840" spans="1:28" x14ac:dyDescent="0.3">
      <c r="A840" s="2">
        <v>42</v>
      </c>
      <c r="B840" t="s">
        <v>35</v>
      </c>
      <c r="C840">
        <v>1</v>
      </c>
      <c r="D840" t="s">
        <v>44</v>
      </c>
      <c r="E840" t="s">
        <v>37</v>
      </c>
      <c r="F840">
        <v>12</v>
      </c>
      <c r="G840" t="s">
        <v>38</v>
      </c>
      <c r="H840" t="s">
        <v>910</v>
      </c>
      <c r="I840">
        <v>3</v>
      </c>
      <c r="J840" t="s">
        <v>46</v>
      </c>
      <c r="K840">
        <v>3</v>
      </c>
      <c r="L840">
        <v>4</v>
      </c>
      <c r="M840" t="s">
        <v>40</v>
      </c>
      <c r="N840">
        <v>1</v>
      </c>
      <c r="O840" t="s">
        <v>41</v>
      </c>
      <c r="P840" s="6">
        <v>13758</v>
      </c>
      <c r="Q840" t="s">
        <v>90</v>
      </c>
      <c r="R840" t="s">
        <v>35</v>
      </c>
      <c r="S840">
        <v>3</v>
      </c>
      <c r="T840">
        <v>22</v>
      </c>
      <c r="U840">
        <v>2</v>
      </c>
      <c r="V840">
        <v>21</v>
      </c>
      <c r="W840">
        <v>9</v>
      </c>
      <c r="X840">
        <v>13</v>
      </c>
      <c r="Y840">
        <v>14</v>
      </c>
      <c r="Z840" t="s">
        <v>1550</v>
      </c>
      <c r="AA840" t="s">
        <v>82</v>
      </c>
      <c r="AB840" t="str" cm="1">
        <f t="array" ref="AB840">_xlfn.IFS(cleaned_data[[#This Row],[YearsAtCompany]]&lt;=5, "0-5",cleaned_data[[#This Row],[YearsAtCompany]]&lt;=10,"6-10",TRUE,"10+")</f>
        <v>10+</v>
      </c>
    </row>
    <row r="841" spans="1:28" x14ac:dyDescent="0.3">
      <c r="A841" s="2">
        <v>42</v>
      </c>
      <c r="B841" t="s">
        <v>43</v>
      </c>
      <c r="C841">
        <v>0</v>
      </c>
      <c r="D841" t="s">
        <v>36</v>
      </c>
      <c r="E841" t="s">
        <v>37</v>
      </c>
      <c r="F841">
        <v>4</v>
      </c>
      <c r="G841" t="s">
        <v>59</v>
      </c>
      <c r="H841" t="s">
        <v>911</v>
      </c>
      <c r="I841">
        <v>2</v>
      </c>
      <c r="J841" t="s">
        <v>46</v>
      </c>
      <c r="K841">
        <v>3</v>
      </c>
      <c r="L841">
        <v>2</v>
      </c>
      <c r="M841" t="s">
        <v>40</v>
      </c>
      <c r="N841">
        <v>1</v>
      </c>
      <c r="O841" t="s">
        <v>41</v>
      </c>
      <c r="P841" s="6">
        <v>5155</v>
      </c>
      <c r="Q841" t="s">
        <v>67</v>
      </c>
      <c r="R841" t="s">
        <v>43</v>
      </c>
      <c r="S841">
        <v>3</v>
      </c>
      <c r="T841">
        <v>9</v>
      </c>
      <c r="U841">
        <v>4</v>
      </c>
      <c r="V841">
        <v>6</v>
      </c>
      <c r="W841">
        <v>4</v>
      </c>
      <c r="X841">
        <v>1</v>
      </c>
      <c r="Y841">
        <v>5</v>
      </c>
      <c r="Z841" t="s">
        <v>1550</v>
      </c>
      <c r="AA841" t="s">
        <v>69</v>
      </c>
      <c r="AB841" t="str" cm="1">
        <f t="array" ref="AB841">_xlfn.IFS(cleaned_data[[#This Row],[YearsAtCompany]]&lt;=5, "0-5",cleaned_data[[#This Row],[YearsAtCompany]]&lt;=10,"6-10",TRUE,"10+")</f>
        <v>6-10</v>
      </c>
    </row>
    <row r="842" spans="1:28" x14ac:dyDescent="0.3">
      <c r="A842" s="2">
        <v>35</v>
      </c>
      <c r="B842" t="s">
        <v>43</v>
      </c>
      <c r="C842">
        <v>0</v>
      </c>
      <c r="D842" t="s">
        <v>36</v>
      </c>
      <c r="E842" t="s">
        <v>45</v>
      </c>
      <c r="F842">
        <v>1</v>
      </c>
      <c r="G842" t="s">
        <v>51</v>
      </c>
      <c r="H842" t="s">
        <v>912</v>
      </c>
      <c r="I842">
        <v>4</v>
      </c>
      <c r="J842" t="s">
        <v>46</v>
      </c>
      <c r="K842">
        <v>2</v>
      </c>
      <c r="L842">
        <v>1</v>
      </c>
      <c r="M842" t="s">
        <v>50</v>
      </c>
      <c r="N842">
        <v>3</v>
      </c>
      <c r="O842" t="s">
        <v>48</v>
      </c>
      <c r="P842" s="1">
        <v>2258</v>
      </c>
      <c r="Q842" t="s">
        <v>72</v>
      </c>
      <c r="R842" t="s">
        <v>43</v>
      </c>
      <c r="S842">
        <v>3</v>
      </c>
      <c r="T842">
        <v>10</v>
      </c>
      <c r="U842">
        <v>3</v>
      </c>
      <c r="V842">
        <v>8</v>
      </c>
      <c r="W842">
        <v>0</v>
      </c>
      <c r="X842">
        <v>1</v>
      </c>
      <c r="Y842">
        <v>7</v>
      </c>
      <c r="Z842" t="s">
        <v>1551</v>
      </c>
      <c r="AA842" t="s">
        <v>69</v>
      </c>
      <c r="AB842" t="str" cm="1">
        <f t="array" ref="AB842">_xlfn.IFS(cleaned_data[[#This Row],[YearsAtCompany]]&lt;=5, "0-5",cleaned_data[[#This Row],[YearsAtCompany]]&lt;=10,"6-10",TRUE,"10+")</f>
        <v>6-10</v>
      </c>
    </row>
    <row r="843" spans="1:28" x14ac:dyDescent="0.3">
      <c r="A843" s="2">
        <v>24</v>
      </c>
      <c r="B843" t="s">
        <v>43</v>
      </c>
      <c r="C843">
        <v>0</v>
      </c>
      <c r="D843" t="s">
        <v>36</v>
      </c>
      <c r="E843" t="s">
        <v>45</v>
      </c>
      <c r="F843">
        <v>24</v>
      </c>
      <c r="G843" t="s">
        <v>51</v>
      </c>
      <c r="H843" t="s">
        <v>913</v>
      </c>
      <c r="I843">
        <v>4</v>
      </c>
      <c r="J843" t="s">
        <v>46</v>
      </c>
      <c r="K843">
        <v>3</v>
      </c>
      <c r="L843">
        <v>1</v>
      </c>
      <c r="M843" t="s">
        <v>50</v>
      </c>
      <c r="N843">
        <v>2</v>
      </c>
      <c r="O843" t="s">
        <v>41</v>
      </c>
      <c r="P843" s="1">
        <v>3597</v>
      </c>
      <c r="Q843" t="s">
        <v>72</v>
      </c>
      <c r="R843" t="s">
        <v>43</v>
      </c>
      <c r="S843">
        <v>4</v>
      </c>
      <c r="T843">
        <v>6</v>
      </c>
      <c r="U843">
        <v>3</v>
      </c>
      <c r="V843">
        <v>4</v>
      </c>
      <c r="W843">
        <v>3</v>
      </c>
      <c r="X843">
        <v>1</v>
      </c>
      <c r="Y843">
        <v>2</v>
      </c>
      <c r="Z843" t="s">
        <v>68</v>
      </c>
      <c r="AA843" t="s">
        <v>69</v>
      </c>
      <c r="AB843" t="str" cm="1">
        <f t="array" ref="AB843">_xlfn.IFS(cleaned_data[[#This Row],[YearsAtCompany]]&lt;=5, "0-5",cleaned_data[[#This Row],[YearsAtCompany]]&lt;=10,"6-10",TRUE,"10+")</f>
        <v>0-5</v>
      </c>
    </row>
    <row r="844" spans="1:28" x14ac:dyDescent="0.3">
      <c r="A844" s="2">
        <v>28</v>
      </c>
      <c r="B844" t="s">
        <v>35</v>
      </c>
      <c r="C844">
        <v>1</v>
      </c>
      <c r="D844" t="s">
        <v>36</v>
      </c>
      <c r="E844" t="s">
        <v>45</v>
      </c>
      <c r="F844">
        <v>12</v>
      </c>
      <c r="G844" t="s">
        <v>38</v>
      </c>
      <c r="H844" t="s">
        <v>914</v>
      </c>
      <c r="I844">
        <v>3</v>
      </c>
      <c r="J844" t="s">
        <v>39</v>
      </c>
      <c r="K844">
        <v>3</v>
      </c>
      <c r="L844">
        <v>1</v>
      </c>
      <c r="M844" t="s">
        <v>50</v>
      </c>
      <c r="N844">
        <v>4</v>
      </c>
      <c r="O844" t="s">
        <v>48</v>
      </c>
      <c r="P844" s="1">
        <v>2515</v>
      </c>
      <c r="Q844" t="s">
        <v>72</v>
      </c>
      <c r="R844" t="s">
        <v>35</v>
      </c>
      <c r="S844">
        <v>3</v>
      </c>
      <c r="T844">
        <v>1</v>
      </c>
      <c r="U844">
        <v>2</v>
      </c>
      <c r="V844">
        <v>1</v>
      </c>
      <c r="W844">
        <v>1</v>
      </c>
      <c r="X844">
        <v>0</v>
      </c>
      <c r="Y844">
        <v>0</v>
      </c>
      <c r="Z844" t="s">
        <v>1551</v>
      </c>
      <c r="AA844" t="s">
        <v>78</v>
      </c>
      <c r="AB844" t="str" cm="1">
        <f t="array" ref="AB844">_xlfn.IFS(cleaned_data[[#This Row],[YearsAtCompany]]&lt;=5, "0-5",cleaned_data[[#This Row],[YearsAtCompany]]&lt;=10,"6-10",TRUE,"10+")</f>
        <v>0-5</v>
      </c>
    </row>
    <row r="845" spans="1:28" x14ac:dyDescent="0.3">
      <c r="A845" s="2">
        <v>26</v>
      </c>
      <c r="B845" t="s">
        <v>43</v>
      </c>
      <c r="C845">
        <v>0</v>
      </c>
      <c r="D845" t="s">
        <v>36</v>
      </c>
      <c r="E845" t="s">
        <v>45</v>
      </c>
      <c r="F845">
        <v>3</v>
      </c>
      <c r="G845" t="s">
        <v>51</v>
      </c>
      <c r="H845" t="s">
        <v>915</v>
      </c>
      <c r="I845">
        <v>1</v>
      </c>
      <c r="J845" t="s">
        <v>46</v>
      </c>
      <c r="K845">
        <v>4</v>
      </c>
      <c r="L845">
        <v>1</v>
      </c>
      <c r="M845" t="s">
        <v>50</v>
      </c>
      <c r="N845">
        <v>4</v>
      </c>
      <c r="O845" t="s">
        <v>48</v>
      </c>
      <c r="P845" s="1">
        <v>4420</v>
      </c>
      <c r="Q845" t="s">
        <v>72</v>
      </c>
      <c r="R845" t="s">
        <v>43</v>
      </c>
      <c r="S845">
        <v>4</v>
      </c>
      <c r="T845">
        <v>8</v>
      </c>
      <c r="U845">
        <v>3</v>
      </c>
      <c r="V845">
        <v>8</v>
      </c>
      <c r="W845">
        <v>7</v>
      </c>
      <c r="X845">
        <v>0</v>
      </c>
      <c r="Y845">
        <v>7</v>
      </c>
      <c r="Z845" t="s">
        <v>1551</v>
      </c>
      <c r="AA845" t="s">
        <v>69</v>
      </c>
      <c r="AB845" t="str" cm="1">
        <f t="array" ref="AB845">_xlfn.IFS(cleaned_data[[#This Row],[YearsAtCompany]]&lt;=5, "0-5",cleaned_data[[#This Row],[YearsAtCompany]]&lt;=10,"6-10",TRUE,"10+")</f>
        <v>6-10</v>
      </c>
    </row>
    <row r="846" spans="1:28" x14ac:dyDescent="0.3">
      <c r="A846" s="2">
        <v>30</v>
      </c>
      <c r="B846" t="s">
        <v>43</v>
      </c>
      <c r="C846">
        <v>0</v>
      </c>
      <c r="D846" t="s">
        <v>36</v>
      </c>
      <c r="E846" t="s">
        <v>37</v>
      </c>
      <c r="F846">
        <v>10</v>
      </c>
      <c r="G846" t="s">
        <v>59</v>
      </c>
      <c r="H846" t="s">
        <v>916</v>
      </c>
      <c r="I846">
        <v>3</v>
      </c>
      <c r="J846" t="s">
        <v>46</v>
      </c>
      <c r="K846">
        <v>2</v>
      </c>
      <c r="L846">
        <v>2</v>
      </c>
      <c r="M846" t="s">
        <v>40</v>
      </c>
      <c r="N846">
        <v>3</v>
      </c>
      <c r="O846" t="s">
        <v>48</v>
      </c>
      <c r="P846" s="1">
        <v>6578</v>
      </c>
      <c r="Q846" t="s">
        <v>67</v>
      </c>
      <c r="R846" t="s">
        <v>43</v>
      </c>
      <c r="S846">
        <v>3</v>
      </c>
      <c r="T846">
        <v>10</v>
      </c>
      <c r="U846">
        <v>3</v>
      </c>
      <c r="V846">
        <v>10</v>
      </c>
      <c r="W846">
        <v>3</v>
      </c>
      <c r="X846">
        <v>1</v>
      </c>
      <c r="Y846">
        <v>4</v>
      </c>
      <c r="Z846" t="s">
        <v>1551</v>
      </c>
      <c r="AA846" t="s">
        <v>69</v>
      </c>
      <c r="AB846" t="str" cm="1">
        <f t="array" ref="AB846">_xlfn.IFS(cleaned_data[[#This Row],[YearsAtCompany]]&lt;=5, "0-5",cleaned_data[[#This Row],[YearsAtCompany]]&lt;=10,"6-10",TRUE,"10+")</f>
        <v>6-10</v>
      </c>
    </row>
    <row r="847" spans="1:28" x14ac:dyDescent="0.3">
      <c r="A847" s="2">
        <v>40</v>
      </c>
      <c r="B847" t="s">
        <v>43</v>
      </c>
      <c r="C847">
        <v>0</v>
      </c>
      <c r="D847" t="s">
        <v>44</v>
      </c>
      <c r="E847" t="s">
        <v>45</v>
      </c>
      <c r="F847">
        <v>26</v>
      </c>
      <c r="G847" t="s">
        <v>51</v>
      </c>
      <c r="H847" t="s">
        <v>917</v>
      </c>
      <c r="I847">
        <v>3</v>
      </c>
      <c r="J847" t="s">
        <v>39</v>
      </c>
      <c r="K847">
        <v>2</v>
      </c>
      <c r="L847">
        <v>2</v>
      </c>
      <c r="M847" t="s">
        <v>47</v>
      </c>
      <c r="N847">
        <v>4</v>
      </c>
      <c r="O847" t="s">
        <v>48</v>
      </c>
      <c r="P847" s="1">
        <v>4422</v>
      </c>
      <c r="Q847" t="s">
        <v>72</v>
      </c>
      <c r="R847" t="s">
        <v>35</v>
      </c>
      <c r="S847">
        <v>3</v>
      </c>
      <c r="T847">
        <v>16</v>
      </c>
      <c r="U847">
        <v>1</v>
      </c>
      <c r="V847">
        <v>1</v>
      </c>
      <c r="W847">
        <v>1</v>
      </c>
      <c r="X847">
        <v>0</v>
      </c>
      <c r="Y847">
        <v>0</v>
      </c>
      <c r="Z847" t="s">
        <v>1550</v>
      </c>
      <c r="AA847" t="s">
        <v>82</v>
      </c>
      <c r="AB847" t="str" cm="1">
        <f t="array" ref="AB847">_xlfn.IFS(cleaned_data[[#This Row],[YearsAtCompany]]&lt;=5, "0-5",cleaned_data[[#This Row],[YearsAtCompany]]&lt;=10,"6-10",TRUE,"10+")</f>
        <v>0-5</v>
      </c>
    </row>
    <row r="848" spans="1:28" x14ac:dyDescent="0.3">
      <c r="A848" s="2">
        <v>35</v>
      </c>
      <c r="B848" t="s">
        <v>43</v>
      </c>
      <c r="C848">
        <v>0</v>
      </c>
      <c r="D848" t="s">
        <v>36</v>
      </c>
      <c r="E848" t="s">
        <v>45</v>
      </c>
      <c r="F848">
        <v>2</v>
      </c>
      <c r="G848" t="s">
        <v>38</v>
      </c>
      <c r="H848" t="s">
        <v>918</v>
      </c>
      <c r="I848">
        <v>3</v>
      </c>
      <c r="J848" t="s">
        <v>46</v>
      </c>
      <c r="K848">
        <v>2</v>
      </c>
      <c r="L848">
        <v>3</v>
      </c>
      <c r="M848" t="s">
        <v>53</v>
      </c>
      <c r="N848">
        <v>2</v>
      </c>
      <c r="O848" t="s">
        <v>52</v>
      </c>
      <c r="P848" s="1">
        <v>10274</v>
      </c>
      <c r="Q848" t="s">
        <v>67</v>
      </c>
      <c r="R848" t="s">
        <v>43</v>
      </c>
      <c r="S848">
        <v>3</v>
      </c>
      <c r="T848">
        <v>15</v>
      </c>
      <c r="U848">
        <v>4</v>
      </c>
      <c r="V848">
        <v>7</v>
      </c>
      <c r="W848">
        <v>7</v>
      </c>
      <c r="X848">
        <v>6</v>
      </c>
      <c r="Y848">
        <v>4</v>
      </c>
      <c r="Z848" t="s">
        <v>1551</v>
      </c>
      <c r="AA848" t="s">
        <v>69</v>
      </c>
      <c r="AB848" t="str" cm="1">
        <f t="array" ref="AB848">_xlfn.IFS(cleaned_data[[#This Row],[YearsAtCompany]]&lt;=5, "0-5",cleaned_data[[#This Row],[YearsAtCompany]]&lt;=10,"6-10",TRUE,"10+")</f>
        <v>6-10</v>
      </c>
    </row>
    <row r="849" spans="1:28" x14ac:dyDescent="0.3">
      <c r="A849" s="2">
        <v>34</v>
      </c>
      <c r="B849" t="s">
        <v>43</v>
      </c>
      <c r="C849">
        <v>0</v>
      </c>
      <c r="D849" t="s">
        <v>44</v>
      </c>
      <c r="E849" t="s">
        <v>45</v>
      </c>
      <c r="F849">
        <v>1</v>
      </c>
      <c r="G849" t="s">
        <v>51</v>
      </c>
      <c r="H849" t="s">
        <v>919</v>
      </c>
      <c r="I849">
        <v>4</v>
      </c>
      <c r="J849" t="s">
        <v>46</v>
      </c>
      <c r="K849">
        <v>2</v>
      </c>
      <c r="L849">
        <v>2</v>
      </c>
      <c r="M849" t="s">
        <v>54</v>
      </c>
      <c r="N849">
        <v>1</v>
      </c>
      <c r="O849" t="s">
        <v>41</v>
      </c>
      <c r="P849" s="6">
        <v>5343</v>
      </c>
      <c r="Q849" t="s">
        <v>67</v>
      </c>
      <c r="R849" t="s">
        <v>43</v>
      </c>
      <c r="S849">
        <v>4</v>
      </c>
      <c r="T849">
        <v>14</v>
      </c>
      <c r="U849">
        <v>3</v>
      </c>
      <c r="V849">
        <v>13</v>
      </c>
      <c r="W849">
        <v>9</v>
      </c>
      <c r="X849">
        <v>4</v>
      </c>
      <c r="Y849">
        <v>9</v>
      </c>
      <c r="Z849" t="s">
        <v>1551</v>
      </c>
      <c r="AA849" t="s">
        <v>69</v>
      </c>
      <c r="AB849" t="str" cm="1">
        <f t="array" ref="AB849">_xlfn.IFS(cleaned_data[[#This Row],[YearsAtCompany]]&lt;=5, "0-5",cleaned_data[[#This Row],[YearsAtCompany]]&lt;=10,"6-10",TRUE,"10+")</f>
        <v>10+</v>
      </c>
    </row>
    <row r="850" spans="1:28" x14ac:dyDescent="0.3">
      <c r="A850" s="2">
        <v>35</v>
      </c>
      <c r="B850" t="s">
        <v>43</v>
      </c>
      <c r="C850">
        <v>0</v>
      </c>
      <c r="D850" t="s">
        <v>44</v>
      </c>
      <c r="E850" t="s">
        <v>45</v>
      </c>
      <c r="F850">
        <v>4</v>
      </c>
      <c r="G850" t="s">
        <v>49</v>
      </c>
      <c r="H850" t="s">
        <v>920</v>
      </c>
      <c r="I850">
        <v>4</v>
      </c>
      <c r="J850" t="s">
        <v>46</v>
      </c>
      <c r="K850">
        <v>2</v>
      </c>
      <c r="L850">
        <v>1</v>
      </c>
      <c r="M850" t="s">
        <v>50</v>
      </c>
      <c r="N850">
        <v>4</v>
      </c>
      <c r="O850" t="s">
        <v>48</v>
      </c>
      <c r="P850" s="1">
        <v>2376</v>
      </c>
      <c r="Q850" t="s">
        <v>72</v>
      </c>
      <c r="R850" t="s">
        <v>43</v>
      </c>
      <c r="S850">
        <v>3</v>
      </c>
      <c r="T850">
        <v>2</v>
      </c>
      <c r="U850">
        <v>4</v>
      </c>
      <c r="V850">
        <v>2</v>
      </c>
      <c r="W850">
        <v>2</v>
      </c>
      <c r="X850">
        <v>2</v>
      </c>
      <c r="Y850">
        <v>2</v>
      </c>
      <c r="Z850" t="s">
        <v>1551</v>
      </c>
      <c r="AA850" t="s">
        <v>78</v>
      </c>
      <c r="AB850" t="str" cm="1">
        <f t="array" ref="AB850">_xlfn.IFS(cleaned_data[[#This Row],[YearsAtCompany]]&lt;=5, "0-5",cleaned_data[[#This Row],[YearsAtCompany]]&lt;=10,"6-10",TRUE,"10+")</f>
        <v>0-5</v>
      </c>
    </row>
    <row r="851" spans="1:28" x14ac:dyDescent="0.3">
      <c r="A851" s="2">
        <v>43</v>
      </c>
      <c r="B851" t="s">
        <v>35</v>
      </c>
      <c r="C851">
        <v>1</v>
      </c>
      <c r="D851" t="s">
        <v>36</v>
      </c>
      <c r="E851" t="s">
        <v>37</v>
      </c>
      <c r="F851">
        <v>9</v>
      </c>
      <c r="G851" t="s">
        <v>59</v>
      </c>
      <c r="H851" t="s">
        <v>921</v>
      </c>
      <c r="I851">
        <v>1</v>
      </c>
      <c r="J851" t="s">
        <v>39</v>
      </c>
      <c r="K851">
        <v>1</v>
      </c>
      <c r="L851">
        <v>2</v>
      </c>
      <c r="M851" t="s">
        <v>40</v>
      </c>
      <c r="N851">
        <v>3</v>
      </c>
      <c r="O851" t="s">
        <v>41</v>
      </c>
      <c r="P851" s="1">
        <v>5346</v>
      </c>
      <c r="Q851" t="s">
        <v>67</v>
      </c>
      <c r="R851" t="s">
        <v>43</v>
      </c>
      <c r="S851">
        <v>3</v>
      </c>
      <c r="T851">
        <v>7</v>
      </c>
      <c r="U851">
        <v>2</v>
      </c>
      <c r="V851">
        <v>4</v>
      </c>
      <c r="W851">
        <v>3</v>
      </c>
      <c r="X851">
        <v>1</v>
      </c>
      <c r="Y851">
        <v>3</v>
      </c>
      <c r="Z851" t="s">
        <v>1550</v>
      </c>
      <c r="AA851" t="s">
        <v>69</v>
      </c>
      <c r="AB851" t="str" cm="1">
        <f t="array" ref="AB851">_xlfn.IFS(cleaned_data[[#This Row],[YearsAtCompany]]&lt;=5, "0-5",cleaned_data[[#This Row],[YearsAtCompany]]&lt;=10,"6-10",TRUE,"10+")</f>
        <v>0-5</v>
      </c>
    </row>
    <row r="852" spans="1:28" x14ac:dyDescent="0.3">
      <c r="A852" s="2">
        <v>32</v>
      </c>
      <c r="B852" t="s">
        <v>43</v>
      </c>
      <c r="C852">
        <v>0</v>
      </c>
      <c r="D852" t="s">
        <v>55</v>
      </c>
      <c r="E852" t="s">
        <v>37</v>
      </c>
      <c r="F852">
        <v>2</v>
      </c>
      <c r="G852" t="s">
        <v>38</v>
      </c>
      <c r="H852" t="s">
        <v>922</v>
      </c>
      <c r="I852">
        <v>3</v>
      </c>
      <c r="J852" t="s">
        <v>39</v>
      </c>
      <c r="K852">
        <v>3</v>
      </c>
      <c r="L852">
        <v>1</v>
      </c>
      <c r="M852" t="s">
        <v>57</v>
      </c>
      <c r="N852">
        <v>1</v>
      </c>
      <c r="O852" t="s">
        <v>52</v>
      </c>
      <c r="P852" s="6">
        <v>2827</v>
      </c>
      <c r="Q852" t="s">
        <v>72</v>
      </c>
      <c r="R852" t="s">
        <v>43</v>
      </c>
      <c r="S852">
        <v>3</v>
      </c>
      <c r="T852">
        <v>1</v>
      </c>
      <c r="U852">
        <v>3</v>
      </c>
      <c r="V852">
        <v>1</v>
      </c>
      <c r="W852">
        <v>0</v>
      </c>
      <c r="X852">
        <v>0</v>
      </c>
      <c r="Y852">
        <v>0</v>
      </c>
      <c r="Z852" t="s">
        <v>1551</v>
      </c>
      <c r="AA852" t="s">
        <v>78</v>
      </c>
      <c r="AB852" t="str" cm="1">
        <f t="array" ref="AB852">_xlfn.IFS(cleaned_data[[#This Row],[YearsAtCompany]]&lt;=5, "0-5",cleaned_data[[#This Row],[YearsAtCompany]]&lt;=10,"6-10",TRUE,"10+")</f>
        <v>0-5</v>
      </c>
    </row>
    <row r="853" spans="1:28" x14ac:dyDescent="0.3">
      <c r="A853" s="2">
        <v>56</v>
      </c>
      <c r="B853" t="s">
        <v>43</v>
      </c>
      <c r="C853">
        <v>0</v>
      </c>
      <c r="D853" t="s">
        <v>36</v>
      </c>
      <c r="E853" t="s">
        <v>45</v>
      </c>
      <c r="F853">
        <v>4</v>
      </c>
      <c r="G853" t="s">
        <v>60</v>
      </c>
      <c r="H853" t="s">
        <v>923</v>
      </c>
      <c r="I853">
        <v>4</v>
      </c>
      <c r="J853" t="s">
        <v>39</v>
      </c>
      <c r="K853">
        <v>3</v>
      </c>
      <c r="L853">
        <v>5</v>
      </c>
      <c r="M853" t="s">
        <v>56</v>
      </c>
      <c r="N853">
        <v>1</v>
      </c>
      <c r="O853" t="s">
        <v>52</v>
      </c>
      <c r="P853" s="6">
        <v>19943</v>
      </c>
      <c r="Q853" t="s">
        <v>90</v>
      </c>
      <c r="R853" t="s">
        <v>43</v>
      </c>
      <c r="S853">
        <v>3</v>
      </c>
      <c r="T853">
        <v>28</v>
      </c>
      <c r="U853">
        <v>3</v>
      </c>
      <c r="V853">
        <v>5</v>
      </c>
      <c r="W853">
        <v>2</v>
      </c>
      <c r="X853">
        <v>4</v>
      </c>
      <c r="Y853">
        <v>2</v>
      </c>
      <c r="Z853" t="s">
        <v>106</v>
      </c>
      <c r="AA853" t="s">
        <v>82</v>
      </c>
      <c r="AB853" t="str" cm="1">
        <f t="array" ref="AB853">_xlfn.IFS(cleaned_data[[#This Row],[YearsAtCompany]]&lt;=5, "0-5",cleaned_data[[#This Row],[YearsAtCompany]]&lt;=10,"6-10",TRUE,"10+")</f>
        <v>0-5</v>
      </c>
    </row>
    <row r="854" spans="1:28" x14ac:dyDescent="0.3">
      <c r="A854" s="2">
        <v>29</v>
      </c>
      <c r="B854" t="s">
        <v>43</v>
      </c>
      <c r="C854">
        <v>0</v>
      </c>
      <c r="D854" t="s">
        <v>36</v>
      </c>
      <c r="E854" t="s">
        <v>45</v>
      </c>
      <c r="F854">
        <v>6</v>
      </c>
      <c r="G854" t="s">
        <v>51</v>
      </c>
      <c r="H854" t="s">
        <v>924</v>
      </c>
      <c r="I854">
        <v>2</v>
      </c>
      <c r="J854" t="s">
        <v>39</v>
      </c>
      <c r="K854">
        <v>3</v>
      </c>
      <c r="L854">
        <v>1</v>
      </c>
      <c r="M854" t="s">
        <v>50</v>
      </c>
      <c r="N854">
        <v>4</v>
      </c>
      <c r="O854" t="s">
        <v>48</v>
      </c>
      <c r="P854" s="1">
        <v>3131</v>
      </c>
      <c r="Q854" t="s">
        <v>72</v>
      </c>
      <c r="R854" t="s">
        <v>43</v>
      </c>
      <c r="S854">
        <v>3</v>
      </c>
      <c r="T854">
        <v>10</v>
      </c>
      <c r="U854">
        <v>3</v>
      </c>
      <c r="V854">
        <v>10</v>
      </c>
      <c r="W854">
        <v>8</v>
      </c>
      <c r="X854">
        <v>0</v>
      </c>
      <c r="Y854">
        <v>8</v>
      </c>
      <c r="Z854" t="s">
        <v>1551</v>
      </c>
      <c r="AA854" t="s">
        <v>69</v>
      </c>
      <c r="AB854" t="str" cm="1">
        <f t="array" ref="AB854">_xlfn.IFS(cleaned_data[[#This Row],[YearsAtCompany]]&lt;=5, "0-5",cleaned_data[[#This Row],[YearsAtCompany]]&lt;=10,"6-10",TRUE,"10+")</f>
        <v>6-10</v>
      </c>
    </row>
    <row r="855" spans="1:28" x14ac:dyDescent="0.3">
      <c r="A855" s="2">
        <v>19</v>
      </c>
      <c r="B855" t="s">
        <v>43</v>
      </c>
      <c r="C855">
        <v>0</v>
      </c>
      <c r="D855" t="s">
        <v>36</v>
      </c>
      <c r="E855" t="s">
        <v>45</v>
      </c>
      <c r="F855">
        <v>9</v>
      </c>
      <c r="G855" t="s">
        <v>38</v>
      </c>
      <c r="H855" t="s">
        <v>925</v>
      </c>
      <c r="I855">
        <v>3</v>
      </c>
      <c r="J855" t="s">
        <v>46</v>
      </c>
      <c r="K855">
        <v>3</v>
      </c>
      <c r="L855">
        <v>1</v>
      </c>
      <c r="M855" t="s">
        <v>47</v>
      </c>
      <c r="N855">
        <v>1</v>
      </c>
      <c r="O855" t="s">
        <v>41</v>
      </c>
      <c r="P855" s="6">
        <v>2552</v>
      </c>
      <c r="Q855" t="s">
        <v>72</v>
      </c>
      <c r="R855" t="s">
        <v>43</v>
      </c>
      <c r="S855">
        <v>4</v>
      </c>
      <c r="T855">
        <v>1</v>
      </c>
      <c r="U855">
        <v>3</v>
      </c>
      <c r="V855">
        <v>1</v>
      </c>
      <c r="W855">
        <v>1</v>
      </c>
      <c r="X855">
        <v>0</v>
      </c>
      <c r="Y855">
        <v>0</v>
      </c>
      <c r="Z855" t="s">
        <v>68</v>
      </c>
      <c r="AA855" t="s">
        <v>78</v>
      </c>
      <c r="AB855" t="str" cm="1">
        <f t="array" ref="AB855">_xlfn.IFS(cleaned_data[[#This Row],[YearsAtCompany]]&lt;=5, "0-5",cleaned_data[[#This Row],[YearsAtCompany]]&lt;=10,"6-10",TRUE,"10+")</f>
        <v>0-5</v>
      </c>
    </row>
    <row r="856" spans="1:28" x14ac:dyDescent="0.3">
      <c r="A856" s="2">
        <v>45</v>
      </c>
      <c r="B856" t="s">
        <v>43</v>
      </c>
      <c r="C856">
        <v>0</v>
      </c>
      <c r="D856" t="s">
        <v>36</v>
      </c>
      <c r="E856" t="s">
        <v>45</v>
      </c>
      <c r="F856">
        <v>7</v>
      </c>
      <c r="G856" t="s">
        <v>51</v>
      </c>
      <c r="H856" t="s">
        <v>926</v>
      </c>
      <c r="I856">
        <v>1</v>
      </c>
      <c r="J856" t="s">
        <v>39</v>
      </c>
      <c r="K856">
        <v>3</v>
      </c>
      <c r="L856">
        <v>1</v>
      </c>
      <c r="M856" t="s">
        <v>47</v>
      </c>
      <c r="N856">
        <v>3</v>
      </c>
      <c r="O856" t="s">
        <v>48</v>
      </c>
      <c r="P856" s="1">
        <v>4477</v>
      </c>
      <c r="Q856" t="s">
        <v>72</v>
      </c>
      <c r="R856" t="s">
        <v>35</v>
      </c>
      <c r="S856">
        <v>3</v>
      </c>
      <c r="T856">
        <v>7</v>
      </c>
      <c r="U856">
        <v>2</v>
      </c>
      <c r="V856">
        <v>3</v>
      </c>
      <c r="W856">
        <v>2</v>
      </c>
      <c r="X856">
        <v>0</v>
      </c>
      <c r="Y856">
        <v>2</v>
      </c>
      <c r="Z856" t="s">
        <v>1550</v>
      </c>
      <c r="AA856" t="s">
        <v>69</v>
      </c>
      <c r="AB856" t="str" cm="1">
        <f t="array" ref="AB856">_xlfn.IFS(cleaned_data[[#This Row],[YearsAtCompany]]&lt;=5, "0-5",cleaned_data[[#This Row],[YearsAtCompany]]&lt;=10,"6-10",TRUE,"10+")</f>
        <v>0-5</v>
      </c>
    </row>
    <row r="857" spans="1:28" x14ac:dyDescent="0.3">
      <c r="A857" s="2">
        <v>37</v>
      </c>
      <c r="B857" t="s">
        <v>43</v>
      </c>
      <c r="C857">
        <v>0</v>
      </c>
      <c r="D857" t="s">
        <v>36</v>
      </c>
      <c r="E857" t="s">
        <v>45</v>
      </c>
      <c r="F857">
        <v>1</v>
      </c>
      <c r="G857" t="s">
        <v>38</v>
      </c>
      <c r="H857" t="s">
        <v>927</v>
      </c>
      <c r="I857">
        <v>4</v>
      </c>
      <c r="J857" t="s">
        <v>39</v>
      </c>
      <c r="K857">
        <v>2</v>
      </c>
      <c r="L857">
        <v>2</v>
      </c>
      <c r="M857" t="s">
        <v>53</v>
      </c>
      <c r="N857">
        <v>4</v>
      </c>
      <c r="O857" t="s">
        <v>48</v>
      </c>
      <c r="P857" s="1">
        <v>6474</v>
      </c>
      <c r="Q857" t="s">
        <v>67</v>
      </c>
      <c r="R857" t="s">
        <v>43</v>
      </c>
      <c r="S857">
        <v>3</v>
      </c>
      <c r="T857">
        <v>14</v>
      </c>
      <c r="U857">
        <v>2</v>
      </c>
      <c r="V857">
        <v>14</v>
      </c>
      <c r="W857">
        <v>8</v>
      </c>
      <c r="X857">
        <v>3</v>
      </c>
      <c r="Y857">
        <v>11</v>
      </c>
      <c r="Z857" t="s">
        <v>1550</v>
      </c>
      <c r="AA857" t="s">
        <v>69</v>
      </c>
      <c r="AB857" t="str" cm="1">
        <f t="array" ref="AB857">_xlfn.IFS(cleaned_data[[#This Row],[YearsAtCompany]]&lt;=5, "0-5",cleaned_data[[#This Row],[YearsAtCompany]]&lt;=10,"6-10",TRUE,"10+")</f>
        <v>10+</v>
      </c>
    </row>
    <row r="858" spans="1:28" x14ac:dyDescent="0.3">
      <c r="A858" s="2">
        <v>20</v>
      </c>
      <c r="B858" t="s">
        <v>43</v>
      </c>
      <c r="C858">
        <v>0</v>
      </c>
      <c r="D858" t="s">
        <v>36</v>
      </c>
      <c r="E858" t="s">
        <v>45</v>
      </c>
      <c r="F858">
        <v>3</v>
      </c>
      <c r="G858" t="s">
        <v>38</v>
      </c>
      <c r="H858" t="s">
        <v>928</v>
      </c>
      <c r="I858">
        <v>1</v>
      </c>
      <c r="J858" t="s">
        <v>46</v>
      </c>
      <c r="K858">
        <v>2</v>
      </c>
      <c r="L858">
        <v>1</v>
      </c>
      <c r="M858" t="s">
        <v>50</v>
      </c>
      <c r="N858">
        <v>3</v>
      </c>
      <c r="O858" t="s">
        <v>41</v>
      </c>
      <c r="P858" s="1">
        <v>3033</v>
      </c>
      <c r="Q858" t="s">
        <v>72</v>
      </c>
      <c r="R858" t="s">
        <v>43</v>
      </c>
      <c r="S858">
        <v>3</v>
      </c>
      <c r="T858">
        <v>2</v>
      </c>
      <c r="U858">
        <v>2</v>
      </c>
      <c r="V858">
        <v>2</v>
      </c>
      <c r="W858">
        <v>2</v>
      </c>
      <c r="X858">
        <v>1</v>
      </c>
      <c r="Y858">
        <v>2</v>
      </c>
      <c r="Z858" t="s">
        <v>68</v>
      </c>
      <c r="AA858" t="s">
        <v>78</v>
      </c>
      <c r="AB858" t="str" cm="1">
        <f t="array" ref="AB858">_xlfn.IFS(cleaned_data[[#This Row],[YearsAtCompany]]&lt;=5, "0-5",cleaned_data[[#This Row],[YearsAtCompany]]&lt;=10,"6-10",TRUE,"10+")</f>
        <v>0-5</v>
      </c>
    </row>
    <row r="859" spans="1:28" x14ac:dyDescent="0.3">
      <c r="A859" s="2">
        <v>44</v>
      </c>
      <c r="B859" t="s">
        <v>35</v>
      </c>
      <c r="C859">
        <v>1</v>
      </c>
      <c r="D859" t="s">
        <v>36</v>
      </c>
      <c r="E859" t="s">
        <v>45</v>
      </c>
      <c r="F859">
        <v>10</v>
      </c>
      <c r="G859" t="s">
        <v>38</v>
      </c>
      <c r="H859" t="s">
        <v>929</v>
      </c>
      <c r="I859">
        <v>3</v>
      </c>
      <c r="J859" t="s">
        <v>46</v>
      </c>
      <c r="K859">
        <v>3</v>
      </c>
      <c r="L859">
        <v>1</v>
      </c>
      <c r="M859" t="s">
        <v>47</v>
      </c>
      <c r="N859">
        <v>3</v>
      </c>
      <c r="O859" t="s">
        <v>41</v>
      </c>
      <c r="P859" s="1">
        <v>2936</v>
      </c>
      <c r="Q859" t="s">
        <v>72</v>
      </c>
      <c r="R859" t="s">
        <v>35</v>
      </c>
      <c r="S859">
        <v>3</v>
      </c>
      <c r="T859">
        <v>6</v>
      </c>
      <c r="U859">
        <v>3</v>
      </c>
      <c r="V859">
        <v>6</v>
      </c>
      <c r="W859">
        <v>4</v>
      </c>
      <c r="X859">
        <v>0</v>
      </c>
      <c r="Y859">
        <v>2</v>
      </c>
      <c r="Z859" t="s">
        <v>1550</v>
      </c>
      <c r="AA859" t="s">
        <v>69</v>
      </c>
      <c r="AB859" t="str" cm="1">
        <f t="array" ref="AB859">_xlfn.IFS(cleaned_data[[#This Row],[YearsAtCompany]]&lt;=5, "0-5",cleaned_data[[#This Row],[YearsAtCompany]]&lt;=10,"6-10",TRUE,"10+")</f>
        <v>6-10</v>
      </c>
    </row>
    <row r="860" spans="1:28" x14ac:dyDescent="0.3">
      <c r="A860" s="2">
        <v>53</v>
      </c>
      <c r="B860" t="s">
        <v>43</v>
      </c>
      <c r="C860">
        <v>0</v>
      </c>
      <c r="D860" t="s">
        <v>36</v>
      </c>
      <c r="E860" t="s">
        <v>45</v>
      </c>
      <c r="F860">
        <v>7</v>
      </c>
      <c r="G860" t="s">
        <v>51</v>
      </c>
      <c r="H860" t="s">
        <v>930</v>
      </c>
      <c r="I860">
        <v>4</v>
      </c>
      <c r="J860" t="s">
        <v>39</v>
      </c>
      <c r="K860">
        <v>3</v>
      </c>
      <c r="L860">
        <v>5</v>
      </c>
      <c r="M860" t="s">
        <v>56</v>
      </c>
      <c r="N860">
        <v>3</v>
      </c>
      <c r="O860" t="s">
        <v>52</v>
      </c>
      <c r="P860" s="1">
        <v>18606</v>
      </c>
      <c r="Q860" t="s">
        <v>90</v>
      </c>
      <c r="R860" t="s">
        <v>43</v>
      </c>
      <c r="S860">
        <v>3</v>
      </c>
      <c r="T860">
        <v>26</v>
      </c>
      <c r="U860">
        <v>3</v>
      </c>
      <c r="V860">
        <v>7</v>
      </c>
      <c r="W860">
        <v>7</v>
      </c>
      <c r="X860">
        <v>4</v>
      </c>
      <c r="Y860">
        <v>7</v>
      </c>
      <c r="Z860" t="s">
        <v>106</v>
      </c>
      <c r="AA860" t="s">
        <v>82</v>
      </c>
      <c r="AB860" t="str" cm="1">
        <f t="array" ref="AB860">_xlfn.IFS(cleaned_data[[#This Row],[YearsAtCompany]]&lt;=5, "0-5",cleaned_data[[#This Row],[YearsAtCompany]]&lt;=10,"6-10",TRUE,"10+")</f>
        <v>6-10</v>
      </c>
    </row>
    <row r="861" spans="1:28" x14ac:dyDescent="0.3">
      <c r="A861" s="2">
        <v>29</v>
      </c>
      <c r="B861" t="s">
        <v>43</v>
      </c>
      <c r="C861">
        <v>0</v>
      </c>
      <c r="D861" t="s">
        <v>36</v>
      </c>
      <c r="E861" t="s">
        <v>45</v>
      </c>
      <c r="F861">
        <v>15</v>
      </c>
      <c r="G861" t="s">
        <v>38</v>
      </c>
      <c r="H861" t="s">
        <v>931</v>
      </c>
      <c r="I861">
        <v>2</v>
      </c>
      <c r="J861" t="s">
        <v>39</v>
      </c>
      <c r="K861">
        <v>1</v>
      </c>
      <c r="L861">
        <v>1</v>
      </c>
      <c r="M861" t="s">
        <v>47</v>
      </c>
      <c r="N861">
        <v>4</v>
      </c>
      <c r="O861" t="s">
        <v>48</v>
      </c>
      <c r="P861" s="1">
        <v>2168</v>
      </c>
      <c r="Q861" t="s">
        <v>72</v>
      </c>
      <c r="R861" t="s">
        <v>35</v>
      </c>
      <c r="S861">
        <v>3</v>
      </c>
      <c r="T861">
        <v>6</v>
      </c>
      <c r="U861">
        <v>2</v>
      </c>
      <c r="V861">
        <v>5</v>
      </c>
      <c r="W861">
        <v>4</v>
      </c>
      <c r="X861">
        <v>1</v>
      </c>
      <c r="Y861">
        <v>3</v>
      </c>
      <c r="Z861" t="s">
        <v>1551</v>
      </c>
      <c r="AA861" t="s">
        <v>69</v>
      </c>
      <c r="AB861" t="str" cm="1">
        <f t="array" ref="AB861">_xlfn.IFS(cleaned_data[[#This Row],[YearsAtCompany]]&lt;=5, "0-5",cleaned_data[[#This Row],[YearsAtCompany]]&lt;=10,"6-10",TRUE,"10+")</f>
        <v>0-5</v>
      </c>
    </row>
    <row r="862" spans="1:28" x14ac:dyDescent="0.3">
      <c r="A862" s="2">
        <v>22</v>
      </c>
      <c r="B862" t="s">
        <v>35</v>
      </c>
      <c r="C862">
        <v>1</v>
      </c>
      <c r="D862" t="s">
        <v>44</v>
      </c>
      <c r="E862" t="s">
        <v>45</v>
      </c>
      <c r="F862">
        <v>3</v>
      </c>
      <c r="G862" t="s">
        <v>38</v>
      </c>
      <c r="H862" t="s">
        <v>932</v>
      </c>
      <c r="I862">
        <v>3</v>
      </c>
      <c r="J862" t="s">
        <v>46</v>
      </c>
      <c r="K862">
        <v>2</v>
      </c>
      <c r="L862">
        <v>1</v>
      </c>
      <c r="M862" t="s">
        <v>47</v>
      </c>
      <c r="N862">
        <v>4</v>
      </c>
      <c r="O862" t="s">
        <v>48</v>
      </c>
      <c r="P862" s="1">
        <v>2853</v>
      </c>
      <c r="Q862" t="s">
        <v>72</v>
      </c>
      <c r="R862" t="s">
        <v>35</v>
      </c>
      <c r="S862">
        <v>3</v>
      </c>
      <c r="T862">
        <v>1</v>
      </c>
      <c r="U862">
        <v>3</v>
      </c>
      <c r="V862">
        <v>0</v>
      </c>
      <c r="W862">
        <v>0</v>
      </c>
      <c r="X862">
        <v>0</v>
      </c>
      <c r="Y862">
        <v>0</v>
      </c>
      <c r="Z862" t="s">
        <v>68</v>
      </c>
      <c r="AA862" t="s">
        <v>78</v>
      </c>
      <c r="AB862" t="str" cm="1">
        <f t="array" ref="AB862">_xlfn.IFS(cleaned_data[[#This Row],[YearsAtCompany]]&lt;=5, "0-5",cleaned_data[[#This Row],[YearsAtCompany]]&lt;=10,"6-10",TRUE,"10+")</f>
        <v>0-5</v>
      </c>
    </row>
    <row r="863" spans="1:28" x14ac:dyDescent="0.3">
      <c r="A863" s="2">
        <v>46</v>
      </c>
      <c r="B863" t="s">
        <v>43</v>
      </c>
      <c r="C863">
        <v>0</v>
      </c>
      <c r="D863" t="s">
        <v>36</v>
      </c>
      <c r="E863" t="s">
        <v>37</v>
      </c>
      <c r="F863">
        <v>2</v>
      </c>
      <c r="G863" t="s">
        <v>59</v>
      </c>
      <c r="H863" t="s">
        <v>933</v>
      </c>
      <c r="I863">
        <v>3</v>
      </c>
      <c r="J863" t="s">
        <v>39</v>
      </c>
      <c r="K863">
        <v>3</v>
      </c>
      <c r="L863">
        <v>4</v>
      </c>
      <c r="M863" t="s">
        <v>56</v>
      </c>
      <c r="N863">
        <v>1</v>
      </c>
      <c r="O863" t="s">
        <v>48</v>
      </c>
      <c r="P863" s="6">
        <v>17048</v>
      </c>
      <c r="Q863" t="s">
        <v>90</v>
      </c>
      <c r="R863" t="s">
        <v>43</v>
      </c>
      <c r="S863">
        <v>4</v>
      </c>
      <c r="T863">
        <v>28</v>
      </c>
      <c r="U863">
        <v>3</v>
      </c>
      <c r="V863">
        <v>26</v>
      </c>
      <c r="W863">
        <v>15</v>
      </c>
      <c r="X863">
        <v>15</v>
      </c>
      <c r="Y863">
        <v>9</v>
      </c>
      <c r="Z863" t="s">
        <v>106</v>
      </c>
      <c r="AA863" t="s">
        <v>82</v>
      </c>
      <c r="AB863" t="str" cm="1">
        <f t="array" ref="AB863">_xlfn.IFS(cleaned_data[[#This Row],[YearsAtCompany]]&lt;=5, "0-5",cleaned_data[[#This Row],[YearsAtCompany]]&lt;=10,"6-10",TRUE,"10+")</f>
        <v>10+</v>
      </c>
    </row>
    <row r="864" spans="1:28" x14ac:dyDescent="0.3">
      <c r="A864" s="2">
        <v>44</v>
      </c>
      <c r="B864" t="s">
        <v>43</v>
      </c>
      <c r="C864">
        <v>0</v>
      </c>
      <c r="D864" t="s">
        <v>55</v>
      </c>
      <c r="E864" t="s">
        <v>45</v>
      </c>
      <c r="F864">
        <v>17</v>
      </c>
      <c r="G864" t="s">
        <v>38</v>
      </c>
      <c r="H864" t="s">
        <v>934</v>
      </c>
      <c r="I864">
        <v>4</v>
      </c>
      <c r="J864" t="s">
        <v>46</v>
      </c>
      <c r="K864">
        <v>1</v>
      </c>
      <c r="L864">
        <v>1</v>
      </c>
      <c r="M864" t="s">
        <v>47</v>
      </c>
      <c r="N864">
        <v>3</v>
      </c>
      <c r="O864" t="s">
        <v>41</v>
      </c>
      <c r="P864" s="1">
        <v>2290</v>
      </c>
      <c r="Q864" t="s">
        <v>72</v>
      </c>
      <c r="R864" t="s">
        <v>43</v>
      </c>
      <c r="S864">
        <v>3</v>
      </c>
      <c r="T864">
        <v>6</v>
      </c>
      <c r="U864">
        <v>3</v>
      </c>
      <c r="V864">
        <v>0</v>
      </c>
      <c r="W864">
        <v>0</v>
      </c>
      <c r="X864">
        <v>0</v>
      </c>
      <c r="Y864">
        <v>0</v>
      </c>
      <c r="Z864" t="s">
        <v>1550</v>
      </c>
      <c r="AA864" t="s">
        <v>69</v>
      </c>
      <c r="AB864" t="str" cm="1">
        <f t="array" ref="AB864">_xlfn.IFS(cleaned_data[[#This Row],[YearsAtCompany]]&lt;=5, "0-5",cleaned_data[[#This Row],[YearsAtCompany]]&lt;=10,"6-10",TRUE,"10+")</f>
        <v>0-5</v>
      </c>
    </row>
    <row r="865" spans="1:28" x14ac:dyDescent="0.3">
      <c r="A865" s="2">
        <v>33</v>
      </c>
      <c r="B865" t="s">
        <v>43</v>
      </c>
      <c r="C865">
        <v>0</v>
      </c>
      <c r="D865" t="s">
        <v>36</v>
      </c>
      <c r="E865" t="s">
        <v>61</v>
      </c>
      <c r="F865">
        <v>2</v>
      </c>
      <c r="G865" t="s">
        <v>61</v>
      </c>
      <c r="H865" t="s">
        <v>935</v>
      </c>
      <c r="I865">
        <v>2</v>
      </c>
      <c r="J865" t="s">
        <v>46</v>
      </c>
      <c r="K865">
        <v>3</v>
      </c>
      <c r="L865">
        <v>1</v>
      </c>
      <c r="M865" t="s">
        <v>61</v>
      </c>
      <c r="N865">
        <v>3</v>
      </c>
      <c r="O865" t="s">
        <v>48</v>
      </c>
      <c r="P865" s="1">
        <v>3600</v>
      </c>
      <c r="Q865" t="s">
        <v>72</v>
      </c>
      <c r="R865" t="s">
        <v>43</v>
      </c>
      <c r="S865">
        <v>3</v>
      </c>
      <c r="T865">
        <v>5</v>
      </c>
      <c r="U865">
        <v>3</v>
      </c>
      <c r="V865">
        <v>5</v>
      </c>
      <c r="W865">
        <v>4</v>
      </c>
      <c r="X865">
        <v>1</v>
      </c>
      <c r="Y865">
        <v>4</v>
      </c>
      <c r="Z865" t="s">
        <v>1551</v>
      </c>
      <c r="AA865" t="s">
        <v>78</v>
      </c>
      <c r="AB865" t="str" cm="1">
        <f t="array" ref="AB865">_xlfn.IFS(cleaned_data[[#This Row],[YearsAtCompany]]&lt;=5, "0-5",cleaned_data[[#This Row],[YearsAtCompany]]&lt;=10,"6-10",TRUE,"10+")</f>
        <v>0-5</v>
      </c>
    </row>
    <row r="866" spans="1:28" x14ac:dyDescent="0.3">
      <c r="A866" s="2">
        <v>41</v>
      </c>
      <c r="B866" t="s">
        <v>35</v>
      </c>
      <c r="C866">
        <v>1</v>
      </c>
      <c r="D866" t="s">
        <v>55</v>
      </c>
      <c r="E866" t="s">
        <v>45</v>
      </c>
      <c r="F866">
        <v>5</v>
      </c>
      <c r="G866" t="s">
        <v>38</v>
      </c>
      <c r="H866" t="s">
        <v>936</v>
      </c>
      <c r="I866">
        <v>1</v>
      </c>
      <c r="J866" t="s">
        <v>46</v>
      </c>
      <c r="K866">
        <v>2</v>
      </c>
      <c r="L866">
        <v>1</v>
      </c>
      <c r="M866" t="s">
        <v>47</v>
      </c>
      <c r="N866">
        <v>1</v>
      </c>
      <c r="O866" t="s">
        <v>52</v>
      </c>
      <c r="P866" s="6">
        <v>2107</v>
      </c>
      <c r="Q866" t="s">
        <v>72</v>
      </c>
      <c r="R866" t="s">
        <v>43</v>
      </c>
      <c r="S866">
        <v>3</v>
      </c>
      <c r="T866">
        <v>5</v>
      </c>
      <c r="U866">
        <v>1</v>
      </c>
      <c r="V866">
        <v>1</v>
      </c>
      <c r="W866">
        <v>0</v>
      </c>
      <c r="X866">
        <v>0</v>
      </c>
      <c r="Y866">
        <v>0</v>
      </c>
      <c r="Z866" t="s">
        <v>1550</v>
      </c>
      <c r="AA866" t="s">
        <v>78</v>
      </c>
      <c r="AB866" t="str" cm="1">
        <f t="array" ref="AB866">_xlfn.IFS(cleaned_data[[#This Row],[YearsAtCompany]]&lt;=5, "0-5",cleaned_data[[#This Row],[YearsAtCompany]]&lt;=10,"6-10",TRUE,"10+")</f>
        <v>0-5</v>
      </c>
    </row>
    <row r="867" spans="1:28" x14ac:dyDescent="0.3">
      <c r="A867" s="2">
        <v>30</v>
      </c>
      <c r="B867" t="s">
        <v>43</v>
      </c>
      <c r="C867">
        <v>0</v>
      </c>
      <c r="D867" t="s">
        <v>36</v>
      </c>
      <c r="E867" t="s">
        <v>37</v>
      </c>
      <c r="F867">
        <v>29</v>
      </c>
      <c r="G867" t="s">
        <v>38</v>
      </c>
      <c r="H867" t="s">
        <v>937</v>
      </c>
      <c r="I867">
        <v>3</v>
      </c>
      <c r="J867" t="s">
        <v>46</v>
      </c>
      <c r="K867">
        <v>3</v>
      </c>
      <c r="L867">
        <v>2</v>
      </c>
      <c r="M867" t="s">
        <v>40</v>
      </c>
      <c r="N867">
        <v>1</v>
      </c>
      <c r="O867" t="s">
        <v>52</v>
      </c>
      <c r="P867" s="6">
        <v>4115</v>
      </c>
      <c r="Q867" t="s">
        <v>72</v>
      </c>
      <c r="R867" t="s">
        <v>43</v>
      </c>
      <c r="S867">
        <v>3</v>
      </c>
      <c r="T867">
        <v>8</v>
      </c>
      <c r="U867">
        <v>3</v>
      </c>
      <c r="V867">
        <v>4</v>
      </c>
      <c r="W867">
        <v>3</v>
      </c>
      <c r="X867">
        <v>0</v>
      </c>
      <c r="Y867">
        <v>3</v>
      </c>
      <c r="Z867" t="s">
        <v>1551</v>
      </c>
      <c r="AA867" t="s">
        <v>69</v>
      </c>
      <c r="AB867" t="str" cm="1">
        <f t="array" ref="AB867">_xlfn.IFS(cleaned_data[[#This Row],[YearsAtCompany]]&lt;=5, "0-5",cleaned_data[[#This Row],[YearsAtCompany]]&lt;=10,"6-10",TRUE,"10+")</f>
        <v>0-5</v>
      </c>
    </row>
    <row r="868" spans="1:28" x14ac:dyDescent="0.3">
      <c r="A868" s="2">
        <v>40</v>
      </c>
      <c r="B868" t="s">
        <v>43</v>
      </c>
      <c r="C868">
        <v>0</v>
      </c>
      <c r="D868" t="s">
        <v>44</v>
      </c>
      <c r="E868" t="s">
        <v>37</v>
      </c>
      <c r="F868">
        <v>2</v>
      </c>
      <c r="G868" t="s">
        <v>51</v>
      </c>
      <c r="H868" t="s">
        <v>938</v>
      </c>
      <c r="I868">
        <v>2</v>
      </c>
      <c r="J868" t="s">
        <v>46</v>
      </c>
      <c r="K868">
        <v>3</v>
      </c>
      <c r="L868">
        <v>2</v>
      </c>
      <c r="M868" t="s">
        <v>40</v>
      </c>
      <c r="N868">
        <v>2</v>
      </c>
      <c r="O868" t="s">
        <v>48</v>
      </c>
      <c r="P868" s="1">
        <v>4327</v>
      </c>
      <c r="Q868" t="s">
        <v>72</v>
      </c>
      <c r="R868" t="s">
        <v>43</v>
      </c>
      <c r="S868">
        <v>3</v>
      </c>
      <c r="T868">
        <v>5</v>
      </c>
      <c r="U868">
        <v>3</v>
      </c>
      <c r="V868">
        <v>0</v>
      </c>
      <c r="W868">
        <v>0</v>
      </c>
      <c r="X868">
        <v>0</v>
      </c>
      <c r="Y868">
        <v>0</v>
      </c>
      <c r="Z868" t="s">
        <v>1550</v>
      </c>
      <c r="AA868" t="s">
        <v>78</v>
      </c>
      <c r="AB868" t="str" cm="1">
        <f t="array" ref="AB868">_xlfn.IFS(cleaned_data[[#This Row],[YearsAtCompany]]&lt;=5, "0-5",cleaned_data[[#This Row],[YearsAtCompany]]&lt;=10,"6-10",TRUE,"10+")</f>
        <v>0-5</v>
      </c>
    </row>
    <row r="869" spans="1:28" x14ac:dyDescent="0.3">
      <c r="A869" s="2">
        <v>50</v>
      </c>
      <c r="B869" t="s">
        <v>43</v>
      </c>
      <c r="C869">
        <v>0</v>
      </c>
      <c r="D869" t="s">
        <v>44</v>
      </c>
      <c r="E869" t="s">
        <v>45</v>
      </c>
      <c r="F869">
        <v>2</v>
      </c>
      <c r="G869" t="s">
        <v>51</v>
      </c>
      <c r="H869" t="s">
        <v>939</v>
      </c>
      <c r="I869">
        <v>4</v>
      </c>
      <c r="J869" t="s">
        <v>39</v>
      </c>
      <c r="K869">
        <v>3</v>
      </c>
      <c r="L869">
        <v>4</v>
      </c>
      <c r="M869" t="s">
        <v>56</v>
      </c>
      <c r="N869">
        <v>1</v>
      </c>
      <c r="O869" t="s">
        <v>48</v>
      </c>
      <c r="P869" s="6">
        <v>17856</v>
      </c>
      <c r="Q869" t="s">
        <v>90</v>
      </c>
      <c r="R869" t="s">
        <v>43</v>
      </c>
      <c r="S869">
        <v>4</v>
      </c>
      <c r="T869">
        <v>32</v>
      </c>
      <c r="U869">
        <v>3</v>
      </c>
      <c r="V869">
        <v>2</v>
      </c>
      <c r="W869">
        <v>2</v>
      </c>
      <c r="X869">
        <v>2</v>
      </c>
      <c r="Y869">
        <v>2</v>
      </c>
      <c r="Z869" t="s">
        <v>106</v>
      </c>
      <c r="AA869" t="s">
        <v>82</v>
      </c>
      <c r="AB869" t="str" cm="1">
        <f t="array" ref="AB869">_xlfn.IFS(cleaned_data[[#This Row],[YearsAtCompany]]&lt;=5, "0-5",cleaned_data[[#This Row],[YearsAtCompany]]&lt;=10,"6-10",TRUE,"10+")</f>
        <v>0-5</v>
      </c>
    </row>
    <row r="870" spans="1:28" x14ac:dyDescent="0.3">
      <c r="A870" s="2">
        <v>28</v>
      </c>
      <c r="B870" t="s">
        <v>43</v>
      </c>
      <c r="C870">
        <v>0</v>
      </c>
      <c r="D870" t="s">
        <v>36</v>
      </c>
      <c r="E870" t="s">
        <v>45</v>
      </c>
      <c r="F870">
        <v>19</v>
      </c>
      <c r="G870" t="s">
        <v>51</v>
      </c>
      <c r="H870" t="s">
        <v>940</v>
      </c>
      <c r="I870">
        <v>4</v>
      </c>
      <c r="J870" t="s">
        <v>46</v>
      </c>
      <c r="K870">
        <v>2</v>
      </c>
      <c r="L870">
        <v>1</v>
      </c>
      <c r="M870" t="s">
        <v>50</v>
      </c>
      <c r="N870">
        <v>1</v>
      </c>
      <c r="O870" t="s">
        <v>48</v>
      </c>
      <c r="P870" s="6">
        <v>3196</v>
      </c>
      <c r="Q870" t="s">
        <v>72</v>
      </c>
      <c r="R870" t="s">
        <v>43</v>
      </c>
      <c r="S870">
        <v>3</v>
      </c>
      <c r="T870">
        <v>6</v>
      </c>
      <c r="U870">
        <v>3</v>
      </c>
      <c r="V870">
        <v>6</v>
      </c>
      <c r="W870">
        <v>5</v>
      </c>
      <c r="X870">
        <v>3</v>
      </c>
      <c r="Y870">
        <v>3</v>
      </c>
      <c r="Z870" t="s">
        <v>1551</v>
      </c>
      <c r="AA870" t="s">
        <v>69</v>
      </c>
      <c r="AB870" t="str" cm="1">
        <f t="array" ref="AB870">_xlfn.IFS(cleaned_data[[#This Row],[YearsAtCompany]]&lt;=5, "0-5",cleaned_data[[#This Row],[YearsAtCompany]]&lt;=10,"6-10",TRUE,"10+")</f>
        <v>6-10</v>
      </c>
    </row>
    <row r="871" spans="1:28" x14ac:dyDescent="0.3">
      <c r="A871" s="2">
        <v>46</v>
      </c>
      <c r="B871" t="s">
        <v>43</v>
      </c>
      <c r="C871">
        <v>0</v>
      </c>
      <c r="D871" t="s">
        <v>36</v>
      </c>
      <c r="E871" t="s">
        <v>45</v>
      </c>
      <c r="F871">
        <v>15</v>
      </c>
      <c r="G871" t="s">
        <v>38</v>
      </c>
      <c r="H871" t="s">
        <v>941</v>
      </c>
      <c r="I871">
        <v>4</v>
      </c>
      <c r="J871" t="s">
        <v>46</v>
      </c>
      <c r="K871">
        <v>3</v>
      </c>
      <c r="L871">
        <v>5</v>
      </c>
      <c r="M871" t="s">
        <v>58</v>
      </c>
      <c r="N871">
        <v>2</v>
      </c>
      <c r="O871" t="s">
        <v>48</v>
      </c>
      <c r="P871" s="1">
        <v>19081</v>
      </c>
      <c r="Q871" t="s">
        <v>90</v>
      </c>
      <c r="R871" t="s">
        <v>43</v>
      </c>
      <c r="S871">
        <v>3</v>
      </c>
      <c r="T871">
        <v>25</v>
      </c>
      <c r="U871">
        <v>3</v>
      </c>
      <c r="V871">
        <v>4</v>
      </c>
      <c r="W871">
        <v>2</v>
      </c>
      <c r="X871">
        <v>0</v>
      </c>
      <c r="Y871">
        <v>3</v>
      </c>
      <c r="Z871" t="s">
        <v>106</v>
      </c>
      <c r="AA871" t="s">
        <v>82</v>
      </c>
      <c r="AB871" t="str" cm="1">
        <f t="array" ref="AB871">_xlfn.IFS(cleaned_data[[#This Row],[YearsAtCompany]]&lt;=5, "0-5",cleaned_data[[#This Row],[YearsAtCompany]]&lt;=10,"6-10",TRUE,"10+")</f>
        <v>0-5</v>
      </c>
    </row>
    <row r="872" spans="1:28" x14ac:dyDescent="0.3">
      <c r="A872" s="2">
        <v>35</v>
      </c>
      <c r="B872" t="s">
        <v>43</v>
      </c>
      <c r="C872">
        <v>0</v>
      </c>
      <c r="D872" t="s">
        <v>36</v>
      </c>
      <c r="E872" t="s">
        <v>37</v>
      </c>
      <c r="F872">
        <v>17</v>
      </c>
      <c r="G872" t="s">
        <v>38</v>
      </c>
      <c r="H872" t="s">
        <v>942</v>
      </c>
      <c r="I872">
        <v>3</v>
      </c>
      <c r="J872" t="s">
        <v>46</v>
      </c>
      <c r="K872">
        <v>3</v>
      </c>
      <c r="L872">
        <v>2</v>
      </c>
      <c r="M872" t="s">
        <v>40</v>
      </c>
      <c r="N872">
        <v>1</v>
      </c>
      <c r="O872" t="s">
        <v>48</v>
      </c>
      <c r="P872" s="6">
        <v>8966</v>
      </c>
      <c r="Q872" t="s">
        <v>67</v>
      </c>
      <c r="R872" t="s">
        <v>35</v>
      </c>
      <c r="S872">
        <v>3</v>
      </c>
      <c r="T872">
        <v>15</v>
      </c>
      <c r="U872">
        <v>3</v>
      </c>
      <c r="V872">
        <v>7</v>
      </c>
      <c r="W872">
        <v>7</v>
      </c>
      <c r="X872">
        <v>1</v>
      </c>
      <c r="Y872">
        <v>7</v>
      </c>
      <c r="Z872" t="s">
        <v>1551</v>
      </c>
      <c r="AA872" t="s">
        <v>69</v>
      </c>
      <c r="AB872" t="str" cm="1">
        <f t="array" ref="AB872">_xlfn.IFS(cleaned_data[[#This Row],[YearsAtCompany]]&lt;=5, "0-5",cleaned_data[[#This Row],[YearsAtCompany]]&lt;=10,"6-10",TRUE,"10+")</f>
        <v>6-10</v>
      </c>
    </row>
    <row r="873" spans="1:28" x14ac:dyDescent="0.3">
      <c r="A873" s="2">
        <v>24</v>
      </c>
      <c r="B873" t="s">
        <v>35</v>
      </c>
      <c r="C873">
        <v>1</v>
      </c>
      <c r="D873" t="s">
        <v>36</v>
      </c>
      <c r="E873" t="s">
        <v>45</v>
      </c>
      <c r="F873">
        <v>17</v>
      </c>
      <c r="G873" t="s">
        <v>38</v>
      </c>
      <c r="H873" t="s">
        <v>943</v>
      </c>
      <c r="I873">
        <v>4</v>
      </c>
      <c r="J873" t="s">
        <v>39</v>
      </c>
      <c r="K873">
        <v>3</v>
      </c>
      <c r="L873">
        <v>1</v>
      </c>
      <c r="M873" t="s">
        <v>50</v>
      </c>
      <c r="N873">
        <v>2</v>
      </c>
      <c r="O873" t="s">
        <v>48</v>
      </c>
      <c r="P873" s="1">
        <v>2210</v>
      </c>
      <c r="Q873" t="s">
        <v>72</v>
      </c>
      <c r="R873" t="s">
        <v>43</v>
      </c>
      <c r="S873">
        <v>3</v>
      </c>
      <c r="T873">
        <v>1</v>
      </c>
      <c r="U873">
        <v>1</v>
      </c>
      <c r="V873">
        <v>1</v>
      </c>
      <c r="W873">
        <v>0</v>
      </c>
      <c r="X873">
        <v>0</v>
      </c>
      <c r="Y873">
        <v>0</v>
      </c>
      <c r="Z873" t="s">
        <v>68</v>
      </c>
      <c r="AA873" t="s">
        <v>78</v>
      </c>
      <c r="AB873" t="str" cm="1">
        <f t="array" ref="AB873">_xlfn.IFS(cleaned_data[[#This Row],[YearsAtCompany]]&lt;=5, "0-5",cleaned_data[[#This Row],[YearsAtCompany]]&lt;=10,"6-10",TRUE,"10+")</f>
        <v>0-5</v>
      </c>
    </row>
    <row r="874" spans="1:28" x14ac:dyDescent="0.3">
      <c r="A874" s="2">
        <v>33</v>
      </c>
      <c r="B874" t="s">
        <v>43</v>
      </c>
      <c r="C874">
        <v>0</v>
      </c>
      <c r="D874" t="s">
        <v>44</v>
      </c>
      <c r="E874" t="s">
        <v>37</v>
      </c>
      <c r="F874">
        <v>25</v>
      </c>
      <c r="G874" t="s">
        <v>51</v>
      </c>
      <c r="H874" t="s">
        <v>944</v>
      </c>
      <c r="I874">
        <v>2</v>
      </c>
      <c r="J874" t="s">
        <v>39</v>
      </c>
      <c r="K874">
        <v>3</v>
      </c>
      <c r="L874">
        <v>2</v>
      </c>
      <c r="M874" t="s">
        <v>40</v>
      </c>
      <c r="N874">
        <v>3</v>
      </c>
      <c r="O874" t="s">
        <v>48</v>
      </c>
      <c r="P874" s="1">
        <v>4539</v>
      </c>
      <c r="Q874" t="s">
        <v>72</v>
      </c>
      <c r="R874" t="s">
        <v>43</v>
      </c>
      <c r="S874">
        <v>3</v>
      </c>
      <c r="T874">
        <v>10</v>
      </c>
      <c r="U874">
        <v>2</v>
      </c>
      <c r="V874">
        <v>10</v>
      </c>
      <c r="W874">
        <v>7</v>
      </c>
      <c r="X874">
        <v>0</v>
      </c>
      <c r="Y874">
        <v>1</v>
      </c>
      <c r="Z874" t="s">
        <v>1551</v>
      </c>
      <c r="AA874" t="s">
        <v>69</v>
      </c>
      <c r="AB874" t="str" cm="1">
        <f t="array" ref="AB874">_xlfn.IFS(cleaned_data[[#This Row],[YearsAtCompany]]&lt;=5, "0-5",cleaned_data[[#This Row],[YearsAtCompany]]&lt;=10,"6-10",TRUE,"10+")</f>
        <v>6-10</v>
      </c>
    </row>
    <row r="875" spans="1:28" x14ac:dyDescent="0.3">
      <c r="A875" s="2">
        <v>36</v>
      </c>
      <c r="B875" t="s">
        <v>43</v>
      </c>
      <c r="C875">
        <v>0</v>
      </c>
      <c r="D875" t="s">
        <v>36</v>
      </c>
      <c r="E875" t="s">
        <v>45</v>
      </c>
      <c r="F875">
        <v>6</v>
      </c>
      <c r="G875" t="s">
        <v>38</v>
      </c>
      <c r="H875" t="s">
        <v>945</v>
      </c>
      <c r="I875">
        <v>3</v>
      </c>
      <c r="J875" t="s">
        <v>46</v>
      </c>
      <c r="K875">
        <v>1</v>
      </c>
      <c r="L875">
        <v>1</v>
      </c>
      <c r="M875" t="s">
        <v>50</v>
      </c>
      <c r="N875">
        <v>3</v>
      </c>
      <c r="O875" t="s">
        <v>52</v>
      </c>
      <c r="P875" s="1">
        <v>2741</v>
      </c>
      <c r="Q875" t="s">
        <v>72</v>
      </c>
      <c r="R875" t="s">
        <v>43</v>
      </c>
      <c r="S875">
        <v>3</v>
      </c>
      <c r="T875">
        <v>7</v>
      </c>
      <c r="U875">
        <v>3</v>
      </c>
      <c r="V875">
        <v>7</v>
      </c>
      <c r="W875">
        <v>7</v>
      </c>
      <c r="X875">
        <v>1</v>
      </c>
      <c r="Y875">
        <v>7</v>
      </c>
      <c r="Z875" t="s">
        <v>1550</v>
      </c>
      <c r="AA875" t="s">
        <v>69</v>
      </c>
      <c r="AB875" t="str" cm="1">
        <f t="array" ref="AB875">_xlfn.IFS(cleaned_data[[#This Row],[YearsAtCompany]]&lt;=5, "0-5",cleaned_data[[#This Row],[YearsAtCompany]]&lt;=10,"6-10",TRUE,"10+")</f>
        <v>6-10</v>
      </c>
    </row>
    <row r="876" spans="1:28" x14ac:dyDescent="0.3">
      <c r="A876" s="2">
        <v>30</v>
      </c>
      <c r="B876" t="s">
        <v>43</v>
      </c>
      <c r="C876">
        <v>0</v>
      </c>
      <c r="D876" t="s">
        <v>36</v>
      </c>
      <c r="E876" t="s">
        <v>45</v>
      </c>
      <c r="F876">
        <v>7</v>
      </c>
      <c r="G876" t="s">
        <v>38</v>
      </c>
      <c r="H876" t="s">
        <v>946</v>
      </c>
      <c r="I876">
        <v>3</v>
      </c>
      <c r="J876" t="s">
        <v>46</v>
      </c>
      <c r="K876">
        <v>3</v>
      </c>
      <c r="L876">
        <v>2</v>
      </c>
      <c r="M876" t="s">
        <v>50</v>
      </c>
      <c r="N876">
        <v>3</v>
      </c>
      <c r="O876" t="s">
        <v>52</v>
      </c>
      <c r="P876" s="1">
        <v>3491</v>
      </c>
      <c r="Q876" t="s">
        <v>72</v>
      </c>
      <c r="R876" t="s">
        <v>43</v>
      </c>
      <c r="S876">
        <v>3</v>
      </c>
      <c r="T876">
        <v>10</v>
      </c>
      <c r="U876">
        <v>2</v>
      </c>
      <c r="V876">
        <v>10</v>
      </c>
      <c r="W876">
        <v>7</v>
      </c>
      <c r="X876">
        <v>8</v>
      </c>
      <c r="Y876">
        <v>9</v>
      </c>
      <c r="Z876" t="s">
        <v>1551</v>
      </c>
      <c r="AA876" t="s">
        <v>69</v>
      </c>
      <c r="AB876" t="str" cm="1">
        <f t="array" ref="AB876">_xlfn.IFS(cleaned_data[[#This Row],[YearsAtCompany]]&lt;=5, "0-5",cleaned_data[[#This Row],[YearsAtCompany]]&lt;=10,"6-10",TRUE,"10+")</f>
        <v>6-10</v>
      </c>
    </row>
    <row r="877" spans="1:28" x14ac:dyDescent="0.3">
      <c r="A877" s="2">
        <v>44</v>
      </c>
      <c r="B877" t="s">
        <v>43</v>
      </c>
      <c r="C877">
        <v>0</v>
      </c>
      <c r="D877" t="s">
        <v>36</v>
      </c>
      <c r="E877" t="s">
        <v>45</v>
      </c>
      <c r="F877">
        <v>29</v>
      </c>
      <c r="G877" t="s">
        <v>49</v>
      </c>
      <c r="H877" t="s">
        <v>947</v>
      </c>
      <c r="I877">
        <v>4</v>
      </c>
      <c r="J877" t="s">
        <v>46</v>
      </c>
      <c r="K877">
        <v>3</v>
      </c>
      <c r="L877">
        <v>2</v>
      </c>
      <c r="M877" t="s">
        <v>47</v>
      </c>
      <c r="N877">
        <v>4</v>
      </c>
      <c r="O877" t="s">
        <v>41</v>
      </c>
      <c r="P877" s="1">
        <v>4541</v>
      </c>
      <c r="Q877" t="s">
        <v>72</v>
      </c>
      <c r="R877" t="s">
        <v>43</v>
      </c>
      <c r="S877">
        <v>4</v>
      </c>
      <c r="T877">
        <v>20</v>
      </c>
      <c r="U877">
        <v>3</v>
      </c>
      <c r="V877">
        <v>20</v>
      </c>
      <c r="W877">
        <v>11</v>
      </c>
      <c r="X877">
        <v>13</v>
      </c>
      <c r="Y877">
        <v>17</v>
      </c>
      <c r="Z877" t="s">
        <v>1550</v>
      </c>
      <c r="AA877" t="s">
        <v>82</v>
      </c>
      <c r="AB877" t="str" cm="1">
        <f t="array" ref="AB877">_xlfn.IFS(cleaned_data[[#This Row],[YearsAtCompany]]&lt;=5, "0-5",cleaned_data[[#This Row],[YearsAtCompany]]&lt;=10,"6-10",TRUE,"10+")</f>
        <v>10+</v>
      </c>
    </row>
    <row r="878" spans="1:28" x14ac:dyDescent="0.3">
      <c r="A878" s="2">
        <v>20</v>
      </c>
      <c r="B878" t="s">
        <v>43</v>
      </c>
      <c r="C878">
        <v>0</v>
      </c>
      <c r="D878" t="s">
        <v>36</v>
      </c>
      <c r="E878" t="s">
        <v>37</v>
      </c>
      <c r="F878">
        <v>21</v>
      </c>
      <c r="G878" t="s">
        <v>59</v>
      </c>
      <c r="H878" t="s">
        <v>948</v>
      </c>
      <c r="I878">
        <v>3</v>
      </c>
      <c r="J878" t="s">
        <v>46</v>
      </c>
      <c r="K878">
        <v>4</v>
      </c>
      <c r="L878">
        <v>1</v>
      </c>
      <c r="M878" t="s">
        <v>57</v>
      </c>
      <c r="N878">
        <v>4</v>
      </c>
      <c r="O878" t="s">
        <v>41</v>
      </c>
      <c r="P878" s="1">
        <v>2678</v>
      </c>
      <c r="Q878" t="s">
        <v>72</v>
      </c>
      <c r="R878" t="s">
        <v>43</v>
      </c>
      <c r="S878">
        <v>3</v>
      </c>
      <c r="T878">
        <v>2</v>
      </c>
      <c r="U878">
        <v>3</v>
      </c>
      <c r="V878">
        <v>2</v>
      </c>
      <c r="W878">
        <v>1</v>
      </c>
      <c r="X878">
        <v>2</v>
      </c>
      <c r="Y878">
        <v>2</v>
      </c>
      <c r="Z878" t="s">
        <v>68</v>
      </c>
      <c r="AA878" t="s">
        <v>78</v>
      </c>
      <c r="AB878" t="str" cm="1">
        <f t="array" ref="AB878">_xlfn.IFS(cleaned_data[[#This Row],[YearsAtCompany]]&lt;=5, "0-5",cleaned_data[[#This Row],[YearsAtCompany]]&lt;=10,"6-10",TRUE,"10+")</f>
        <v>0-5</v>
      </c>
    </row>
    <row r="879" spans="1:28" x14ac:dyDescent="0.3">
      <c r="A879" s="2">
        <v>46</v>
      </c>
      <c r="B879" t="s">
        <v>43</v>
      </c>
      <c r="C879">
        <v>0</v>
      </c>
      <c r="D879" t="s">
        <v>36</v>
      </c>
      <c r="E879" t="s">
        <v>45</v>
      </c>
      <c r="F879">
        <v>2</v>
      </c>
      <c r="G879" t="s">
        <v>60</v>
      </c>
      <c r="H879" t="s">
        <v>949</v>
      </c>
      <c r="I879">
        <v>4</v>
      </c>
      <c r="J879" t="s">
        <v>46</v>
      </c>
      <c r="K879">
        <v>3</v>
      </c>
      <c r="L879">
        <v>2</v>
      </c>
      <c r="M879" t="s">
        <v>53</v>
      </c>
      <c r="N879">
        <v>4</v>
      </c>
      <c r="O879" t="s">
        <v>52</v>
      </c>
      <c r="P879" s="1">
        <v>7379</v>
      </c>
      <c r="Q879" t="s">
        <v>67</v>
      </c>
      <c r="R879" t="s">
        <v>43</v>
      </c>
      <c r="S879">
        <v>3</v>
      </c>
      <c r="T879">
        <v>12</v>
      </c>
      <c r="U879">
        <v>2</v>
      </c>
      <c r="V879">
        <v>6</v>
      </c>
      <c r="W879">
        <v>3</v>
      </c>
      <c r="X879">
        <v>1</v>
      </c>
      <c r="Y879">
        <v>4</v>
      </c>
      <c r="Z879" t="s">
        <v>106</v>
      </c>
      <c r="AA879" t="s">
        <v>69</v>
      </c>
      <c r="AB879" t="str" cm="1">
        <f t="array" ref="AB879">_xlfn.IFS(cleaned_data[[#This Row],[YearsAtCompany]]&lt;=5, "0-5",cleaned_data[[#This Row],[YearsAtCompany]]&lt;=10,"6-10",TRUE,"10+")</f>
        <v>6-10</v>
      </c>
    </row>
    <row r="880" spans="1:28" x14ac:dyDescent="0.3">
      <c r="A880" s="2">
        <v>42</v>
      </c>
      <c r="B880" t="s">
        <v>43</v>
      </c>
      <c r="C880">
        <v>0</v>
      </c>
      <c r="D880" t="s">
        <v>55</v>
      </c>
      <c r="E880" t="s">
        <v>61</v>
      </c>
      <c r="F880">
        <v>2</v>
      </c>
      <c r="G880" t="s">
        <v>51</v>
      </c>
      <c r="H880" t="s">
        <v>950</v>
      </c>
      <c r="I880">
        <v>4</v>
      </c>
      <c r="J880" t="s">
        <v>46</v>
      </c>
      <c r="K880">
        <v>4</v>
      </c>
      <c r="L880">
        <v>2</v>
      </c>
      <c r="M880" t="s">
        <v>61</v>
      </c>
      <c r="N880">
        <v>1</v>
      </c>
      <c r="O880" t="s">
        <v>48</v>
      </c>
      <c r="P880" s="6">
        <v>6272</v>
      </c>
      <c r="Q880" t="s">
        <v>67</v>
      </c>
      <c r="R880" t="s">
        <v>43</v>
      </c>
      <c r="S880">
        <v>3</v>
      </c>
      <c r="T880">
        <v>10</v>
      </c>
      <c r="U880">
        <v>4</v>
      </c>
      <c r="V880">
        <v>4</v>
      </c>
      <c r="W880">
        <v>3</v>
      </c>
      <c r="X880">
        <v>0</v>
      </c>
      <c r="Y880">
        <v>3</v>
      </c>
      <c r="Z880" t="s">
        <v>1550</v>
      </c>
      <c r="AA880" t="s">
        <v>69</v>
      </c>
      <c r="AB880" t="str" cm="1">
        <f t="array" ref="AB880">_xlfn.IFS(cleaned_data[[#This Row],[YearsAtCompany]]&lt;=5, "0-5",cleaned_data[[#This Row],[YearsAtCompany]]&lt;=10,"6-10",TRUE,"10+")</f>
        <v>0-5</v>
      </c>
    </row>
    <row r="881" spans="1:28" x14ac:dyDescent="0.3">
      <c r="A881" s="2">
        <v>60</v>
      </c>
      <c r="B881" t="s">
        <v>43</v>
      </c>
      <c r="C881">
        <v>0</v>
      </c>
      <c r="D881" t="s">
        <v>36</v>
      </c>
      <c r="E881" t="s">
        <v>37</v>
      </c>
      <c r="F881">
        <v>7</v>
      </c>
      <c r="G881" t="s">
        <v>59</v>
      </c>
      <c r="H881" t="s">
        <v>951</v>
      </c>
      <c r="I881">
        <v>2</v>
      </c>
      <c r="J881" t="s">
        <v>46</v>
      </c>
      <c r="K881">
        <v>4</v>
      </c>
      <c r="L881">
        <v>2</v>
      </c>
      <c r="M881" t="s">
        <v>40</v>
      </c>
      <c r="N881">
        <v>4</v>
      </c>
      <c r="O881" t="s">
        <v>52</v>
      </c>
      <c r="P881" s="1">
        <v>5220</v>
      </c>
      <c r="Q881" t="s">
        <v>67</v>
      </c>
      <c r="R881" t="s">
        <v>35</v>
      </c>
      <c r="S881">
        <v>3</v>
      </c>
      <c r="T881">
        <v>12</v>
      </c>
      <c r="U881">
        <v>3</v>
      </c>
      <c r="V881">
        <v>11</v>
      </c>
      <c r="W881">
        <v>7</v>
      </c>
      <c r="X881">
        <v>1</v>
      </c>
      <c r="Y881">
        <v>9</v>
      </c>
      <c r="Z881" t="s">
        <v>106</v>
      </c>
      <c r="AA881" t="s">
        <v>69</v>
      </c>
      <c r="AB881" t="str" cm="1">
        <f t="array" ref="AB881">_xlfn.IFS(cleaned_data[[#This Row],[YearsAtCompany]]&lt;=5, "0-5",cleaned_data[[#This Row],[YearsAtCompany]]&lt;=10,"6-10",TRUE,"10+")</f>
        <v>10+</v>
      </c>
    </row>
    <row r="882" spans="1:28" x14ac:dyDescent="0.3">
      <c r="A882" s="2">
        <v>32</v>
      </c>
      <c r="B882" t="s">
        <v>43</v>
      </c>
      <c r="C882">
        <v>0</v>
      </c>
      <c r="D882" t="s">
        <v>44</v>
      </c>
      <c r="E882" t="s">
        <v>45</v>
      </c>
      <c r="F882">
        <v>13</v>
      </c>
      <c r="G882" t="s">
        <v>49</v>
      </c>
      <c r="H882" t="s">
        <v>952</v>
      </c>
      <c r="I882">
        <v>3</v>
      </c>
      <c r="J882" t="s">
        <v>39</v>
      </c>
      <c r="K882">
        <v>2</v>
      </c>
      <c r="L882">
        <v>1</v>
      </c>
      <c r="M882" t="s">
        <v>50</v>
      </c>
      <c r="N882">
        <v>2</v>
      </c>
      <c r="O882" t="s">
        <v>48</v>
      </c>
      <c r="P882" s="1">
        <v>2743</v>
      </c>
      <c r="Q882" t="s">
        <v>72</v>
      </c>
      <c r="R882" t="s">
        <v>43</v>
      </c>
      <c r="S882">
        <v>4</v>
      </c>
      <c r="T882">
        <v>2</v>
      </c>
      <c r="U882">
        <v>3</v>
      </c>
      <c r="V882">
        <v>2</v>
      </c>
      <c r="W882">
        <v>2</v>
      </c>
      <c r="X882">
        <v>2</v>
      </c>
      <c r="Y882">
        <v>2</v>
      </c>
      <c r="Z882" t="s">
        <v>1551</v>
      </c>
      <c r="AA882" t="s">
        <v>78</v>
      </c>
      <c r="AB882" t="str" cm="1">
        <f t="array" ref="AB882">_xlfn.IFS(cleaned_data[[#This Row],[YearsAtCompany]]&lt;=5, "0-5",cleaned_data[[#This Row],[YearsAtCompany]]&lt;=10,"6-10",TRUE,"10+")</f>
        <v>0-5</v>
      </c>
    </row>
    <row r="883" spans="1:28" x14ac:dyDescent="0.3">
      <c r="A883" s="2">
        <v>32</v>
      </c>
      <c r="B883" t="s">
        <v>43</v>
      </c>
      <c r="C883">
        <v>0</v>
      </c>
      <c r="D883" t="s">
        <v>44</v>
      </c>
      <c r="E883" t="s">
        <v>45</v>
      </c>
      <c r="F883">
        <v>2</v>
      </c>
      <c r="G883" t="s">
        <v>38</v>
      </c>
      <c r="H883" t="s">
        <v>953</v>
      </c>
      <c r="I883">
        <v>4</v>
      </c>
      <c r="J883" t="s">
        <v>39</v>
      </c>
      <c r="K883">
        <v>3</v>
      </c>
      <c r="L883">
        <v>2</v>
      </c>
      <c r="M883" t="s">
        <v>47</v>
      </c>
      <c r="N883">
        <v>3</v>
      </c>
      <c r="O883" t="s">
        <v>41</v>
      </c>
      <c r="P883" s="1">
        <v>4998</v>
      </c>
      <c r="Q883" t="s">
        <v>72</v>
      </c>
      <c r="R883" t="s">
        <v>35</v>
      </c>
      <c r="S883">
        <v>3</v>
      </c>
      <c r="T883">
        <v>10</v>
      </c>
      <c r="U883">
        <v>3</v>
      </c>
      <c r="V883">
        <v>8</v>
      </c>
      <c r="W883">
        <v>7</v>
      </c>
      <c r="X883">
        <v>0</v>
      </c>
      <c r="Y883">
        <v>7</v>
      </c>
      <c r="Z883" t="s">
        <v>1551</v>
      </c>
      <c r="AA883" t="s">
        <v>69</v>
      </c>
      <c r="AB883" t="str" cm="1">
        <f t="array" ref="AB883">_xlfn.IFS(cleaned_data[[#This Row],[YearsAtCompany]]&lt;=5, "0-5",cleaned_data[[#This Row],[YearsAtCompany]]&lt;=10,"6-10",TRUE,"10+")</f>
        <v>6-10</v>
      </c>
    </row>
    <row r="884" spans="1:28" x14ac:dyDescent="0.3">
      <c r="A884" s="2">
        <v>36</v>
      </c>
      <c r="B884" t="s">
        <v>43</v>
      </c>
      <c r="C884">
        <v>0</v>
      </c>
      <c r="D884" t="s">
        <v>36</v>
      </c>
      <c r="E884" t="s">
        <v>45</v>
      </c>
      <c r="F884">
        <v>1</v>
      </c>
      <c r="G884" t="s">
        <v>60</v>
      </c>
      <c r="H884" t="s">
        <v>954</v>
      </c>
      <c r="I884">
        <v>3</v>
      </c>
      <c r="J884" t="s">
        <v>39</v>
      </c>
      <c r="K884">
        <v>1</v>
      </c>
      <c r="L884">
        <v>3</v>
      </c>
      <c r="M884" t="s">
        <v>53</v>
      </c>
      <c r="N884">
        <v>1</v>
      </c>
      <c r="O884" t="s">
        <v>52</v>
      </c>
      <c r="P884" s="6">
        <v>10252</v>
      </c>
      <c r="Q884" t="s">
        <v>67</v>
      </c>
      <c r="R884" t="s">
        <v>35</v>
      </c>
      <c r="S884">
        <v>4</v>
      </c>
      <c r="T884">
        <v>17</v>
      </c>
      <c r="U884">
        <v>3</v>
      </c>
      <c r="V884">
        <v>7</v>
      </c>
      <c r="W884">
        <v>7</v>
      </c>
      <c r="X884">
        <v>7</v>
      </c>
      <c r="Y884">
        <v>7</v>
      </c>
      <c r="Z884" t="s">
        <v>1550</v>
      </c>
      <c r="AA884" t="s">
        <v>82</v>
      </c>
      <c r="AB884" t="str" cm="1">
        <f t="array" ref="AB884">_xlfn.IFS(cleaned_data[[#This Row],[YearsAtCompany]]&lt;=5, "0-5",cleaned_data[[#This Row],[YearsAtCompany]]&lt;=10,"6-10",TRUE,"10+")</f>
        <v>6-10</v>
      </c>
    </row>
    <row r="885" spans="1:28" x14ac:dyDescent="0.3">
      <c r="A885" s="2">
        <v>33</v>
      </c>
      <c r="B885" t="s">
        <v>43</v>
      </c>
      <c r="C885">
        <v>0</v>
      </c>
      <c r="D885" t="s">
        <v>36</v>
      </c>
      <c r="E885" t="s">
        <v>45</v>
      </c>
      <c r="F885">
        <v>9</v>
      </c>
      <c r="G885" t="s">
        <v>51</v>
      </c>
      <c r="H885" t="s">
        <v>955</v>
      </c>
      <c r="I885">
        <v>1</v>
      </c>
      <c r="J885" t="s">
        <v>46</v>
      </c>
      <c r="K885">
        <v>3</v>
      </c>
      <c r="L885">
        <v>1</v>
      </c>
      <c r="M885" t="s">
        <v>47</v>
      </c>
      <c r="N885">
        <v>4</v>
      </c>
      <c r="O885" t="s">
        <v>48</v>
      </c>
      <c r="P885" s="1">
        <v>2781</v>
      </c>
      <c r="Q885" t="s">
        <v>72</v>
      </c>
      <c r="R885" t="s">
        <v>43</v>
      </c>
      <c r="S885">
        <v>3</v>
      </c>
      <c r="T885">
        <v>15</v>
      </c>
      <c r="U885">
        <v>3</v>
      </c>
      <c r="V885">
        <v>14</v>
      </c>
      <c r="W885">
        <v>10</v>
      </c>
      <c r="X885">
        <v>4</v>
      </c>
      <c r="Y885">
        <v>10</v>
      </c>
      <c r="Z885" t="s">
        <v>1551</v>
      </c>
      <c r="AA885" t="s">
        <v>69</v>
      </c>
      <c r="AB885" t="str" cm="1">
        <f t="array" ref="AB885">_xlfn.IFS(cleaned_data[[#This Row],[YearsAtCompany]]&lt;=5, "0-5",cleaned_data[[#This Row],[YearsAtCompany]]&lt;=10,"6-10",TRUE,"10+")</f>
        <v>10+</v>
      </c>
    </row>
    <row r="886" spans="1:28" x14ac:dyDescent="0.3">
      <c r="A886" s="2">
        <v>40</v>
      </c>
      <c r="B886" t="s">
        <v>43</v>
      </c>
      <c r="C886">
        <v>0</v>
      </c>
      <c r="D886" t="s">
        <v>36</v>
      </c>
      <c r="E886" t="s">
        <v>37</v>
      </c>
      <c r="F886">
        <v>10</v>
      </c>
      <c r="G886" t="s">
        <v>60</v>
      </c>
      <c r="H886" t="s">
        <v>956</v>
      </c>
      <c r="I886">
        <v>2</v>
      </c>
      <c r="J886" t="s">
        <v>39</v>
      </c>
      <c r="K886">
        <v>2</v>
      </c>
      <c r="L886">
        <v>2</v>
      </c>
      <c r="M886" t="s">
        <v>40</v>
      </c>
      <c r="N886">
        <v>2</v>
      </c>
      <c r="O886" t="s">
        <v>52</v>
      </c>
      <c r="P886" s="1">
        <v>6852</v>
      </c>
      <c r="Q886" t="s">
        <v>67</v>
      </c>
      <c r="R886" t="s">
        <v>43</v>
      </c>
      <c r="S886">
        <v>3</v>
      </c>
      <c r="T886">
        <v>7</v>
      </c>
      <c r="U886">
        <v>4</v>
      </c>
      <c r="V886">
        <v>5</v>
      </c>
      <c r="W886">
        <v>1</v>
      </c>
      <c r="X886">
        <v>1</v>
      </c>
      <c r="Y886">
        <v>3</v>
      </c>
      <c r="Z886" t="s">
        <v>1550</v>
      </c>
      <c r="AA886" t="s">
        <v>69</v>
      </c>
      <c r="AB886" t="str" cm="1">
        <f t="array" ref="AB886">_xlfn.IFS(cleaned_data[[#This Row],[YearsAtCompany]]&lt;=5, "0-5",cleaned_data[[#This Row],[YearsAtCompany]]&lt;=10,"6-10",TRUE,"10+")</f>
        <v>0-5</v>
      </c>
    </row>
    <row r="887" spans="1:28" x14ac:dyDescent="0.3">
      <c r="A887" s="2">
        <v>25</v>
      </c>
      <c r="B887" t="s">
        <v>43</v>
      </c>
      <c r="C887">
        <v>0</v>
      </c>
      <c r="D887" t="s">
        <v>36</v>
      </c>
      <c r="E887" t="s">
        <v>37</v>
      </c>
      <c r="F887">
        <v>10</v>
      </c>
      <c r="G887" t="s">
        <v>38</v>
      </c>
      <c r="H887" t="s">
        <v>957</v>
      </c>
      <c r="I887">
        <v>3</v>
      </c>
      <c r="J887" t="s">
        <v>46</v>
      </c>
      <c r="K887">
        <v>3</v>
      </c>
      <c r="L887">
        <v>2</v>
      </c>
      <c r="M887" t="s">
        <v>40</v>
      </c>
      <c r="N887">
        <v>4</v>
      </c>
      <c r="O887" t="s">
        <v>41</v>
      </c>
      <c r="P887" s="1">
        <v>4950</v>
      </c>
      <c r="Q887" t="s">
        <v>72</v>
      </c>
      <c r="R887" t="s">
        <v>43</v>
      </c>
      <c r="S887">
        <v>3</v>
      </c>
      <c r="T887">
        <v>5</v>
      </c>
      <c r="U887">
        <v>3</v>
      </c>
      <c r="V887">
        <v>4</v>
      </c>
      <c r="W887">
        <v>3</v>
      </c>
      <c r="X887">
        <v>1</v>
      </c>
      <c r="Y887">
        <v>1</v>
      </c>
      <c r="Z887" t="s">
        <v>68</v>
      </c>
      <c r="AA887" t="s">
        <v>78</v>
      </c>
      <c r="AB887" t="str" cm="1">
        <f t="array" ref="AB887">_xlfn.IFS(cleaned_data[[#This Row],[YearsAtCompany]]&lt;=5, "0-5",cleaned_data[[#This Row],[YearsAtCompany]]&lt;=10,"6-10",TRUE,"10+")</f>
        <v>0-5</v>
      </c>
    </row>
    <row r="888" spans="1:28" x14ac:dyDescent="0.3">
      <c r="A888" s="2">
        <v>30</v>
      </c>
      <c r="B888" t="s">
        <v>43</v>
      </c>
      <c r="C888">
        <v>0</v>
      </c>
      <c r="D888" t="s">
        <v>36</v>
      </c>
      <c r="E888" t="s">
        <v>45</v>
      </c>
      <c r="F888">
        <v>1</v>
      </c>
      <c r="G888" t="s">
        <v>51</v>
      </c>
      <c r="H888" t="s">
        <v>958</v>
      </c>
      <c r="I888">
        <v>4</v>
      </c>
      <c r="J888" t="s">
        <v>46</v>
      </c>
      <c r="K888">
        <v>3</v>
      </c>
      <c r="L888">
        <v>1</v>
      </c>
      <c r="M888" t="s">
        <v>47</v>
      </c>
      <c r="N888">
        <v>2</v>
      </c>
      <c r="O888" t="s">
        <v>48</v>
      </c>
      <c r="P888" s="1">
        <v>3579</v>
      </c>
      <c r="Q888" t="s">
        <v>72</v>
      </c>
      <c r="R888" t="s">
        <v>35</v>
      </c>
      <c r="S888">
        <v>4</v>
      </c>
      <c r="T888">
        <v>12</v>
      </c>
      <c r="U888">
        <v>3</v>
      </c>
      <c r="V888">
        <v>11</v>
      </c>
      <c r="W888">
        <v>9</v>
      </c>
      <c r="X888">
        <v>5</v>
      </c>
      <c r="Y888">
        <v>7</v>
      </c>
      <c r="Z888" t="s">
        <v>1551</v>
      </c>
      <c r="AA888" t="s">
        <v>69</v>
      </c>
      <c r="AB888" t="str" cm="1">
        <f t="array" ref="AB888">_xlfn.IFS(cleaned_data[[#This Row],[YearsAtCompany]]&lt;=5, "0-5",cleaned_data[[#This Row],[YearsAtCompany]]&lt;=10,"6-10",TRUE,"10+")</f>
        <v>10+</v>
      </c>
    </row>
    <row r="889" spans="1:28" x14ac:dyDescent="0.3">
      <c r="A889" s="2">
        <v>42</v>
      </c>
      <c r="B889" t="s">
        <v>43</v>
      </c>
      <c r="C889">
        <v>0</v>
      </c>
      <c r="D889" t="s">
        <v>44</v>
      </c>
      <c r="E889" t="s">
        <v>45</v>
      </c>
      <c r="F889">
        <v>26</v>
      </c>
      <c r="G889" t="s">
        <v>51</v>
      </c>
      <c r="H889" t="s">
        <v>959</v>
      </c>
      <c r="I889">
        <v>1</v>
      </c>
      <c r="J889" t="s">
        <v>39</v>
      </c>
      <c r="K889">
        <v>3</v>
      </c>
      <c r="L889">
        <v>3</v>
      </c>
      <c r="M889" t="s">
        <v>58</v>
      </c>
      <c r="N889">
        <v>1</v>
      </c>
      <c r="O889" t="s">
        <v>48</v>
      </c>
      <c r="P889" s="6">
        <v>13191</v>
      </c>
      <c r="Q889" t="s">
        <v>90</v>
      </c>
      <c r="R889" t="s">
        <v>35</v>
      </c>
      <c r="S889">
        <v>3</v>
      </c>
      <c r="T889">
        <v>20</v>
      </c>
      <c r="U889">
        <v>3</v>
      </c>
      <c r="V889">
        <v>1</v>
      </c>
      <c r="W889">
        <v>0</v>
      </c>
      <c r="X889">
        <v>0</v>
      </c>
      <c r="Y889">
        <v>0</v>
      </c>
      <c r="Z889" t="s">
        <v>1550</v>
      </c>
      <c r="AA889" t="s">
        <v>82</v>
      </c>
      <c r="AB889" t="str" cm="1">
        <f t="array" ref="AB889">_xlfn.IFS(cleaned_data[[#This Row],[YearsAtCompany]]&lt;=5, "0-5",cleaned_data[[#This Row],[YearsAtCompany]]&lt;=10,"6-10",TRUE,"10+")</f>
        <v>0-5</v>
      </c>
    </row>
    <row r="890" spans="1:28" x14ac:dyDescent="0.3">
      <c r="A890" s="2">
        <v>35</v>
      </c>
      <c r="B890" t="s">
        <v>43</v>
      </c>
      <c r="C890">
        <v>0</v>
      </c>
      <c r="D890" t="s">
        <v>55</v>
      </c>
      <c r="E890" t="s">
        <v>37</v>
      </c>
      <c r="F890">
        <v>8</v>
      </c>
      <c r="G890" t="s">
        <v>59</v>
      </c>
      <c r="H890" t="s">
        <v>960</v>
      </c>
      <c r="I890">
        <v>3</v>
      </c>
      <c r="J890" t="s">
        <v>39</v>
      </c>
      <c r="K890">
        <v>2</v>
      </c>
      <c r="L890">
        <v>3</v>
      </c>
      <c r="M890" t="s">
        <v>40</v>
      </c>
      <c r="N890">
        <v>4</v>
      </c>
      <c r="O890" t="s">
        <v>48</v>
      </c>
      <c r="P890" s="1">
        <v>10377</v>
      </c>
      <c r="Q890" t="s">
        <v>67</v>
      </c>
      <c r="R890" t="s">
        <v>35</v>
      </c>
      <c r="S890">
        <v>3</v>
      </c>
      <c r="T890">
        <v>16</v>
      </c>
      <c r="U890">
        <v>2</v>
      </c>
      <c r="V890">
        <v>13</v>
      </c>
      <c r="W890">
        <v>2</v>
      </c>
      <c r="X890">
        <v>4</v>
      </c>
      <c r="Y890">
        <v>12</v>
      </c>
      <c r="Z890" t="s">
        <v>1551</v>
      </c>
      <c r="AA890" t="s">
        <v>82</v>
      </c>
      <c r="AB890" t="str" cm="1">
        <f t="array" ref="AB890">_xlfn.IFS(cleaned_data[[#This Row],[YearsAtCompany]]&lt;=5, "0-5",cleaned_data[[#This Row],[YearsAtCompany]]&lt;=10,"6-10",TRUE,"10+")</f>
        <v>10+</v>
      </c>
    </row>
    <row r="891" spans="1:28" x14ac:dyDescent="0.3">
      <c r="A891" s="2">
        <v>27</v>
      </c>
      <c r="B891" t="s">
        <v>43</v>
      </c>
      <c r="C891">
        <v>0</v>
      </c>
      <c r="D891" t="s">
        <v>36</v>
      </c>
      <c r="E891" t="s">
        <v>45</v>
      </c>
      <c r="F891">
        <v>14</v>
      </c>
      <c r="G891" t="s">
        <v>38</v>
      </c>
      <c r="H891" t="s">
        <v>961</v>
      </c>
      <c r="I891">
        <v>1</v>
      </c>
      <c r="J891" t="s">
        <v>46</v>
      </c>
      <c r="K891">
        <v>3</v>
      </c>
      <c r="L891">
        <v>1</v>
      </c>
      <c r="M891" t="s">
        <v>47</v>
      </c>
      <c r="N891">
        <v>1</v>
      </c>
      <c r="O891" t="s">
        <v>48</v>
      </c>
      <c r="P891" s="6">
        <v>2235</v>
      </c>
      <c r="Q891" t="s">
        <v>72</v>
      </c>
      <c r="R891" t="s">
        <v>35</v>
      </c>
      <c r="S891">
        <v>3</v>
      </c>
      <c r="T891">
        <v>9</v>
      </c>
      <c r="U891">
        <v>2</v>
      </c>
      <c r="V891">
        <v>9</v>
      </c>
      <c r="W891">
        <v>7</v>
      </c>
      <c r="X891">
        <v>6</v>
      </c>
      <c r="Y891">
        <v>8</v>
      </c>
      <c r="Z891" t="s">
        <v>1551</v>
      </c>
      <c r="AA891" t="s">
        <v>69</v>
      </c>
      <c r="AB891" t="str" cm="1">
        <f t="array" ref="AB891">_xlfn.IFS(cleaned_data[[#This Row],[YearsAtCompany]]&lt;=5, "0-5",cleaned_data[[#This Row],[YearsAtCompany]]&lt;=10,"6-10",TRUE,"10+")</f>
        <v>6-10</v>
      </c>
    </row>
    <row r="892" spans="1:28" x14ac:dyDescent="0.3">
      <c r="A892" s="2">
        <v>54</v>
      </c>
      <c r="B892" t="s">
        <v>43</v>
      </c>
      <c r="C892">
        <v>0</v>
      </c>
      <c r="D892" t="s">
        <v>44</v>
      </c>
      <c r="E892" t="s">
        <v>45</v>
      </c>
      <c r="F892">
        <v>1</v>
      </c>
      <c r="G892" t="s">
        <v>38</v>
      </c>
      <c r="H892" t="s">
        <v>962</v>
      </c>
      <c r="I892">
        <v>4</v>
      </c>
      <c r="J892" t="s">
        <v>39</v>
      </c>
      <c r="K892">
        <v>3</v>
      </c>
      <c r="L892">
        <v>3</v>
      </c>
      <c r="M892" t="s">
        <v>53</v>
      </c>
      <c r="N892">
        <v>3</v>
      </c>
      <c r="O892" t="s">
        <v>52</v>
      </c>
      <c r="P892" s="1">
        <v>10502</v>
      </c>
      <c r="Q892" t="s">
        <v>67</v>
      </c>
      <c r="R892" t="s">
        <v>43</v>
      </c>
      <c r="S892">
        <v>3</v>
      </c>
      <c r="T892">
        <v>33</v>
      </c>
      <c r="U892">
        <v>1</v>
      </c>
      <c r="V892">
        <v>5</v>
      </c>
      <c r="W892">
        <v>4</v>
      </c>
      <c r="X892">
        <v>1</v>
      </c>
      <c r="Y892">
        <v>4</v>
      </c>
      <c r="Z892" t="s">
        <v>106</v>
      </c>
      <c r="AA892" t="s">
        <v>82</v>
      </c>
      <c r="AB892" t="str" cm="1">
        <f t="array" ref="AB892">_xlfn.IFS(cleaned_data[[#This Row],[YearsAtCompany]]&lt;=5, "0-5",cleaned_data[[#This Row],[YearsAtCompany]]&lt;=10,"6-10",TRUE,"10+")</f>
        <v>0-5</v>
      </c>
    </row>
    <row r="893" spans="1:28" x14ac:dyDescent="0.3">
      <c r="A893" s="2">
        <v>44</v>
      </c>
      <c r="B893" t="s">
        <v>43</v>
      </c>
      <c r="C893">
        <v>0</v>
      </c>
      <c r="D893" t="s">
        <v>36</v>
      </c>
      <c r="E893" t="s">
        <v>45</v>
      </c>
      <c r="F893">
        <v>2</v>
      </c>
      <c r="G893" t="s">
        <v>38</v>
      </c>
      <c r="H893" t="s">
        <v>963</v>
      </c>
      <c r="I893">
        <v>1</v>
      </c>
      <c r="J893" t="s">
        <v>39</v>
      </c>
      <c r="K893">
        <v>4</v>
      </c>
      <c r="L893">
        <v>1</v>
      </c>
      <c r="M893" t="s">
        <v>47</v>
      </c>
      <c r="N893">
        <v>4</v>
      </c>
      <c r="O893" t="s">
        <v>48</v>
      </c>
      <c r="P893" s="1">
        <v>2011</v>
      </c>
      <c r="Q893" t="s">
        <v>72</v>
      </c>
      <c r="R893" t="s">
        <v>43</v>
      </c>
      <c r="S893">
        <v>3</v>
      </c>
      <c r="T893">
        <v>10</v>
      </c>
      <c r="U893">
        <v>3</v>
      </c>
      <c r="V893">
        <v>10</v>
      </c>
      <c r="W893">
        <v>5</v>
      </c>
      <c r="X893">
        <v>7</v>
      </c>
      <c r="Y893">
        <v>7</v>
      </c>
      <c r="Z893" t="s">
        <v>1550</v>
      </c>
      <c r="AA893" t="s">
        <v>69</v>
      </c>
      <c r="AB893" t="str" cm="1">
        <f t="array" ref="AB893">_xlfn.IFS(cleaned_data[[#This Row],[YearsAtCompany]]&lt;=5, "0-5",cleaned_data[[#This Row],[YearsAtCompany]]&lt;=10,"6-10",TRUE,"10+")</f>
        <v>6-10</v>
      </c>
    </row>
    <row r="894" spans="1:28" x14ac:dyDescent="0.3">
      <c r="A894" s="2">
        <v>19</v>
      </c>
      <c r="B894" t="s">
        <v>35</v>
      </c>
      <c r="C894">
        <v>1</v>
      </c>
      <c r="D894" t="s">
        <v>55</v>
      </c>
      <c r="E894" t="s">
        <v>45</v>
      </c>
      <c r="F894">
        <v>10</v>
      </c>
      <c r="G894" t="s">
        <v>51</v>
      </c>
      <c r="H894" t="s">
        <v>964</v>
      </c>
      <c r="I894">
        <v>1</v>
      </c>
      <c r="J894" t="s">
        <v>39</v>
      </c>
      <c r="K894">
        <v>2</v>
      </c>
      <c r="L894">
        <v>1</v>
      </c>
      <c r="M894" t="s">
        <v>47</v>
      </c>
      <c r="N894">
        <v>2</v>
      </c>
      <c r="O894" t="s">
        <v>41</v>
      </c>
      <c r="P894" s="1">
        <v>1859</v>
      </c>
      <c r="Q894" t="s">
        <v>72</v>
      </c>
      <c r="R894" t="s">
        <v>35</v>
      </c>
      <c r="S894">
        <v>4</v>
      </c>
      <c r="T894">
        <v>1</v>
      </c>
      <c r="U894">
        <v>4</v>
      </c>
      <c r="V894">
        <v>1</v>
      </c>
      <c r="W894">
        <v>1</v>
      </c>
      <c r="X894">
        <v>0</v>
      </c>
      <c r="Y894">
        <v>0</v>
      </c>
      <c r="Z894" t="s">
        <v>68</v>
      </c>
      <c r="AA894" t="s">
        <v>78</v>
      </c>
      <c r="AB894" t="str" cm="1">
        <f t="array" ref="AB894">_xlfn.IFS(cleaned_data[[#This Row],[YearsAtCompany]]&lt;=5, "0-5",cleaned_data[[#This Row],[YearsAtCompany]]&lt;=10,"6-10",TRUE,"10+")</f>
        <v>0-5</v>
      </c>
    </row>
    <row r="895" spans="1:28" x14ac:dyDescent="0.3">
      <c r="A895" s="2">
        <v>29</v>
      </c>
      <c r="B895" t="s">
        <v>43</v>
      </c>
      <c r="C895">
        <v>0</v>
      </c>
      <c r="D895" t="s">
        <v>36</v>
      </c>
      <c r="E895" t="s">
        <v>45</v>
      </c>
      <c r="F895">
        <v>1</v>
      </c>
      <c r="G895" t="s">
        <v>38</v>
      </c>
      <c r="H895" t="s">
        <v>965</v>
      </c>
      <c r="I895">
        <v>1</v>
      </c>
      <c r="J895" t="s">
        <v>39</v>
      </c>
      <c r="K895">
        <v>3</v>
      </c>
      <c r="L895">
        <v>1</v>
      </c>
      <c r="M895" t="s">
        <v>47</v>
      </c>
      <c r="N895">
        <v>4</v>
      </c>
      <c r="O895" t="s">
        <v>52</v>
      </c>
      <c r="P895" s="1">
        <v>3760</v>
      </c>
      <c r="Q895" t="s">
        <v>72</v>
      </c>
      <c r="R895" t="s">
        <v>43</v>
      </c>
      <c r="S895">
        <v>3</v>
      </c>
      <c r="T895">
        <v>3</v>
      </c>
      <c r="U895">
        <v>3</v>
      </c>
      <c r="V895">
        <v>3</v>
      </c>
      <c r="W895">
        <v>2</v>
      </c>
      <c r="X895">
        <v>1</v>
      </c>
      <c r="Y895">
        <v>2</v>
      </c>
      <c r="Z895" t="s">
        <v>1551</v>
      </c>
      <c r="AA895" t="s">
        <v>78</v>
      </c>
      <c r="AB895" t="str" cm="1">
        <f t="array" ref="AB895">_xlfn.IFS(cleaned_data[[#This Row],[YearsAtCompany]]&lt;=5, "0-5",cleaned_data[[#This Row],[YearsAtCompany]]&lt;=10,"6-10",TRUE,"10+")</f>
        <v>0-5</v>
      </c>
    </row>
    <row r="896" spans="1:28" x14ac:dyDescent="0.3">
      <c r="A896" s="2">
        <v>54</v>
      </c>
      <c r="B896" t="s">
        <v>43</v>
      </c>
      <c r="C896">
        <v>0</v>
      </c>
      <c r="D896" t="s">
        <v>36</v>
      </c>
      <c r="E896" t="s">
        <v>45</v>
      </c>
      <c r="F896">
        <v>3</v>
      </c>
      <c r="G896" t="s">
        <v>38</v>
      </c>
      <c r="H896" t="s">
        <v>966</v>
      </c>
      <c r="I896">
        <v>4</v>
      </c>
      <c r="J896" t="s">
        <v>46</v>
      </c>
      <c r="K896">
        <v>3</v>
      </c>
      <c r="L896">
        <v>4</v>
      </c>
      <c r="M896" t="s">
        <v>58</v>
      </c>
      <c r="N896">
        <v>4</v>
      </c>
      <c r="O896" t="s">
        <v>48</v>
      </c>
      <c r="P896" s="1">
        <v>17779</v>
      </c>
      <c r="Q896" t="s">
        <v>90</v>
      </c>
      <c r="R896" t="s">
        <v>43</v>
      </c>
      <c r="S896">
        <v>3</v>
      </c>
      <c r="T896">
        <v>36</v>
      </c>
      <c r="U896">
        <v>3</v>
      </c>
      <c r="V896">
        <v>10</v>
      </c>
      <c r="W896">
        <v>9</v>
      </c>
      <c r="X896">
        <v>0</v>
      </c>
      <c r="Y896">
        <v>9</v>
      </c>
      <c r="Z896" t="s">
        <v>106</v>
      </c>
      <c r="AA896" t="s">
        <v>82</v>
      </c>
      <c r="AB896" t="str" cm="1">
        <f t="array" ref="AB896">_xlfn.IFS(cleaned_data[[#This Row],[YearsAtCompany]]&lt;=5, "0-5",cleaned_data[[#This Row],[YearsAtCompany]]&lt;=10,"6-10",TRUE,"10+")</f>
        <v>6-10</v>
      </c>
    </row>
    <row r="897" spans="1:28" x14ac:dyDescent="0.3">
      <c r="A897" s="2">
        <v>31</v>
      </c>
      <c r="B897" t="s">
        <v>43</v>
      </c>
      <c r="C897">
        <v>0</v>
      </c>
      <c r="D897" t="s">
        <v>36</v>
      </c>
      <c r="E897" t="s">
        <v>45</v>
      </c>
      <c r="F897">
        <v>11</v>
      </c>
      <c r="G897" t="s">
        <v>51</v>
      </c>
      <c r="H897" t="s">
        <v>967</v>
      </c>
      <c r="I897">
        <v>3</v>
      </c>
      <c r="J897" t="s">
        <v>46</v>
      </c>
      <c r="K897">
        <v>3</v>
      </c>
      <c r="L897">
        <v>2</v>
      </c>
      <c r="M897" t="s">
        <v>54</v>
      </c>
      <c r="N897">
        <v>1</v>
      </c>
      <c r="O897" t="s">
        <v>48</v>
      </c>
      <c r="P897" s="6">
        <v>6833</v>
      </c>
      <c r="Q897" t="s">
        <v>67</v>
      </c>
      <c r="R897" t="s">
        <v>35</v>
      </c>
      <c r="S897">
        <v>3</v>
      </c>
      <c r="T897">
        <v>6</v>
      </c>
      <c r="U897">
        <v>2</v>
      </c>
      <c r="V897">
        <v>6</v>
      </c>
      <c r="W897">
        <v>5</v>
      </c>
      <c r="X897">
        <v>0</v>
      </c>
      <c r="Y897">
        <v>1</v>
      </c>
      <c r="Z897" t="s">
        <v>1551</v>
      </c>
      <c r="AA897" t="s">
        <v>69</v>
      </c>
      <c r="AB897" t="str" cm="1">
        <f t="array" ref="AB897">_xlfn.IFS(cleaned_data[[#This Row],[YearsAtCompany]]&lt;=5, "0-5",cleaned_data[[#This Row],[YearsAtCompany]]&lt;=10,"6-10",TRUE,"10+")</f>
        <v>6-10</v>
      </c>
    </row>
    <row r="898" spans="1:28" x14ac:dyDescent="0.3">
      <c r="A898" s="2">
        <v>31</v>
      </c>
      <c r="B898" t="s">
        <v>43</v>
      </c>
      <c r="C898">
        <v>0</v>
      </c>
      <c r="D898" t="s">
        <v>36</v>
      </c>
      <c r="E898" t="s">
        <v>45</v>
      </c>
      <c r="F898">
        <v>24</v>
      </c>
      <c r="G898" t="s">
        <v>51</v>
      </c>
      <c r="H898" t="s">
        <v>968</v>
      </c>
      <c r="I898">
        <v>3</v>
      </c>
      <c r="J898" t="s">
        <v>39</v>
      </c>
      <c r="K898">
        <v>2</v>
      </c>
      <c r="L898">
        <v>2</v>
      </c>
      <c r="M898" t="s">
        <v>54</v>
      </c>
      <c r="N898">
        <v>1</v>
      </c>
      <c r="O898" t="s">
        <v>41</v>
      </c>
      <c r="P898" s="6">
        <v>6812</v>
      </c>
      <c r="Q898" t="s">
        <v>67</v>
      </c>
      <c r="R898" t="s">
        <v>43</v>
      </c>
      <c r="S898">
        <v>3</v>
      </c>
      <c r="T898">
        <v>10</v>
      </c>
      <c r="U898">
        <v>3</v>
      </c>
      <c r="V898">
        <v>10</v>
      </c>
      <c r="W898">
        <v>9</v>
      </c>
      <c r="X898">
        <v>1</v>
      </c>
      <c r="Y898">
        <v>8</v>
      </c>
      <c r="Z898" t="s">
        <v>1551</v>
      </c>
      <c r="AA898" t="s">
        <v>69</v>
      </c>
      <c r="AB898" t="str" cm="1">
        <f t="array" ref="AB898">_xlfn.IFS(cleaned_data[[#This Row],[YearsAtCompany]]&lt;=5, "0-5",cleaned_data[[#This Row],[YearsAtCompany]]&lt;=10,"6-10",TRUE,"10+")</f>
        <v>6-10</v>
      </c>
    </row>
    <row r="899" spans="1:28" x14ac:dyDescent="0.3">
      <c r="A899" s="2">
        <v>59</v>
      </c>
      <c r="B899" t="s">
        <v>43</v>
      </c>
      <c r="C899">
        <v>0</v>
      </c>
      <c r="D899" t="s">
        <v>36</v>
      </c>
      <c r="E899" t="s">
        <v>37</v>
      </c>
      <c r="F899">
        <v>3</v>
      </c>
      <c r="G899" t="s">
        <v>38</v>
      </c>
      <c r="H899" t="s">
        <v>969</v>
      </c>
      <c r="I899">
        <v>3</v>
      </c>
      <c r="J899" t="s">
        <v>39</v>
      </c>
      <c r="K899">
        <v>2</v>
      </c>
      <c r="L899">
        <v>2</v>
      </c>
      <c r="M899" t="s">
        <v>40</v>
      </c>
      <c r="N899">
        <v>4</v>
      </c>
      <c r="O899" t="s">
        <v>41</v>
      </c>
      <c r="P899" s="1">
        <v>5171</v>
      </c>
      <c r="Q899" t="s">
        <v>67</v>
      </c>
      <c r="R899" t="s">
        <v>43</v>
      </c>
      <c r="S899">
        <v>3</v>
      </c>
      <c r="T899">
        <v>13</v>
      </c>
      <c r="U899">
        <v>3</v>
      </c>
      <c r="V899">
        <v>6</v>
      </c>
      <c r="W899">
        <v>1</v>
      </c>
      <c r="X899">
        <v>0</v>
      </c>
      <c r="Y899">
        <v>5</v>
      </c>
      <c r="Z899" t="s">
        <v>106</v>
      </c>
      <c r="AA899" t="s">
        <v>69</v>
      </c>
      <c r="AB899" t="str" cm="1">
        <f t="array" ref="AB899">_xlfn.IFS(cleaned_data[[#This Row],[YearsAtCompany]]&lt;=5, "0-5",cleaned_data[[#This Row],[YearsAtCompany]]&lt;=10,"6-10",TRUE,"10+")</f>
        <v>6-10</v>
      </c>
    </row>
    <row r="900" spans="1:28" x14ac:dyDescent="0.3">
      <c r="A900" s="2">
        <v>43</v>
      </c>
      <c r="B900" t="s">
        <v>43</v>
      </c>
      <c r="C900">
        <v>0</v>
      </c>
      <c r="D900" t="s">
        <v>36</v>
      </c>
      <c r="E900" t="s">
        <v>45</v>
      </c>
      <c r="F900">
        <v>3</v>
      </c>
      <c r="G900" t="s">
        <v>38</v>
      </c>
      <c r="H900" t="s">
        <v>970</v>
      </c>
      <c r="I900">
        <v>3</v>
      </c>
      <c r="J900" t="s">
        <v>46</v>
      </c>
      <c r="K900">
        <v>1</v>
      </c>
      <c r="L900">
        <v>5</v>
      </c>
      <c r="M900" t="s">
        <v>58</v>
      </c>
      <c r="N900">
        <v>4</v>
      </c>
      <c r="O900" t="s">
        <v>48</v>
      </c>
      <c r="P900" s="1">
        <v>19740</v>
      </c>
      <c r="Q900" t="s">
        <v>90</v>
      </c>
      <c r="R900" t="s">
        <v>43</v>
      </c>
      <c r="S900">
        <v>3</v>
      </c>
      <c r="T900">
        <v>25</v>
      </c>
      <c r="U900">
        <v>3</v>
      </c>
      <c r="V900">
        <v>8</v>
      </c>
      <c r="W900">
        <v>7</v>
      </c>
      <c r="X900">
        <v>0</v>
      </c>
      <c r="Y900">
        <v>7</v>
      </c>
      <c r="Z900" t="s">
        <v>1550</v>
      </c>
      <c r="AA900" t="s">
        <v>82</v>
      </c>
      <c r="AB900" t="str" cm="1">
        <f t="array" ref="AB900">_xlfn.IFS(cleaned_data[[#This Row],[YearsAtCompany]]&lt;=5, "0-5",cleaned_data[[#This Row],[YearsAtCompany]]&lt;=10,"6-10",TRUE,"10+")</f>
        <v>6-10</v>
      </c>
    </row>
    <row r="901" spans="1:28" x14ac:dyDescent="0.3">
      <c r="A901" s="2">
        <v>49</v>
      </c>
      <c r="B901" t="s">
        <v>43</v>
      </c>
      <c r="C901">
        <v>0</v>
      </c>
      <c r="D901" t="s">
        <v>36</v>
      </c>
      <c r="E901" t="s">
        <v>45</v>
      </c>
      <c r="F901">
        <v>4</v>
      </c>
      <c r="G901" t="s">
        <v>51</v>
      </c>
      <c r="H901" t="s">
        <v>971</v>
      </c>
      <c r="I901">
        <v>1</v>
      </c>
      <c r="J901" t="s">
        <v>46</v>
      </c>
      <c r="K901">
        <v>2</v>
      </c>
      <c r="L901">
        <v>5</v>
      </c>
      <c r="M901" t="s">
        <v>56</v>
      </c>
      <c r="N901">
        <v>3</v>
      </c>
      <c r="O901" t="s">
        <v>48</v>
      </c>
      <c r="P901" s="1">
        <v>18711</v>
      </c>
      <c r="Q901" t="s">
        <v>90</v>
      </c>
      <c r="R901" t="s">
        <v>43</v>
      </c>
      <c r="S901">
        <v>3</v>
      </c>
      <c r="T901">
        <v>23</v>
      </c>
      <c r="U901">
        <v>4</v>
      </c>
      <c r="V901">
        <v>1</v>
      </c>
      <c r="W901">
        <v>0</v>
      </c>
      <c r="X901">
        <v>0</v>
      </c>
      <c r="Y901">
        <v>0</v>
      </c>
      <c r="Z901" t="s">
        <v>106</v>
      </c>
      <c r="AA901" t="s">
        <v>82</v>
      </c>
      <c r="AB901" t="str" cm="1">
        <f t="array" ref="AB901">_xlfn.IFS(cleaned_data[[#This Row],[YearsAtCompany]]&lt;=5, "0-5",cleaned_data[[#This Row],[YearsAtCompany]]&lt;=10,"6-10",TRUE,"10+")</f>
        <v>0-5</v>
      </c>
    </row>
    <row r="902" spans="1:28" x14ac:dyDescent="0.3">
      <c r="A902" s="2">
        <v>36</v>
      </c>
      <c r="B902" t="s">
        <v>43</v>
      </c>
      <c r="C902">
        <v>0</v>
      </c>
      <c r="D902" t="s">
        <v>44</v>
      </c>
      <c r="E902" t="s">
        <v>45</v>
      </c>
      <c r="F902">
        <v>3</v>
      </c>
      <c r="G902" t="s">
        <v>60</v>
      </c>
      <c r="H902" t="s">
        <v>972</v>
      </c>
      <c r="I902">
        <v>3</v>
      </c>
      <c r="J902" t="s">
        <v>46</v>
      </c>
      <c r="K902">
        <v>3</v>
      </c>
      <c r="L902">
        <v>1</v>
      </c>
      <c r="M902" t="s">
        <v>47</v>
      </c>
      <c r="N902">
        <v>2</v>
      </c>
      <c r="O902" t="s">
        <v>48</v>
      </c>
      <c r="P902" s="1">
        <v>3692</v>
      </c>
      <c r="Q902" t="s">
        <v>72</v>
      </c>
      <c r="R902" t="s">
        <v>43</v>
      </c>
      <c r="S902">
        <v>3</v>
      </c>
      <c r="T902">
        <v>12</v>
      </c>
      <c r="U902">
        <v>2</v>
      </c>
      <c r="V902">
        <v>11</v>
      </c>
      <c r="W902">
        <v>10</v>
      </c>
      <c r="X902">
        <v>0</v>
      </c>
      <c r="Y902">
        <v>7</v>
      </c>
      <c r="Z902" t="s">
        <v>1550</v>
      </c>
      <c r="AA902" t="s">
        <v>69</v>
      </c>
      <c r="AB902" t="str" cm="1">
        <f t="array" ref="AB902">_xlfn.IFS(cleaned_data[[#This Row],[YearsAtCompany]]&lt;=5, "0-5",cleaned_data[[#This Row],[YearsAtCompany]]&lt;=10,"6-10",TRUE,"10+")</f>
        <v>10+</v>
      </c>
    </row>
    <row r="903" spans="1:28" x14ac:dyDescent="0.3">
      <c r="A903" s="2">
        <v>48</v>
      </c>
      <c r="B903" t="s">
        <v>43</v>
      </c>
      <c r="C903">
        <v>0</v>
      </c>
      <c r="D903" t="s">
        <v>36</v>
      </c>
      <c r="E903" t="s">
        <v>45</v>
      </c>
      <c r="F903">
        <v>2</v>
      </c>
      <c r="G903" t="s">
        <v>60</v>
      </c>
      <c r="H903" t="s">
        <v>973</v>
      </c>
      <c r="I903">
        <v>4</v>
      </c>
      <c r="J903" t="s">
        <v>46</v>
      </c>
      <c r="K903">
        <v>4</v>
      </c>
      <c r="L903">
        <v>1</v>
      </c>
      <c r="M903" t="s">
        <v>50</v>
      </c>
      <c r="N903">
        <v>2</v>
      </c>
      <c r="O903" t="s">
        <v>41</v>
      </c>
      <c r="P903" s="1">
        <v>2559</v>
      </c>
      <c r="Q903" t="s">
        <v>72</v>
      </c>
      <c r="R903" t="s">
        <v>43</v>
      </c>
      <c r="S903">
        <v>3</v>
      </c>
      <c r="T903">
        <v>7</v>
      </c>
      <c r="U903">
        <v>2</v>
      </c>
      <c r="V903">
        <v>1</v>
      </c>
      <c r="W903">
        <v>0</v>
      </c>
      <c r="X903">
        <v>0</v>
      </c>
      <c r="Y903">
        <v>0</v>
      </c>
      <c r="Z903" t="s">
        <v>106</v>
      </c>
      <c r="AA903" t="s">
        <v>69</v>
      </c>
      <c r="AB903" t="str" cm="1">
        <f t="array" ref="AB903">_xlfn.IFS(cleaned_data[[#This Row],[YearsAtCompany]]&lt;=5, "0-5",cleaned_data[[#This Row],[YearsAtCompany]]&lt;=10,"6-10",TRUE,"10+")</f>
        <v>0-5</v>
      </c>
    </row>
    <row r="904" spans="1:28" x14ac:dyDescent="0.3">
      <c r="A904" s="2">
        <v>27</v>
      </c>
      <c r="B904" t="s">
        <v>43</v>
      </c>
      <c r="C904">
        <v>0</v>
      </c>
      <c r="D904" t="s">
        <v>36</v>
      </c>
      <c r="E904" t="s">
        <v>45</v>
      </c>
      <c r="F904">
        <v>4</v>
      </c>
      <c r="G904" t="s">
        <v>38</v>
      </c>
      <c r="H904" t="s">
        <v>974</v>
      </c>
      <c r="I904">
        <v>1</v>
      </c>
      <c r="J904" t="s">
        <v>46</v>
      </c>
      <c r="K904">
        <v>3</v>
      </c>
      <c r="L904">
        <v>1</v>
      </c>
      <c r="M904" t="s">
        <v>47</v>
      </c>
      <c r="N904">
        <v>3</v>
      </c>
      <c r="O904" t="s">
        <v>52</v>
      </c>
      <c r="P904" s="1">
        <v>2517</v>
      </c>
      <c r="Q904" t="s">
        <v>72</v>
      </c>
      <c r="R904" t="s">
        <v>43</v>
      </c>
      <c r="S904">
        <v>3</v>
      </c>
      <c r="T904">
        <v>5</v>
      </c>
      <c r="U904">
        <v>3</v>
      </c>
      <c r="V904">
        <v>5</v>
      </c>
      <c r="W904">
        <v>3</v>
      </c>
      <c r="X904">
        <v>0</v>
      </c>
      <c r="Y904">
        <v>3</v>
      </c>
      <c r="Z904" t="s">
        <v>1551</v>
      </c>
      <c r="AA904" t="s">
        <v>78</v>
      </c>
      <c r="AB904" t="str" cm="1">
        <f t="array" ref="AB904">_xlfn.IFS(cleaned_data[[#This Row],[YearsAtCompany]]&lt;=5, "0-5",cleaned_data[[#This Row],[YearsAtCompany]]&lt;=10,"6-10",TRUE,"10+")</f>
        <v>0-5</v>
      </c>
    </row>
    <row r="905" spans="1:28" x14ac:dyDescent="0.3">
      <c r="A905" s="2">
        <v>29</v>
      </c>
      <c r="B905" t="s">
        <v>43</v>
      </c>
      <c r="C905">
        <v>0</v>
      </c>
      <c r="D905" t="s">
        <v>36</v>
      </c>
      <c r="E905" t="s">
        <v>45</v>
      </c>
      <c r="F905">
        <v>7</v>
      </c>
      <c r="G905" t="s">
        <v>38</v>
      </c>
      <c r="H905" t="s">
        <v>975</v>
      </c>
      <c r="I905">
        <v>3</v>
      </c>
      <c r="J905" t="s">
        <v>46</v>
      </c>
      <c r="K905">
        <v>3</v>
      </c>
      <c r="L905">
        <v>2</v>
      </c>
      <c r="M905" t="s">
        <v>54</v>
      </c>
      <c r="N905">
        <v>4</v>
      </c>
      <c r="O905" t="s">
        <v>52</v>
      </c>
      <c r="P905" s="1">
        <v>6623</v>
      </c>
      <c r="Q905" t="s">
        <v>67</v>
      </c>
      <c r="R905" t="s">
        <v>35</v>
      </c>
      <c r="S905">
        <v>3</v>
      </c>
      <c r="T905">
        <v>6</v>
      </c>
      <c r="U905">
        <v>3</v>
      </c>
      <c r="V905">
        <v>6</v>
      </c>
      <c r="W905">
        <v>0</v>
      </c>
      <c r="X905">
        <v>1</v>
      </c>
      <c r="Y905">
        <v>0</v>
      </c>
      <c r="Z905" t="s">
        <v>1551</v>
      </c>
      <c r="AA905" t="s">
        <v>69</v>
      </c>
      <c r="AB905" t="str" cm="1">
        <f t="array" ref="AB905">_xlfn.IFS(cleaned_data[[#This Row],[YearsAtCompany]]&lt;=5, "0-5",cleaned_data[[#This Row],[YearsAtCompany]]&lt;=10,"6-10",TRUE,"10+")</f>
        <v>6-10</v>
      </c>
    </row>
    <row r="906" spans="1:28" x14ac:dyDescent="0.3">
      <c r="A906" s="2">
        <v>48</v>
      </c>
      <c r="B906" t="s">
        <v>43</v>
      </c>
      <c r="C906">
        <v>0</v>
      </c>
      <c r="D906" t="s">
        <v>36</v>
      </c>
      <c r="E906" t="s">
        <v>45</v>
      </c>
      <c r="F906">
        <v>1</v>
      </c>
      <c r="G906" t="s">
        <v>38</v>
      </c>
      <c r="H906" t="s">
        <v>976</v>
      </c>
      <c r="I906">
        <v>4</v>
      </c>
      <c r="J906" t="s">
        <v>46</v>
      </c>
      <c r="K906">
        <v>2</v>
      </c>
      <c r="L906">
        <v>5</v>
      </c>
      <c r="M906" t="s">
        <v>58</v>
      </c>
      <c r="N906">
        <v>4</v>
      </c>
      <c r="O906" t="s">
        <v>41</v>
      </c>
      <c r="P906" s="1">
        <v>18265</v>
      </c>
      <c r="Q906" t="s">
        <v>90</v>
      </c>
      <c r="R906" t="s">
        <v>43</v>
      </c>
      <c r="S906">
        <v>3</v>
      </c>
      <c r="T906">
        <v>25</v>
      </c>
      <c r="U906">
        <v>4</v>
      </c>
      <c r="V906">
        <v>1</v>
      </c>
      <c r="W906">
        <v>0</v>
      </c>
      <c r="X906">
        <v>0</v>
      </c>
      <c r="Y906">
        <v>0</v>
      </c>
      <c r="Z906" t="s">
        <v>106</v>
      </c>
      <c r="AA906" t="s">
        <v>82</v>
      </c>
      <c r="AB906" t="str" cm="1">
        <f t="array" ref="AB906">_xlfn.IFS(cleaned_data[[#This Row],[YearsAtCompany]]&lt;=5, "0-5",cleaned_data[[#This Row],[YearsAtCompany]]&lt;=10,"6-10",TRUE,"10+")</f>
        <v>0-5</v>
      </c>
    </row>
    <row r="907" spans="1:28" x14ac:dyDescent="0.3">
      <c r="A907" s="2">
        <v>29</v>
      </c>
      <c r="B907" t="s">
        <v>43</v>
      </c>
      <c r="C907">
        <v>0</v>
      </c>
      <c r="D907" t="s">
        <v>36</v>
      </c>
      <c r="E907" t="s">
        <v>45</v>
      </c>
      <c r="F907">
        <v>1</v>
      </c>
      <c r="G907" t="s">
        <v>38</v>
      </c>
      <c r="H907" t="s">
        <v>977</v>
      </c>
      <c r="I907">
        <v>4</v>
      </c>
      <c r="J907" t="s">
        <v>39</v>
      </c>
      <c r="K907">
        <v>2</v>
      </c>
      <c r="L907">
        <v>4</v>
      </c>
      <c r="M907" t="s">
        <v>58</v>
      </c>
      <c r="N907">
        <v>4</v>
      </c>
      <c r="O907" t="s">
        <v>52</v>
      </c>
      <c r="P907" s="1">
        <v>16124</v>
      </c>
      <c r="Q907" t="s">
        <v>90</v>
      </c>
      <c r="R907" t="s">
        <v>43</v>
      </c>
      <c r="S907">
        <v>3</v>
      </c>
      <c r="T907">
        <v>9</v>
      </c>
      <c r="U907">
        <v>2</v>
      </c>
      <c r="V907">
        <v>7</v>
      </c>
      <c r="W907">
        <v>7</v>
      </c>
      <c r="X907">
        <v>1</v>
      </c>
      <c r="Y907">
        <v>7</v>
      </c>
      <c r="Z907" t="s">
        <v>1551</v>
      </c>
      <c r="AA907" t="s">
        <v>69</v>
      </c>
      <c r="AB907" t="str" cm="1">
        <f t="array" ref="AB907">_xlfn.IFS(cleaned_data[[#This Row],[YearsAtCompany]]&lt;=5, "0-5",cleaned_data[[#This Row],[YearsAtCompany]]&lt;=10,"6-10",TRUE,"10+")</f>
        <v>6-10</v>
      </c>
    </row>
    <row r="908" spans="1:28" x14ac:dyDescent="0.3">
      <c r="A908" s="2">
        <v>34</v>
      </c>
      <c r="B908" t="s">
        <v>43</v>
      </c>
      <c r="C908">
        <v>0</v>
      </c>
      <c r="D908" t="s">
        <v>36</v>
      </c>
      <c r="E908" t="s">
        <v>45</v>
      </c>
      <c r="F908">
        <v>20</v>
      </c>
      <c r="G908" t="s">
        <v>60</v>
      </c>
      <c r="H908" t="s">
        <v>978</v>
      </c>
      <c r="I908">
        <v>3</v>
      </c>
      <c r="J908" t="s">
        <v>39</v>
      </c>
      <c r="K908">
        <v>4</v>
      </c>
      <c r="L908">
        <v>1</v>
      </c>
      <c r="M908" t="s">
        <v>47</v>
      </c>
      <c r="N908">
        <v>3</v>
      </c>
      <c r="O908" t="s">
        <v>48</v>
      </c>
      <c r="P908" s="1">
        <v>2585</v>
      </c>
      <c r="Q908" t="s">
        <v>72</v>
      </c>
      <c r="R908" t="s">
        <v>43</v>
      </c>
      <c r="S908">
        <v>3</v>
      </c>
      <c r="T908">
        <v>2</v>
      </c>
      <c r="U908">
        <v>2</v>
      </c>
      <c r="V908">
        <v>1</v>
      </c>
      <c r="W908">
        <v>0</v>
      </c>
      <c r="X908">
        <v>0</v>
      </c>
      <c r="Y908">
        <v>0</v>
      </c>
      <c r="Z908" t="s">
        <v>1551</v>
      </c>
      <c r="AA908" t="s">
        <v>78</v>
      </c>
      <c r="AB908" t="str" cm="1">
        <f t="array" ref="AB908">_xlfn.IFS(cleaned_data[[#This Row],[YearsAtCompany]]&lt;=5, "0-5",cleaned_data[[#This Row],[YearsAtCompany]]&lt;=10,"6-10",TRUE,"10+")</f>
        <v>0-5</v>
      </c>
    </row>
    <row r="909" spans="1:28" x14ac:dyDescent="0.3">
      <c r="A909" s="2">
        <v>44</v>
      </c>
      <c r="B909" t="s">
        <v>43</v>
      </c>
      <c r="C909">
        <v>0</v>
      </c>
      <c r="D909" t="s">
        <v>36</v>
      </c>
      <c r="E909" t="s">
        <v>37</v>
      </c>
      <c r="F909">
        <v>5</v>
      </c>
      <c r="G909" t="s">
        <v>59</v>
      </c>
      <c r="H909" t="s">
        <v>979</v>
      </c>
      <c r="I909">
        <v>2</v>
      </c>
      <c r="J909" t="s">
        <v>46</v>
      </c>
      <c r="K909">
        <v>3</v>
      </c>
      <c r="L909">
        <v>5</v>
      </c>
      <c r="M909" t="s">
        <v>56</v>
      </c>
      <c r="N909">
        <v>2</v>
      </c>
      <c r="O909" t="s">
        <v>48</v>
      </c>
      <c r="P909" s="1">
        <v>18213</v>
      </c>
      <c r="Q909" t="s">
        <v>90</v>
      </c>
      <c r="R909" t="s">
        <v>43</v>
      </c>
      <c r="S909">
        <v>3</v>
      </c>
      <c r="T909">
        <v>26</v>
      </c>
      <c r="U909">
        <v>3</v>
      </c>
      <c r="V909">
        <v>22</v>
      </c>
      <c r="W909">
        <v>9</v>
      </c>
      <c r="X909">
        <v>3</v>
      </c>
      <c r="Y909">
        <v>10</v>
      </c>
      <c r="Z909" t="s">
        <v>1550</v>
      </c>
      <c r="AA909" t="s">
        <v>82</v>
      </c>
      <c r="AB909" t="str" cm="1">
        <f t="array" ref="AB909">_xlfn.IFS(cleaned_data[[#This Row],[YearsAtCompany]]&lt;=5, "0-5",cleaned_data[[#This Row],[YearsAtCompany]]&lt;=10,"6-10",TRUE,"10+")</f>
        <v>10+</v>
      </c>
    </row>
    <row r="910" spans="1:28" x14ac:dyDescent="0.3">
      <c r="A910" s="2">
        <v>33</v>
      </c>
      <c r="B910" t="s">
        <v>43</v>
      </c>
      <c r="C910">
        <v>0</v>
      </c>
      <c r="D910" t="s">
        <v>36</v>
      </c>
      <c r="E910" t="s">
        <v>37</v>
      </c>
      <c r="F910">
        <v>10</v>
      </c>
      <c r="G910" t="s">
        <v>59</v>
      </c>
      <c r="H910" t="s">
        <v>980</v>
      </c>
      <c r="I910">
        <v>4</v>
      </c>
      <c r="J910" t="s">
        <v>46</v>
      </c>
      <c r="K910">
        <v>4</v>
      </c>
      <c r="L910">
        <v>3</v>
      </c>
      <c r="M910" t="s">
        <v>40</v>
      </c>
      <c r="N910">
        <v>3</v>
      </c>
      <c r="O910" t="s">
        <v>52</v>
      </c>
      <c r="P910" s="1">
        <v>8380</v>
      </c>
      <c r="Q910" t="s">
        <v>67</v>
      </c>
      <c r="R910" t="s">
        <v>35</v>
      </c>
      <c r="S910">
        <v>3</v>
      </c>
      <c r="T910">
        <v>10</v>
      </c>
      <c r="U910">
        <v>3</v>
      </c>
      <c r="V910">
        <v>9</v>
      </c>
      <c r="W910">
        <v>8</v>
      </c>
      <c r="X910">
        <v>0</v>
      </c>
      <c r="Y910">
        <v>8</v>
      </c>
      <c r="Z910" t="s">
        <v>1551</v>
      </c>
      <c r="AA910" t="s">
        <v>69</v>
      </c>
      <c r="AB910" t="str" cm="1">
        <f t="array" ref="AB910">_xlfn.IFS(cleaned_data[[#This Row],[YearsAtCompany]]&lt;=5, "0-5",cleaned_data[[#This Row],[YearsAtCompany]]&lt;=10,"6-10",TRUE,"10+")</f>
        <v>6-10</v>
      </c>
    </row>
    <row r="911" spans="1:28" x14ac:dyDescent="0.3">
      <c r="A911" s="2">
        <v>19</v>
      </c>
      <c r="B911" t="s">
        <v>43</v>
      </c>
      <c r="C911">
        <v>0</v>
      </c>
      <c r="D911" t="s">
        <v>36</v>
      </c>
      <c r="E911" t="s">
        <v>45</v>
      </c>
      <c r="F911">
        <v>25</v>
      </c>
      <c r="G911" t="s">
        <v>38</v>
      </c>
      <c r="H911" t="s">
        <v>981</v>
      </c>
      <c r="I911">
        <v>2</v>
      </c>
      <c r="J911" t="s">
        <v>39</v>
      </c>
      <c r="K911">
        <v>4</v>
      </c>
      <c r="L911">
        <v>1</v>
      </c>
      <c r="M911" t="s">
        <v>47</v>
      </c>
      <c r="N911">
        <v>4</v>
      </c>
      <c r="O911" t="s">
        <v>41</v>
      </c>
      <c r="P911" s="1">
        <v>2994</v>
      </c>
      <c r="Q911" t="s">
        <v>72</v>
      </c>
      <c r="R911" t="s">
        <v>35</v>
      </c>
      <c r="S911">
        <v>3</v>
      </c>
      <c r="T911">
        <v>1</v>
      </c>
      <c r="U911">
        <v>3</v>
      </c>
      <c r="V911">
        <v>1</v>
      </c>
      <c r="W911">
        <v>0</v>
      </c>
      <c r="X911">
        <v>0</v>
      </c>
      <c r="Y911">
        <v>1</v>
      </c>
      <c r="Z911" t="s">
        <v>68</v>
      </c>
      <c r="AA911" t="s">
        <v>78</v>
      </c>
      <c r="AB911" t="str" cm="1">
        <f t="array" ref="AB911">_xlfn.IFS(cleaned_data[[#This Row],[YearsAtCompany]]&lt;=5, "0-5",cleaned_data[[#This Row],[YearsAtCompany]]&lt;=10,"6-10",TRUE,"10+")</f>
        <v>0-5</v>
      </c>
    </row>
    <row r="912" spans="1:28" x14ac:dyDescent="0.3">
      <c r="A912" s="2">
        <v>23</v>
      </c>
      <c r="B912" t="s">
        <v>43</v>
      </c>
      <c r="C912">
        <v>0</v>
      </c>
      <c r="D912" t="s">
        <v>36</v>
      </c>
      <c r="E912" t="s">
        <v>45</v>
      </c>
      <c r="F912">
        <v>1</v>
      </c>
      <c r="G912" t="s">
        <v>38</v>
      </c>
      <c r="H912" t="s">
        <v>982</v>
      </c>
      <c r="I912">
        <v>4</v>
      </c>
      <c r="J912" t="s">
        <v>46</v>
      </c>
      <c r="K912">
        <v>3</v>
      </c>
      <c r="L912">
        <v>1</v>
      </c>
      <c r="M912" t="s">
        <v>47</v>
      </c>
      <c r="N912">
        <v>3</v>
      </c>
      <c r="O912" t="s">
        <v>48</v>
      </c>
      <c r="P912" s="1">
        <v>1223</v>
      </c>
      <c r="Q912" t="s">
        <v>72</v>
      </c>
      <c r="R912" t="s">
        <v>43</v>
      </c>
      <c r="S912">
        <v>4</v>
      </c>
      <c r="T912">
        <v>1</v>
      </c>
      <c r="U912">
        <v>3</v>
      </c>
      <c r="V912">
        <v>1</v>
      </c>
      <c r="W912">
        <v>0</v>
      </c>
      <c r="X912">
        <v>0</v>
      </c>
      <c r="Y912">
        <v>1</v>
      </c>
      <c r="Z912" t="s">
        <v>68</v>
      </c>
      <c r="AA912" t="s">
        <v>78</v>
      </c>
      <c r="AB912" t="str" cm="1">
        <f t="array" ref="AB912">_xlfn.IFS(cleaned_data[[#This Row],[YearsAtCompany]]&lt;=5, "0-5",cleaned_data[[#This Row],[YearsAtCompany]]&lt;=10,"6-10",TRUE,"10+")</f>
        <v>0-5</v>
      </c>
    </row>
    <row r="913" spans="1:28" x14ac:dyDescent="0.3">
      <c r="A913" s="2">
        <v>25</v>
      </c>
      <c r="B913" t="s">
        <v>35</v>
      </c>
      <c r="C913">
        <v>1</v>
      </c>
      <c r="D913" t="s">
        <v>44</v>
      </c>
      <c r="E913" t="s">
        <v>37</v>
      </c>
      <c r="F913">
        <v>24</v>
      </c>
      <c r="G913" t="s">
        <v>38</v>
      </c>
      <c r="H913" t="s">
        <v>983</v>
      </c>
      <c r="I913">
        <v>3</v>
      </c>
      <c r="J913" t="s">
        <v>46</v>
      </c>
      <c r="K913">
        <v>1</v>
      </c>
      <c r="L913">
        <v>1</v>
      </c>
      <c r="M913" t="s">
        <v>57</v>
      </c>
      <c r="N913">
        <v>4</v>
      </c>
      <c r="O913" t="s">
        <v>41</v>
      </c>
      <c r="P913" s="1">
        <v>1118</v>
      </c>
      <c r="Q913" t="s">
        <v>72</v>
      </c>
      <c r="R913" t="s">
        <v>35</v>
      </c>
      <c r="S913">
        <v>3</v>
      </c>
      <c r="T913">
        <v>1</v>
      </c>
      <c r="U913">
        <v>3</v>
      </c>
      <c r="V913">
        <v>1</v>
      </c>
      <c r="W913">
        <v>0</v>
      </c>
      <c r="X913">
        <v>1</v>
      </c>
      <c r="Y913">
        <v>0</v>
      </c>
      <c r="Z913" t="s">
        <v>68</v>
      </c>
      <c r="AA913" t="s">
        <v>78</v>
      </c>
      <c r="AB913" t="str" cm="1">
        <f t="array" ref="AB913">_xlfn.IFS(cleaned_data[[#This Row],[YearsAtCompany]]&lt;=5, "0-5",cleaned_data[[#This Row],[YearsAtCompany]]&lt;=10,"6-10",TRUE,"10+")</f>
        <v>0-5</v>
      </c>
    </row>
    <row r="914" spans="1:28" x14ac:dyDescent="0.3">
      <c r="A914" s="2">
        <v>26</v>
      </c>
      <c r="B914" t="s">
        <v>43</v>
      </c>
      <c r="C914">
        <v>0</v>
      </c>
      <c r="D914" t="s">
        <v>36</v>
      </c>
      <c r="E914" t="s">
        <v>45</v>
      </c>
      <c r="F914">
        <v>4</v>
      </c>
      <c r="G914" t="s">
        <v>38</v>
      </c>
      <c r="H914" t="s">
        <v>984</v>
      </c>
      <c r="I914">
        <v>3</v>
      </c>
      <c r="J914" t="s">
        <v>46</v>
      </c>
      <c r="K914">
        <v>3</v>
      </c>
      <c r="L914">
        <v>1</v>
      </c>
      <c r="M914" t="s">
        <v>47</v>
      </c>
      <c r="N914">
        <v>4</v>
      </c>
      <c r="O914" t="s">
        <v>41</v>
      </c>
      <c r="P914" s="1">
        <v>2875</v>
      </c>
      <c r="Q914" t="s">
        <v>72</v>
      </c>
      <c r="R914" t="s">
        <v>35</v>
      </c>
      <c r="S914">
        <v>4</v>
      </c>
      <c r="T914">
        <v>8</v>
      </c>
      <c r="U914">
        <v>2</v>
      </c>
      <c r="V914">
        <v>8</v>
      </c>
      <c r="W914">
        <v>5</v>
      </c>
      <c r="X914">
        <v>2</v>
      </c>
      <c r="Y914">
        <v>2</v>
      </c>
      <c r="Z914" t="s">
        <v>1551</v>
      </c>
      <c r="AA914" t="s">
        <v>69</v>
      </c>
      <c r="AB914" t="str" cm="1">
        <f t="array" ref="AB914">_xlfn.IFS(cleaned_data[[#This Row],[YearsAtCompany]]&lt;=5, "0-5",cleaned_data[[#This Row],[YearsAtCompany]]&lt;=10,"6-10",TRUE,"10+")</f>
        <v>6-10</v>
      </c>
    </row>
    <row r="915" spans="1:28" x14ac:dyDescent="0.3">
      <c r="A915" s="2">
        <v>45</v>
      </c>
      <c r="B915" t="s">
        <v>35</v>
      </c>
      <c r="C915">
        <v>1</v>
      </c>
      <c r="D915" t="s">
        <v>36</v>
      </c>
      <c r="E915" t="s">
        <v>37</v>
      </c>
      <c r="F915">
        <v>2</v>
      </c>
      <c r="G915" t="s">
        <v>59</v>
      </c>
      <c r="H915" t="s">
        <v>985</v>
      </c>
      <c r="I915">
        <v>1</v>
      </c>
      <c r="J915" t="s">
        <v>39</v>
      </c>
      <c r="K915">
        <v>1</v>
      </c>
      <c r="L915">
        <v>5</v>
      </c>
      <c r="M915" t="s">
        <v>56</v>
      </c>
      <c r="N915">
        <v>2</v>
      </c>
      <c r="O915" t="s">
        <v>41</v>
      </c>
      <c r="P915" s="1">
        <v>18824</v>
      </c>
      <c r="Q915" t="s">
        <v>90</v>
      </c>
      <c r="R915" t="s">
        <v>35</v>
      </c>
      <c r="S915">
        <v>3</v>
      </c>
      <c r="T915">
        <v>26</v>
      </c>
      <c r="U915">
        <v>3</v>
      </c>
      <c r="V915">
        <v>24</v>
      </c>
      <c r="W915">
        <v>10</v>
      </c>
      <c r="X915">
        <v>1</v>
      </c>
      <c r="Y915">
        <v>11</v>
      </c>
      <c r="Z915" t="s">
        <v>1550</v>
      </c>
      <c r="AA915" t="s">
        <v>82</v>
      </c>
      <c r="AB915" t="str" cm="1">
        <f t="array" ref="AB915">_xlfn.IFS(cleaned_data[[#This Row],[YearsAtCompany]]&lt;=5, "0-5",cleaned_data[[#This Row],[YearsAtCompany]]&lt;=10,"6-10",TRUE,"10+")</f>
        <v>10+</v>
      </c>
    </row>
    <row r="916" spans="1:28" x14ac:dyDescent="0.3">
      <c r="A916" s="2">
        <v>55</v>
      </c>
      <c r="B916" t="s">
        <v>43</v>
      </c>
      <c r="C916">
        <v>0</v>
      </c>
      <c r="D916" t="s">
        <v>55</v>
      </c>
      <c r="E916" t="s">
        <v>45</v>
      </c>
      <c r="F916">
        <v>8</v>
      </c>
      <c r="G916" t="s">
        <v>51</v>
      </c>
      <c r="H916" t="s">
        <v>986</v>
      </c>
      <c r="I916">
        <v>4</v>
      </c>
      <c r="J916" t="s">
        <v>46</v>
      </c>
      <c r="K916">
        <v>2</v>
      </c>
      <c r="L916">
        <v>4</v>
      </c>
      <c r="M916" t="s">
        <v>54</v>
      </c>
      <c r="N916">
        <v>2</v>
      </c>
      <c r="O916" t="s">
        <v>52</v>
      </c>
      <c r="P916" s="1">
        <v>13577</v>
      </c>
      <c r="Q916" t="s">
        <v>90</v>
      </c>
      <c r="R916" t="s">
        <v>35</v>
      </c>
      <c r="S916">
        <v>3</v>
      </c>
      <c r="T916">
        <v>34</v>
      </c>
      <c r="U916">
        <v>3</v>
      </c>
      <c r="V916">
        <v>33</v>
      </c>
      <c r="W916">
        <v>9</v>
      </c>
      <c r="X916">
        <v>15</v>
      </c>
      <c r="Y916">
        <v>0</v>
      </c>
      <c r="Z916" t="s">
        <v>106</v>
      </c>
      <c r="AA916" t="s">
        <v>82</v>
      </c>
      <c r="AB916" t="str" cm="1">
        <f t="array" ref="AB916">_xlfn.IFS(cleaned_data[[#This Row],[YearsAtCompany]]&lt;=5, "0-5",cleaned_data[[#This Row],[YearsAtCompany]]&lt;=10,"6-10",TRUE,"10+")</f>
        <v>10+</v>
      </c>
    </row>
    <row r="917" spans="1:28" x14ac:dyDescent="0.3">
      <c r="A917" s="2">
        <v>21</v>
      </c>
      <c r="B917" t="s">
        <v>35</v>
      </c>
      <c r="C917">
        <v>1</v>
      </c>
      <c r="D917" t="s">
        <v>44</v>
      </c>
      <c r="E917" t="s">
        <v>45</v>
      </c>
      <c r="F917">
        <v>10</v>
      </c>
      <c r="G917" t="s">
        <v>38</v>
      </c>
      <c r="H917" t="s">
        <v>987</v>
      </c>
      <c r="I917">
        <v>1</v>
      </c>
      <c r="J917" t="s">
        <v>39</v>
      </c>
      <c r="K917">
        <v>2</v>
      </c>
      <c r="L917">
        <v>1</v>
      </c>
      <c r="M917" t="s">
        <v>50</v>
      </c>
      <c r="N917">
        <v>3</v>
      </c>
      <c r="O917" t="s">
        <v>41</v>
      </c>
      <c r="P917" s="1">
        <v>2625</v>
      </c>
      <c r="Q917" t="s">
        <v>72</v>
      </c>
      <c r="R917" t="s">
        <v>43</v>
      </c>
      <c r="S917">
        <v>4</v>
      </c>
      <c r="T917">
        <v>2</v>
      </c>
      <c r="U917">
        <v>1</v>
      </c>
      <c r="V917">
        <v>2</v>
      </c>
      <c r="W917">
        <v>2</v>
      </c>
      <c r="X917">
        <v>2</v>
      </c>
      <c r="Y917">
        <v>2</v>
      </c>
      <c r="Z917" t="s">
        <v>68</v>
      </c>
      <c r="AA917" t="s">
        <v>78</v>
      </c>
      <c r="AB917" t="str" cm="1">
        <f t="array" ref="AB917">_xlfn.IFS(cleaned_data[[#This Row],[YearsAtCompany]]&lt;=5, "0-5",cleaned_data[[#This Row],[YearsAtCompany]]&lt;=10,"6-10",TRUE,"10+")</f>
        <v>0-5</v>
      </c>
    </row>
    <row r="918" spans="1:28" x14ac:dyDescent="0.3">
      <c r="A918" s="2">
        <v>46</v>
      </c>
      <c r="B918" t="s">
        <v>43</v>
      </c>
      <c r="C918">
        <v>0</v>
      </c>
      <c r="D918" t="s">
        <v>36</v>
      </c>
      <c r="E918" t="s">
        <v>37</v>
      </c>
      <c r="F918">
        <v>4</v>
      </c>
      <c r="G918" t="s">
        <v>59</v>
      </c>
      <c r="H918" t="s">
        <v>988</v>
      </c>
      <c r="I918">
        <v>4</v>
      </c>
      <c r="J918" t="s">
        <v>39</v>
      </c>
      <c r="K918">
        <v>2</v>
      </c>
      <c r="L918">
        <v>5</v>
      </c>
      <c r="M918" t="s">
        <v>56</v>
      </c>
      <c r="N918">
        <v>2</v>
      </c>
      <c r="O918" t="s">
        <v>48</v>
      </c>
      <c r="P918" s="1">
        <v>18789</v>
      </c>
      <c r="Q918" t="s">
        <v>90</v>
      </c>
      <c r="R918" t="s">
        <v>43</v>
      </c>
      <c r="S918">
        <v>3</v>
      </c>
      <c r="T918">
        <v>26</v>
      </c>
      <c r="U918">
        <v>3</v>
      </c>
      <c r="V918">
        <v>11</v>
      </c>
      <c r="W918">
        <v>4</v>
      </c>
      <c r="X918">
        <v>0</v>
      </c>
      <c r="Y918">
        <v>8</v>
      </c>
      <c r="Z918" t="s">
        <v>106</v>
      </c>
      <c r="AA918" t="s">
        <v>82</v>
      </c>
      <c r="AB918" t="str" cm="1">
        <f t="array" ref="AB918">_xlfn.IFS(cleaned_data[[#This Row],[YearsAtCompany]]&lt;=5, "0-5",cleaned_data[[#This Row],[YearsAtCompany]]&lt;=10,"6-10",TRUE,"10+")</f>
        <v>10+</v>
      </c>
    </row>
    <row r="919" spans="1:28" x14ac:dyDescent="0.3">
      <c r="A919" s="2">
        <v>34</v>
      </c>
      <c r="B919" t="s">
        <v>43</v>
      </c>
      <c r="C919">
        <v>0</v>
      </c>
      <c r="D919" t="s">
        <v>36</v>
      </c>
      <c r="E919" t="s">
        <v>37</v>
      </c>
      <c r="F919">
        <v>2</v>
      </c>
      <c r="G919" t="s">
        <v>59</v>
      </c>
      <c r="H919" t="s">
        <v>989</v>
      </c>
      <c r="I919">
        <v>3</v>
      </c>
      <c r="J919" t="s">
        <v>39</v>
      </c>
      <c r="K919">
        <v>3</v>
      </c>
      <c r="L919">
        <v>2</v>
      </c>
      <c r="M919" t="s">
        <v>40</v>
      </c>
      <c r="N919">
        <v>1</v>
      </c>
      <c r="O919" t="s">
        <v>41</v>
      </c>
      <c r="P919" s="6">
        <v>4538</v>
      </c>
      <c r="Q919" t="s">
        <v>72</v>
      </c>
      <c r="R919" t="s">
        <v>35</v>
      </c>
      <c r="S919">
        <v>3</v>
      </c>
      <c r="T919">
        <v>4</v>
      </c>
      <c r="U919">
        <v>3</v>
      </c>
      <c r="V919">
        <v>3</v>
      </c>
      <c r="W919">
        <v>2</v>
      </c>
      <c r="X919">
        <v>0</v>
      </c>
      <c r="Y919">
        <v>2</v>
      </c>
      <c r="Z919" t="s">
        <v>1551</v>
      </c>
      <c r="AA919" t="s">
        <v>78</v>
      </c>
      <c r="AB919" t="str" cm="1">
        <f t="array" ref="AB919">_xlfn.IFS(cleaned_data[[#This Row],[YearsAtCompany]]&lt;=5, "0-5",cleaned_data[[#This Row],[YearsAtCompany]]&lt;=10,"6-10",TRUE,"10+")</f>
        <v>0-5</v>
      </c>
    </row>
    <row r="920" spans="1:28" x14ac:dyDescent="0.3">
      <c r="A920" s="2">
        <v>51</v>
      </c>
      <c r="B920" t="s">
        <v>43</v>
      </c>
      <c r="C920">
        <v>0</v>
      </c>
      <c r="D920" t="s">
        <v>44</v>
      </c>
      <c r="E920" t="s">
        <v>37</v>
      </c>
      <c r="F920">
        <v>9</v>
      </c>
      <c r="G920" t="s">
        <v>38</v>
      </c>
      <c r="H920" t="s">
        <v>990</v>
      </c>
      <c r="I920">
        <v>4</v>
      </c>
      <c r="J920" t="s">
        <v>46</v>
      </c>
      <c r="K920">
        <v>3</v>
      </c>
      <c r="L920">
        <v>5</v>
      </c>
      <c r="M920" t="s">
        <v>56</v>
      </c>
      <c r="N920">
        <v>2</v>
      </c>
      <c r="O920" t="s">
        <v>52</v>
      </c>
      <c r="P920" s="1">
        <v>19847</v>
      </c>
      <c r="Q920" t="s">
        <v>90</v>
      </c>
      <c r="R920" t="s">
        <v>35</v>
      </c>
      <c r="S920">
        <v>4</v>
      </c>
      <c r="T920">
        <v>31</v>
      </c>
      <c r="U920">
        <v>2</v>
      </c>
      <c r="V920">
        <v>29</v>
      </c>
      <c r="W920">
        <v>10</v>
      </c>
      <c r="X920">
        <v>11</v>
      </c>
      <c r="Y920">
        <v>10</v>
      </c>
      <c r="Z920" t="s">
        <v>106</v>
      </c>
      <c r="AA920" t="s">
        <v>82</v>
      </c>
      <c r="AB920" t="str" cm="1">
        <f t="array" ref="AB920">_xlfn.IFS(cleaned_data[[#This Row],[YearsAtCompany]]&lt;=5, "0-5",cleaned_data[[#This Row],[YearsAtCompany]]&lt;=10,"6-10",TRUE,"10+")</f>
        <v>10+</v>
      </c>
    </row>
    <row r="921" spans="1:28" x14ac:dyDescent="0.3">
      <c r="A921" s="2">
        <v>59</v>
      </c>
      <c r="B921" t="s">
        <v>43</v>
      </c>
      <c r="C921">
        <v>0</v>
      </c>
      <c r="D921" t="s">
        <v>36</v>
      </c>
      <c r="E921" t="s">
        <v>45</v>
      </c>
      <c r="F921">
        <v>18</v>
      </c>
      <c r="G921" t="s">
        <v>51</v>
      </c>
      <c r="H921" t="s">
        <v>991</v>
      </c>
      <c r="I921">
        <v>4</v>
      </c>
      <c r="J921" t="s">
        <v>46</v>
      </c>
      <c r="K921">
        <v>3</v>
      </c>
      <c r="L921">
        <v>3</v>
      </c>
      <c r="M921" t="s">
        <v>53</v>
      </c>
      <c r="N921">
        <v>4</v>
      </c>
      <c r="O921" t="s">
        <v>41</v>
      </c>
      <c r="P921" s="1">
        <v>10512</v>
      </c>
      <c r="Q921" t="s">
        <v>67</v>
      </c>
      <c r="R921" t="s">
        <v>43</v>
      </c>
      <c r="S921">
        <v>3</v>
      </c>
      <c r="T921">
        <v>25</v>
      </c>
      <c r="U921">
        <v>2</v>
      </c>
      <c r="V921">
        <v>9</v>
      </c>
      <c r="W921">
        <v>7</v>
      </c>
      <c r="X921">
        <v>5</v>
      </c>
      <c r="Y921">
        <v>4</v>
      </c>
      <c r="Z921" t="s">
        <v>106</v>
      </c>
      <c r="AA921" t="s">
        <v>82</v>
      </c>
      <c r="AB921" t="str" cm="1">
        <f t="array" ref="AB921">_xlfn.IFS(cleaned_data[[#This Row],[YearsAtCompany]]&lt;=5, "0-5",cleaned_data[[#This Row],[YearsAtCompany]]&lt;=10,"6-10",TRUE,"10+")</f>
        <v>6-10</v>
      </c>
    </row>
    <row r="922" spans="1:28" x14ac:dyDescent="0.3">
      <c r="A922" s="2">
        <v>34</v>
      </c>
      <c r="B922" t="s">
        <v>43</v>
      </c>
      <c r="C922">
        <v>0</v>
      </c>
      <c r="D922" t="s">
        <v>44</v>
      </c>
      <c r="E922" t="s">
        <v>45</v>
      </c>
      <c r="F922">
        <v>19</v>
      </c>
      <c r="G922" t="s">
        <v>51</v>
      </c>
      <c r="H922" t="s">
        <v>992</v>
      </c>
      <c r="I922">
        <v>3</v>
      </c>
      <c r="J922" t="s">
        <v>39</v>
      </c>
      <c r="K922">
        <v>3</v>
      </c>
      <c r="L922">
        <v>2</v>
      </c>
      <c r="M922" t="s">
        <v>50</v>
      </c>
      <c r="N922">
        <v>2</v>
      </c>
      <c r="O922" t="s">
        <v>52</v>
      </c>
      <c r="P922" s="1">
        <v>4444</v>
      </c>
      <c r="Q922" t="s">
        <v>72</v>
      </c>
      <c r="R922" t="s">
        <v>43</v>
      </c>
      <c r="S922">
        <v>3</v>
      </c>
      <c r="T922">
        <v>15</v>
      </c>
      <c r="U922">
        <v>4</v>
      </c>
      <c r="V922">
        <v>11</v>
      </c>
      <c r="W922">
        <v>8</v>
      </c>
      <c r="X922">
        <v>5</v>
      </c>
      <c r="Y922">
        <v>10</v>
      </c>
      <c r="Z922" t="s">
        <v>1551</v>
      </c>
      <c r="AA922" t="s">
        <v>69</v>
      </c>
      <c r="AB922" t="str" cm="1">
        <f t="array" ref="AB922">_xlfn.IFS(cleaned_data[[#This Row],[YearsAtCompany]]&lt;=5, "0-5",cleaned_data[[#This Row],[YearsAtCompany]]&lt;=10,"6-10",TRUE,"10+")</f>
        <v>10+</v>
      </c>
    </row>
    <row r="923" spans="1:28" x14ac:dyDescent="0.3">
      <c r="A923" s="2">
        <v>28</v>
      </c>
      <c r="B923" t="s">
        <v>43</v>
      </c>
      <c r="C923">
        <v>0</v>
      </c>
      <c r="D923" t="s">
        <v>44</v>
      </c>
      <c r="E923" t="s">
        <v>45</v>
      </c>
      <c r="F923">
        <v>1</v>
      </c>
      <c r="G923" t="s">
        <v>51</v>
      </c>
      <c r="H923" t="s">
        <v>993</v>
      </c>
      <c r="I923">
        <v>4</v>
      </c>
      <c r="J923" t="s">
        <v>46</v>
      </c>
      <c r="K923">
        <v>3</v>
      </c>
      <c r="L923">
        <v>1</v>
      </c>
      <c r="M923" t="s">
        <v>50</v>
      </c>
      <c r="N923">
        <v>3</v>
      </c>
      <c r="O923" t="s">
        <v>41</v>
      </c>
      <c r="P923" s="1">
        <v>2154</v>
      </c>
      <c r="Q923" t="s">
        <v>72</v>
      </c>
      <c r="R923" t="s">
        <v>35</v>
      </c>
      <c r="S923">
        <v>3</v>
      </c>
      <c r="T923">
        <v>5</v>
      </c>
      <c r="U923">
        <v>2</v>
      </c>
      <c r="V923">
        <v>4</v>
      </c>
      <c r="W923">
        <v>2</v>
      </c>
      <c r="X923">
        <v>0</v>
      </c>
      <c r="Y923">
        <v>2</v>
      </c>
      <c r="Z923" t="s">
        <v>1551</v>
      </c>
      <c r="AA923" t="s">
        <v>78</v>
      </c>
      <c r="AB923" t="str" cm="1">
        <f t="array" ref="AB923">_xlfn.IFS(cleaned_data[[#This Row],[YearsAtCompany]]&lt;=5, "0-5",cleaned_data[[#This Row],[YearsAtCompany]]&lt;=10,"6-10",TRUE,"10+")</f>
        <v>0-5</v>
      </c>
    </row>
    <row r="924" spans="1:28" x14ac:dyDescent="0.3">
      <c r="A924" s="2">
        <v>44</v>
      </c>
      <c r="B924" t="s">
        <v>43</v>
      </c>
      <c r="C924">
        <v>0</v>
      </c>
      <c r="D924" t="s">
        <v>36</v>
      </c>
      <c r="E924" t="s">
        <v>45</v>
      </c>
      <c r="F924">
        <v>4</v>
      </c>
      <c r="G924" t="s">
        <v>38</v>
      </c>
      <c r="H924" t="s">
        <v>994</v>
      </c>
      <c r="I924">
        <v>3</v>
      </c>
      <c r="J924" t="s">
        <v>46</v>
      </c>
      <c r="K924">
        <v>4</v>
      </c>
      <c r="L924">
        <v>5</v>
      </c>
      <c r="M924" t="s">
        <v>56</v>
      </c>
      <c r="N924">
        <v>1</v>
      </c>
      <c r="O924" t="s">
        <v>52</v>
      </c>
      <c r="P924" s="6">
        <v>19190</v>
      </c>
      <c r="Q924" t="s">
        <v>90</v>
      </c>
      <c r="R924" t="s">
        <v>43</v>
      </c>
      <c r="S924">
        <v>3</v>
      </c>
      <c r="T924">
        <v>26</v>
      </c>
      <c r="U924">
        <v>2</v>
      </c>
      <c r="V924">
        <v>25</v>
      </c>
      <c r="W924">
        <v>9</v>
      </c>
      <c r="X924">
        <v>14</v>
      </c>
      <c r="Y924">
        <v>13</v>
      </c>
      <c r="Z924" t="s">
        <v>1550</v>
      </c>
      <c r="AA924" t="s">
        <v>82</v>
      </c>
      <c r="AB924" t="str" cm="1">
        <f t="array" ref="AB924">_xlfn.IFS(cleaned_data[[#This Row],[YearsAtCompany]]&lt;=5, "0-5",cleaned_data[[#This Row],[YearsAtCompany]]&lt;=10,"6-10",TRUE,"10+")</f>
        <v>10+</v>
      </c>
    </row>
    <row r="925" spans="1:28" x14ac:dyDescent="0.3">
      <c r="A925" s="2">
        <v>34</v>
      </c>
      <c r="B925" t="s">
        <v>43</v>
      </c>
      <c r="C925">
        <v>0</v>
      </c>
      <c r="D925" t="s">
        <v>44</v>
      </c>
      <c r="E925" t="s">
        <v>61</v>
      </c>
      <c r="F925">
        <v>11</v>
      </c>
      <c r="G925" t="s">
        <v>38</v>
      </c>
      <c r="H925" t="s">
        <v>995</v>
      </c>
      <c r="I925">
        <v>3</v>
      </c>
      <c r="J925" t="s">
        <v>46</v>
      </c>
      <c r="K925">
        <v>2</v>
      </c>
      <c r="L925">
        <v>2</v>
      </c>
      <c r="M925" t="s">
        <v>61</v>
      </c>
      <c r="N925">
        <v>2</v>
      </c>
      <c r="O925" t="s">
        <v>48</v>
      </c>
      <c r="P925" s="1">
        <v>4490</v>
      </c>
      <c r="Q925" t="s">
        <v>72</v>
      </c>
      <c r="R925" t="s">
        <v>43</v>
      </c>
      <c r="S925">
        <v>3</v>
      </c>
      <c r="T925">
        <v>14</v>
      </c>
      <c r="U925">
        <v>4</v>
      </c>
      <c r="V925">
        <v>10</v>
      </c>
      <c r="W925">
        <v>9</v>
      </c>
      <c r="X925">
        <v>1</v>
      </c>
      <c r="Y925">
        <v>8</v>
      </c>
      <c r="Z925" t="s">
        <v>1551</v>
      </c>
      <c r="AA925" t="s">
        <v>69</v>
      </c>
      <c r="AB925" t="str" cm="1">
        <f t="array" ref="AB925">_xlfn.IFS(cleaned_data[[#This Row],[YearsAtCompany]]&lt;=5, "0-5",cleaned_data[[#This Row],[YearsAtCompany]]&lt;=10,"6-10",TRUE,"10+")</f>
        <v>6-10</v>
      </c>
    </row>
    <row r="926" spans="1:28" x14ac:dyDescent="0.3">
      <c r="A926" s="2">
        <v>35</v>
      </c>
      <c r="B926" t="s">
        <v>43</v>
      </c>
      <c r="C926">
        <v>0</v>
      </c>
      <c r="D926" t="s">
        <v>36</v>
      </c>
      <c r="E926" t="s">
        <v>45</v>
      </c>
      <c r="F926">
        <v>6</v>
      </c>
      <c r="G926" t="s">
        <v>38</v>
      </c>
      <c r="H926" t="s">
        <v>996</v>
      </c>
      <c r="I926">
        <v>3</v>
      </c>
      <c r="J926" t="s">
        <v>46</v>
      </c>
      <c r="K926">
        <v>3</v>
      </c>
      <c r="L926">
        <v>1</v>
      </c>
      <c r="M926" t="s">
        <v>47</v>
      </c>
      <c r="N926">
        <v>3</v>
      </c>
      <c r="O926" t="s">
        <v>48</v>
      </c>
      <c r="P926" s="1">
        <v>3506</v>
      </c>
      <c r="Q926" t="s">
        <v>72</v>
      </c>
      <c r="R926" t="s">
        <v>35</v>
      </c>
      <c r="S926">
        <v>3</v>
      </c>
      <c r="T926">
        <v>4</v>
      </c>
      <c r="U926">
        <v>3</v>
      </c>
      <c r="V926">
        <v>3</v>
      </c>
      <c r="W926">
        <v>2</v>
      </c>
      <c r="X926">
        <v>2</v>
      </c>
      <c r="Y926">
        <v>2</v>
      </c>
      <c r="Z926" t="s">
        <v>1551</v>
      </c>
      <c r="AA926" t="s">
        <v>78</v>
      </c>
      <c r="AB926" t="str" cm="1">
        <f t="array" ref="AB926">_xlfn.IFS(cleaned_data[[#This Row],[YearsAtCompany]]&lt;=5, "0-5",cleaned_data[[#This Row],[YearsAtCompany]]&lt;=10,"6-10",TRUE,"10+")</f>
        <v>0-5</v>
      </c>
    </row>
    <row r="927" spans="1:28" x14ac:dyDescent="0.3">
      <c r="A927" s="2">
        <v>42</v>
      </c>
      <c r="B927" t="s">
        <v>43</v>
      </c>
      <c r="C927">
        <v>0</v>
      </c>
      <c r="D927" t="s">
        <v>36</v>
      </c>
      <c r="E927" t="s">
        <v>45</v>
      </c>
      <c r="F927">
        <v>7</v>
      </c>
      <c r="G927" t="s">
        <v>51</v>
      </c>
      <c r="H927" t="s">
        <v>997</v>
      </c>
      <c r="I927">
        <v>2</v>
      </c>
      <c r="J927" t="s">
        <v>39</v>
      </c>
      <c r="K927">
        <v>4</v>
      </c>
      <c r="L927">
        <v>2</v>
      </c>
      <c r="M927" t="s">
        <v>47</v>
      </c>
      <c r="N927">
        <v>2</v>
      </c>
      <c r="O927" t="s">
        <v>48</v>
      </c>
      <c r="P927" s="1">
        <v>2372</v>
      </c>
      <c r="Q927" t="s">
        <v>72</v>
      </c>
      <c r="R927" t="s">
        <v>35</v>
      </c>
      <c r="S927">
        <v>3</v>
      </c>
      <c r="T927">
        <v>18</v>
      </c>
      <c r="U927">
        <v>3</v>
      </c>
      <c r="V927">
        <v>1</v>
      </c>
      <c r="W927">
        <v>0</v>
      </c>
      <c r="X927">
        <v>0</v>
      </c>
      <c r="Y927">
        <v>0</v>
      </c>
      <c r="Z927" t="s">
        <v>1550</v>
      </c>
      <c r="AA927" t="s">
        <v>82</v>
      </c>
      <c r="AB927" t="str" cm="1">
        <f t="array" ref="AB927">_xlfn.IFS(cleaned_data[[#This Row],[YearsAtCompany]]&lt;=5, "0-5",cleaned_data[[#This Row],[YearsAtCompany]]&lt;=10,"6-10",TRUE,"10+")</f>
        <v>0-5</v>
      </c>
    </row>
    <row r="928" spans="1:28" x14ac:dyDescent="0.3">
      <c r="A928" s="2">
        <v>43</v>
      </c>
      <c r="B928" t="s">
        <v>43</v>
      </c>
      <c r="C928">
        <v>0</v>
      </c>
      <c r="D928" t="s">
        <v>36</v>
      </c>
      <c r="E928" t="s">
        <v>37</v>
      </c>
      <c r="F928">
        <v>4</v>
      </c>
      <c r="G928" t="s">
        <v>59</v>
      </c>
      <c r="H928" t="s">
        <v>998</v>
      </c>
      <c r="I928">
        <v>4</v>
      </c>
      <c r="J928" t="s">
        <v>39</v>
      </c>
      <c r="K928">
        <v>2</v>
      </c>
      <c r="L928">
        <v>3</v>
      </c>
      <c r="M928" t="s">
        <v>40</v>
      </c>
      <c r="N928">
        <v>4</v>
      </c>
      <c r="O928" t="s">
        <v>41</v>
      </c>
      <c r="P928" s="1">
        <v>10231</v>
      </c>
      <c r="Q928" t="s">
        <v>67</v>
      </c>
      <c r="R928" t="s">
        <v>43</v>
      </c>
      <c r="S928">
        <v>3</v>
      </c>
      <c r="T928">
        <v>23</v>
      </c>
      <c r="U928">
        <v>4</v>
      </c>
      <c r="V928">
        <v>21</v>
      </c>
      <c r="W928">
        <v>7</v>
      </c>
      <c r="X928">
        <v>15</v>
      </c>
      <c r="Y928">
        <v>17</v>
      </c>
      <c r="Z928" t="s">
        <v>1550</v>
      </c>
      <c r="AA928" t="s">
        <v>82</v>
      </c>
      <c r="AB928" t="str" cm="1">
        <f t="array" ref="AB928">_xlfn.IFS(cleaned_data[[#This Row],[YearsAtCompany]]&lt;=5, "0-5",cleaned_data[[#This Row],[YearsAtCompany]]&lt;=10,"6-10",TRUE,"10+")</f>
        <v>10+</v>
      </c>
    </row>
    <row r="929" spans="1:28" x14ac:dyDescent="0.3">
      <c r="A929" s="2">
        <v>36</v>
      </c>
      <c r="B929" t="s">
        <v>43</v>
      </c>
      <c r="C929">
        <v>0</v>
      </c>
      <c r="D929" t="s">
        <v>36</v>
      </c>
      <c r="E929" t="s">
        <v>45</v>
      </c>
      <c r="F929">
        <v>2</v>
      </c>
      <c r="G929" t="s">
        <v>38</v>
      </c>
      <c r="H929" t="s">
        <v>999</v>
      </c>
      <c r="I929">
        <v>3</v>
      </c>
      <c r="J929" t="s">
        <v>39</v>
      </c>
      <c r="K929">
        <v>3</v>
      </c>
      <c r="L929">
        <v>2</v>
      </c>
      <c r="M929" t="s">
        <v>53</v>
      </c>
      <c r="N929">
        <v>2</v>
      </c>
      <c r="O929" t="s">
        <v>41</v>
      </c>
      <c r="P929" s="1">
        <v>5410</v>
      </c>
      <c r="Q929" t="s">
        <v>67</v>
      </c>
      <c r="R929" t="s">
        <v>35</v>
      </c>
      <c r="S929">
        <v>3</v>
      </c>
      <c r="T929">
        <v>18</v>
      </c>
      <c r="U929">
        <v>3</v>
      </c>
      <c r="V929">
        <v>16</v>
      </c>
      <c r="W929">
        <v>14</v>
      </c>
      <c r="X929">
        <v>5</v>
      </c>
      <c r="Y929">
        <v>12</v>
      </c>
      <c r="Z929" t="s">
        <v>1550</v>
      </c>
      <c r="AA929" t="s">
        <v>82</v>
      </c>
      <c r="AB929" t="str" cm="1">
        <f t="array" ref="AB929">_xlfn.IFS(cleaned_data[[#This Row],[YearsAtCompany]]&lt;=5, "0-5",cleaned_data[[#This Row],[YearsAtCompany]]&lt;=10,"6-10",TRUE,"10+")</f>
        <v>10+</v>
      </c>
    </row>
    <row r="930" spans="1:28" x14ac:dyDescent="0.3">
      <c r="A930" s="2">
        <v>44</v>
      </c>
      <c r="B930" t="s">
        <v>35</v>
      </c>
      <c r="C930">
        <v>1</v>
      </c>
      <c r="D930" t="s">
        <v>36</v>
      </c>
      <c r="E930" t="s">
        <v>45</v>
      </c>
      <c r="F930">
        <v>15</v>
      </c>
      <c r="G930" t="s">
        <v>51</v>
      </c>
      <c r="H930" t="s">
        <v>1000</v>
      </c>
      <c r="I930">
        <v>1</v>
      </c>
      <c r="J930" t="s">
        <v>39</v>
      </c>
      <c r="K930">
        <v>3</v>
      </c>
      <c r="L930">
        <v>3</v>
      </c>
      <c r="M930" t="s">
        <v>54</v>
      </c>
      <c r="N930">
        <v>4</v>
      </c>
      <c r="O930" t="s">
        <v>48</v>
      </c>
      <c r="P930" s="1">
        <v>7978</v>
      </c>
      <c r="Q930" t="s">
        <v>67</v>
      </c>
      <c r="R930" t="s">
        <v>43</v>
      </c>
      <c r="S930">
        <v>3</v>
      </c>
      <c r="T930">
        <v>10</v>
      </c>
      <c r="U930">
        <v>3</v>
      </c>
      <c r="V930">
        <v>10</v>
      </c>
      <c r="W930">
        <v>7</v>
      </c>
      <c r="X930">
        <v>0</v>
      </c>
      <c r="Y930">
        <v>5</v>
      </c>
      <c r="Z930" t="s">
        <v>1550</v>
      </c>
      <c r="AA930" t="s">
        <v>69</v>
      </c>
      <c r="AB930" t="str" cm="1">
        <f t="array" ref="AB930">_xlfn.IFS(cleaned_data[[#This Row],[YearsAtCompany]]&lt;=5, "0-5",cleaned_data[[#This Row],[YearsAtCompany]]&lt;=10,"6-10",TRUE,"10+")</f>
        <v>6-10</v>
      </c>
    </row>
    <row r="931" spans="1:28" x14ac:dyDescent="0.3">
      <c r="A931" s="2">
        <v>28</v>
      </c>
      <c r="B931" t="s">
        <v>43</v>
      </c>
      <c r="C931">
        <v>0</v>
      </c>
      <c r="D931" t="s">
        <v>44</v>
      </c>
      <c r="E931" t="s">
        <v>45</v>
      </c>
      <c r="F931">
        <v>2</v>
      </c>
      <c r="G931" t="s">
        <v>38</v>
      </c>
      <c r="H931" t="s">
        <v>1001</v>
      </c>
      <c r="I931">
        <v>4</v>
      </c>
      <c r="J931" t="s">
        <v>46</v>
      </c>
      <c r="K931">
        <v>2</v>
      </c>
      <c r="L931">
        <v>1</v>
      </c>
      <c r="M931" t="s">
        <v>50</v>
      </c>
      <c r="N931">
        <v>4</v>
      </c>
      <c r="O931" t="s">
        <v>48</v>
      </c>
      <c r="P931" s="1">
        <v>3867</v>
      </c>
      <c r="Q931" t="s">
        <v>72</v>
      </c>
      <c r="R931" t="s">
        <v>35</v>
      </c>
      <c r="S931">
        <v>3</v>
      </c>
      <c r="T931">
        <v>2</v>
      </c>
      <c r="U931">
        <v>3</v>
      </c>
      <c r="V931">
        <v>2</v>
      </c>
      <c r="W931">
        <v>2</v>
      </c>
      <c r="X931">
        <v>2</v>
      </c>
      <c r="Y931">
        <v>2</v>
      </c>
      <c r="Z931" t="s">
        <v>1551</v>
      </c>
      <c r="AA931" t="s">
        <v>78</v>
      </c>
      <c r="AB931" t="str" cm="1">
        <f t="array" ref="AB931">_xlfn.IFS(cleaned_data[[#This Row],[YearsAtCompany]]&lt;=5, "0-5",cleaned_data[[#This Row],[YearsAtCompany]]&lt;=10,"6-10",TRUE,"10+")</f>
        <v>0-5</v>
      </c>
    </row>
    <row r="932" spans="1:28" x14ac:dyDescent="0.3">
      <c r="A932" s="2">
        <v>51</v>
      </c>
      <c r="B932" t="s">
        <v>43</v>
      </c>
      <c r="C932">
        <v>0</v>
      </c>
      <c r="D932" t="s">
        <v>44</v>
      </c>
      <c r="E932" t="s">
        <v>45</v>
      </c>
      <c r="F932">
        <v>6</v>
      </c>
      <c r="G932" t="s">
        <v>51</v>
      </c>
      <c r="H932" t="s">
        <v>1002</v>
      </c>
      <c r="I932">
        <v>2</v>
      </c>
      <c r="J932" t="s">
        <v>39</v>
      </c>
      <c r="K932">
        <v>2</v>
      </c>
      <c r="L932">
        <v>1</v>
      </c>
      <c r="M932" t="s">
        <v>50</v>
      </c>
      <c r="N932">
        <v>3</v>
      </c>
      <c r="O932" t="s">
        <v>41</v>
      </c>
      <c r="P932" s="1">
        <v>2838</v>
      </c>
      <c r="Q932" t="s">
        <v>72</v>
      </c>
      <c r="R932" t="s">
        <v>43</v>
      </c>
      <c r="S932">
        <v>3</v>
      </c>
      <c r="T932">
        <v>8</v>
      </c>
      <c r="U932">
        <v>2</v>
      </c>
      <c r="V932">
        <v>7</v>
      </c>
      <c r="W932">
        <v>0</v>
      </c>
      <c r="X932">
        <v>7</v>
      </c>
      <c r="Y932">
        <v>7</v>
      </c>
      <c r="Z932" t="s">
        <v>106</v>
      </c>
      <c r="AA932" t="s">
        <v>69</v>
      </c>
      <c r="AB932" t="str" cm="1">
        <f t="array" ref="AB932">_xlfn.IFS(cleaned_data[[#This Row],[YearsAtCompany]]&lt;=5, "0-5",cleaned_data[[#This Row],[YearsAtCompany]]&lt;=10,"6-10",TRUE,"10+")</f>
        <v>6-10</v>
      </c>
    </row>
    <row r="933" spans="1:28" x14ac:dyDescent="0.3">
      <c r="A933" s="2">
        <v>30</v>
      </c>
      <c r="B933" t="s">
        <v>43</v>
      </c>
      <c r="C933">
        <v>0</v>
      </c>
      <c r="D933" t="s">
        <v>55</v>
      </c>
      <c r="E933" t="s">
        <v>45</v>
      </c>
      <c r="F933">
        <v>9</v>
      </c>
      <c r="G933" t="s">
        <v>51</v>
      </c>
      <c r="H933" t="s">
        <v>1003</v>
      </c>
      <c r="I933">
        <v>3</v>
      </c>
      <c r="J933" t="s">
        <v>39</v>
      </c>
      <c r="K933">
        <v>3</v>
      </c>
      <c r="L933">
        <v>2</v>
      </c>
      <c r="M933" t="s">
        <v>53</v>
      </c>
      <c r="N933">
        <v>3</v>
      </c>
      <c r="O933" t="s">
        <v>41</v>
      </c>
      <c r="P933" s="1">
        <v>4695</v>
      </c>
      <c r="Q933" t="s">
        <v>72</v>
      </c>
      <c r="R933" t="s">
        <v>35</v>
      </c>
      <c r="S933">
        <v>3</v>
      </c>
      <c r="T933">
        <v>10</v>
      </c>
      <c r="U933">
        <v>3</v>
      </c>
      <c r="V933">
        <v>8</v>
      </c>
      <c r="W933">
        <v>4</v>
      </c>
      <c r="X933">
        <v>1</v>
      </c>
      <c r="Y933">
        <v>7</v>
      </c>
      <c r="Z933" t="s">
        <v>1551</v>
      </c>
      <c r="AA933" t="s">
        <v>69</v>
      </c>
      <c r="AB933" t="str" cm="1">
        <f t="array" ref="AB933">_xlfn.IFS(cleaned_data[[#This Row],[YearsAtCompany]]&lt;=5, "0-5",cleaned_data[[#This Row],[YearsAtCompany]]&lt;=10,"6-10",TRUE,"10+")</f>
        <v>6-10</v>
      </c>
    </row>
    <row r="934" spans="1:28" x14ac:dyDescent="0.3">
      <c r="A934" s="2">
        <v>29</v>
      </c>
      <c r="B934" t="s">
        <v>35</v>
      </c>
      <c r="C934">
        <v>1</v>
      </c>
      <c r="D934" t="s">
        <v>36</v>
      </c>
      <c r="E934" t="s">
        <v>45</v>
      </c>
      <c r="F934">
        <v>7</v>
      </c>
      <c r="G934" t="s">
        <v>60</v>
      </c>
      <c r="H934" t="s">
        <v>1004</v>
      </c>
      <c r="I934">
        <v>2</v>
      </c>
      <c r="J934" t="s">
        <v>39</v>
      </c>
      <c r="K934">
        <v>3</v>
      </c>
      <c r="L934">
        <v>1</v>
      </c>
      <c r="M934" t="s">
        <v>50</v>
      </c>
      <c r="N934">
        <v>3</v>
      </c>
      <c r="O934" t="s">
        <v>52</v>
      </c>
      <c r="P934" s="1">
        <v>3339</v>
      </c>
      <c r="Q934" t="s">
        <v>72</v>
      </c>
      <c r="R934" t="s">
        <v>35</v>
      </c>
      <c r="S934">
        <v>3</v>
      </c>
      <c r="T934">
        <v>10</v>
      </c>
      <c r="U934">
        <v>3</v>
      </c>
      <c r="V934">
        <v>7</v>
      </c>
      <c r="W934">
        <v>7</v>
      </c>
      <c r="X934">
        <v>7</v>
      </c>
      <c r="Y934">
        <v>7</v>
      </c>
      <c r="Z934" t="s">
        <v>1551</v>
      </c>
      <c r="AA934" t="s">
        <v>69</v>
      </c>
      <c r="AB934" t="str" cm="1">
        <f t="array" ref="AB934">_xlfn.IFS(cleaned_data[[#This Row],[YearsAtCompany]]&lt;=5, "0-5",cleaned_data[[#This Row],[YearsAtCompany]]&lt;=10,"6-10",TRUE,"10+")</f>
        <v>6-10</v>
      </c>
    </row>
    <row r="935" spans="1:28" x14ac:dyDescent="0.3">
      <c r="A935" s="2">
        <v>28</v>
      </c>
      <c r="B935" t="s">
        <v>43</v>
      </c>
      <c r="C935">
        <v>0</v>
      </c>
      <c r="D935" t="s">
        <v>36</v>
      </c>
      <c r="E935" t="s">
        <v>45</v>
      </c>
      <c r="F935">
        <v>1</v>
      </c>
      <c r="G935" t="s">
        <v>60</v>
      </c>
      <c r="H935" t="s">
        <v>1005</v>
      </c>
      <c r="I935">
        <v>4</v>
      </c>
      <c r="J935" t="s">
        <v>46</v>
      </c>
      <c r="K935">
        <v>3</v>
      </c>
      <c r="L935">
        <v>1</v>
      </c>
      <c r="M935" t="s">
        <v>47</v>
      </c>
      <c r="N935">
        <v>1</v>
      </c>
      <c r="O935" t="s">
        <v>41</v>
      </c>
      <c r="P935" s="6">
        <v>2080</v>
      </c>
      <c r="Q935" t="s">
        <v>72</v>
      </c>
      <c r="R935" t="s">
        <v>43</v>
      </c>
      <c r="S935">
        <v>3</v>
      </c>
      <c r="T935">
        <v>5</v>
      </c>
      <c r="U935">
        <v>2</v>
      </c>
      <c r="V935">
        <v>3</v>
      </c>
      <c r="W935">
        <v>2</v>
      </c>
      <c r="X935">
        <v>1</v>
      </c>
      <c r="Y935">
        <v>2</v>
      </c>
      <c r="Z935" t="s">
        <v>1551</v>
      </c>
      <c r="AA935" t="s">
        <v>78</v>
      </c>
      <c r="AB935" t="str" cm="1">
        <f t="array" ref="AB935">_xlfn.IFS(cleaned_data[[#This Row],[YearsAtCompany]]&lt;=5, "0-5",cleaned_data[[#This Row],[YearsAtCompany]]&lt;=10,"6-10",TRUE,"10+")</f>
        <v>0-5</v>
      </c>
    </row>
    <row r="936" spans="1:28" x14ac:dyDescent="0.3">
      <c r="A936" s="2">
        <v>25</v>
      </c>
      <c r="B936" t="s">
        <v>43</v>
      </c>
      <c r="C936">
        <v>0</v>
      </c>
      <c r="D936" t="s">
        <v>36</v>
      </c>
      <c r="E936" t="s">
        <v>45</v>
      </c>
      <c r="F936">
        <v>1</v>
      </c>
      <c r="G936" t="s">
        <v>51</v>
      </c>
      <c r="H936" t="s">
        <v>1006</v>
      </c>
      <c r="I936">
        <v>4</v>
      </c>
      <c r="J936" t="s">
        <v>39</v>
      </c>
      <c r="K936">
        <v>3</v>
      </c>
      <c r="L936">
        <v>1</v>
      </c>
      <c r="M936" t="s">
        <v>47</v>
      </c>
      <c r="N936">
        <v>2</v>
      </c>
      <c r="O936" t="s">
        <v>41</v>
      </c>
      <c r="P936" s="1">
        <v>2096</v>
      </c>
      <c r="Q936" t="s">
        <v>72</v>
      </c>
      <c r="R936" t="s">
        <v>43</v>
      </c>
      <c r="S936">
        <v>3</v>
      </c>
      <c r="T936">
        <v>2</v>
      </c>
      <c r="U936">
        <v>2</v>
      </c>
      <c r="V936">
        <v>2</v>
      </c>
      <c r="W936">
        <v>2</v>
      </c>
      <c r="X936">
        <v>2</v>
      </c>
      <c r="Y936">
        <v>1</v>
      </c>
      <c r="Z936" t="s">
        <v>68</v>
      </c>
      <c r="AA936" t="s">
        <v>78</v>
      </c>
      <c r="AB936" t="str" cm="1">
        <f t="array" ref="AB936">_xlfn.IFS(cleaned_data[[#This Row],[YearsAtCompany]]&lt;=5, "0-5",cleaned_data[[#This Row],[YearsAtCompany]]&lt;=10,"6-10",TRUE,"10+")</f>
        <v>0-5</v>
      </c>
    </row>
    <row r="937" spans="1:28" x14ac:dyDescent="0.3">
      <c r="A937" s="2">
        <v>32</v>
      </c>
      <c r="B937" t="s">
        <v>43</v>
      </c>
      <c r="C937">
        <v>0</v>
      </c>
      <c r="D937" t="s">
        <v>36</v>
      </c>
      <c r="E937" t="s">
        <v>37</v>
      </c>
      <c r="F937">
        <v>8</v>
      </c>
      <c r="G937" t="s">
        <v>51</v>
      </c>
      <c r="H937" t="s">
        <v>1007</v>
      </c>
      <c r="I937">
        <v>3</v>
      </c>
      <c r="J937" t="s">
        <v>46</v>
      </c>
      <c r="K937">
        <v>4</v>
      </c>
      <c r="L937">
        <v>2</v>
      </c>
      <c r="M937" t="s">
        <v>40</v>
      </c>
      <c r="N937">
        <v>4</v>
      </c>
      <c r="O937" t="s">
        <v>48</v>
      </c>
      <c r="P937" s="1">
        <v>6209</v>
      </c>
      <c r="Q937" t="s">
        <v>67</v>
      </c>
      <c r="R937" t="s">
        <v>43</v>
      </c>
      <c r="S937">
        <v>3</v>
      </c>
      <c r="T937">
        <v>10</v>
      </c>
      <c r="U937">
        <v>4</v>
      </c>
      <c r="V937">
        <v>10</v>
      </c>
      <c r="W937">
        <v>7</v>
      </c>
      <c r="X937">
        <v>0</v>
      </c>
      <c r="Y937">
        <v>8</v>
      </c>
      <c r="Z937" t="s">
        <v>1551</v>
      </c>
      <c r="AA937" t="s">
        <v>69</v>
      </c>
      <c r="AB937" t="str" cm="1">
        <f t="array" ref="AB937">_xlfn.IFS(cleaned_data[[#This Row],[YearsAtCompany]]&lt;=5, "0-5",cleaned_data[[#This Row],[YearsAtCompany]]&lt;=10,"6-10",TRUE,"10+")</f>
        <v>6-10</v>
      </c>
    </row>
    <row r="938" spans="1:28" x14ac:dyDescent="0.3">
      <c r="A938" s="2">
        <v>45</v>
      </c>
      <c r="B938" t="s">
        <v>43</v>
      </c>
      <c r="C938">
        <v>0</v>
      </c>
      <c r="D938" t="s">
        <v>44</v>
      </c>
      <c r="E938" t="s">
        <v>45</v>
      </c>
      <c r="F938">
        <v>25</v>
      </c>
      <c r="G938" t="s">
        <v>51</v>
      </c>
      <c r="H938" t="s">
        <v>1008</v>
      </c>
      <c r="I938">
        <v>2</v>
      </c>
      <c r="J938" t="s">
        <v>39</v>
      </c>
      <c r="K938">
        <v>3</v>
      </c>
      <c r="L938">
        <v>5</v>
      </c>
      <c r="M938" t="s">
        <v>56</v>
      </c>
      <c r="N938">
        <v>2</v>
      </c>
      <c r="O938" t="s">
        <v>41</v>
      </c>
      <c r="P938" s="1">
        <v>18061</v>
      </c>
      <c r="Q938" t="s">
        <v>90</v>
      </c>
      <c r="R938" t="s">
        <v>43</v>
      </c>
      <c r="S938">
        <v>4</v>
      </c>
      <c r="T938">
        <v>22</v>
      </c>
      <c r="U938">
        <v>3</v>
      </c>
      <c r="V938">
        <v>0</v>
      </c>
      <c r="W938">
        <v>0</v>
      </c>
      <c r="X938">
        <v>0</v>
      </c>
      <c r="Y938">
        <v>0</v>
      </c>
      <c r="Z938" t="s">
        <v>1550</v>
      </c>
      <c r="AA938" t="s">
        <v>82</v>
      </c>
      <c r="AB938" t="str" cm="1">
        <f t="array" ref="AB938">_xlfn.IFS(cleaned_data[[#This Row],[YearsAtCompany]]&lt;=5, "0-5",cleaned_data[[#This Row],[YearsAtCompany]]&lt;=10,"6-10",TRUE,"10+")</f>
        <v>0-5</v>
      </c>
    </row>
    <row r="939" spans="1:28" x14ac:dyDescent="0.3">
      <c r="A939" s="2">
        <v>39</v>
      </c>
      <c r="B939" t="s">
        <v>43</v>
      </c>
      <c r="C939">
        <v>0</v>
      </c>
      <c r="D939" t="s">
        <v>36</v>
      </c>
      <c r="E939" t="s">
        <v>45</v>
      </c>
      <c r="F939">
        <v>13</v>
      </c>
      <c r="G939" t="s">
        <v>51</v>
      </c>
      <c r="H939" t="s">
        <v>1009</v>
      </c>
      <c r="I939">
        <v>3</v>
      </c>
      <c r="J939" t="s">
        <v>39</v>
      </c>
      <c r="K939">
        <v>2</v>
      </c>
      <c r="L939">
        <v>4</v>
      </c>
      <c r="M939" t="s">
        <v>56</v>
      </c>
      <c r="N939">
        <v>2</v>
      </c>
      <c r="O939" t="s">
        <v>52</v>
      </c>
      <c r="P939" s="1">
        <v>17123</v>
      </c>
      <c r="Q939" t="s">
        <v>90</v>
      </c>
      <c r="R939" t="s">
        <v>35</v>
      </c>
      <c r="S939">
        <v>3</v>
      </c>
      <c r="T939">
        <v>21</v>
      </c>
      <c r="U939">
        <v>3</v>
      </c>
      <c r="V939">
        <v>19</v>
      </c>
      <c r="W939">
        <v>9</v>
      </c>
      <c r="X939">
        <v>15</v>
      </c>
      <c r="Y939">
        <v>2</v>
      </c>
      <c r="Z939" t="s">
        <v>1550</v>
      </c>
      <c r="AA939" t="s">
        <v>82</v>
      </c>
      <c r="AB939" t="str" cm="1">
        <f t="array" ref="AB939">_xlfn.IFS(cleaned_data[[#This Row],[YearsAtCompany]]&lt;=5, "0-5",cleaned_data[[#This Row],[YearsAtCompany]]&lt;=10,"6-10",TRUE,"10+")</f>
        <v>10+</v>
      </c>
    </row>
    <row r="940" spans="1:28" x14ac:dyDescent="0.3">
      <c r="A940" s="2">
        <v>58</v>
      </c>
      <c r="B940" t="s">
        <v>43</v>
      </c>
      <c r="C940">
        <v>0</v>
      </c>
      <c r="D940" t="s">
        <v>36</v>
      </c>
      <c r="E940" t="s">
        <v>45</v>
      </c>
      <c r="F940">
        <v>23</v>
      </c>
      <c r="G940" t="s">
        <v>38</v>
      </c>
      <c r="H940" t="s">
        <v>1010</v>
      </c>
      <c r="I940">
        <v>1</v>
      </c>
      <c r="J940" t="s">
        <v>46</v>
      </c>
      <c r="K940">
        <v>3</v>
      </c>
      <c r="L940">
        <v>1</v>
      </c>
      <c r="M940" t="s">
        <v>47</v>
      </c>
      <c r="N940">
        <v>3</v>
      </c>
      <c r="O940" t="s">
        <v>52</v>
      </c>
      <c r="P940" s="1">
        <v>2372</v>
      </c>
      <c r="Q940" t="s">
        <v>72</v>
      </c>
      <c r="R940" t="s">
        <v>43</v>
      </c>
      <c r="S940">
        <v>3</v>
      </c>
      <c r="T940">
        <v>2</v>
      </c>
      <c r="U940">
        <v>3</v>
      </c>
      <c r="V940">
        <v>2</v>
      </c>
      <c r="W940">
        <v>2</v>
      </c>
      <c r="X940">
        <v>2</v>
      </c>
      <c r="Y940">
        <v>2</v>
      </c>
      <c r="Z940" t="s">
        <v>106</v>
      </c>
      <c r="AA940" t="s">
        <v>78</v>
      </c>
      <c r="AB940" t="str" cm="1">
        <f t="array" ref="AB940">_xlfn.IFS(cleaned_data[[#This Row],[YearsAtCompany]]&lt;=5, "0-5",cleaned_data[[#This Row],[YearsAtCompany]]&lt;=10,"6-10",TRUE,"10+")</f>
        <v>0-5</v>
      </c>
    </row>
    <row r="941" spans="1:28" x14ac:dyDescent="0.3">
      <c r="A941" s="2">
        <v>32</v>
      </c>
      <c r="B941" t="s">
        <v>35</v>
      </c>
      <c r="C941">
        <v>1</v>
      </c>
      <c r="D941" t="s">
        <v>36</v>
      </c>
      <c r="E941" t="s">
        <v>45</v>
      </c>
      <c r="F941">
        <v>7</v>
      </c>
      <c r="G941" t="s">
        <v>38</v>
      </c>
      <c r="H941" t="s">
        <v>1011</v>
      </c>
      <c r="I941">
        <v>4</v>
      </c>
      <c r="J941" t="s">
        <v>46</v>
      </c>
      <c r="K941">
        <v>3</v>
      </c>
      <c r="L941">
        <v>2</v>
      </c>
      <c r="M941" t="s">
        <v>50</v>
      </c>
      <c r="N941">
        <v>3</v>
      </c>
      <c r="O941" t="s">
        <v>48</v>
      </c>
      <c r="P941" s="1">
        <v>4883</v>
      </c>
      <c r="Q941" t="s">
        <v>72</v>
      </c>
      <c r="R941" t="s">
        <v>43</v>
      </c>
      <c r="S941">
        <v>3</v>
      </c>
      <c r="T941">
        <v>10</v>
      </c>
      <c r="U941">
        <v>3</v>
      </c>
      <c r="V941">
        <v>10</v>
      </c>
      <c r="W941">
        <v>4</v>
      </c>
      <c r="X941">
        <v>1</v>
      </c>
      <c r="Y941">
        <v>1</v>
      </c>
      <c r="Z941" t="s">
        <v>1551</v>
      </c>
      <c r="AA941" t="s">
        <v>69</v>
      </c>
      <c r="AB941" t="str" cm="1">
        <f t="array" ref="AB941">_xlfn.IFS(cleaned_data[[#This Row],[YearsAtCompany]]&lt;=5, "0-5",cleaned_data[[#This Row],[YearsAtCompany]]&lt;=10,"6-10",TRUE,"10+")</f>
        <v>6-10</v>
      </c>
    </row>
    <row r="942" spans="1:28" x14ac:dyDescent="0.3">
      <c r="A942" s="2">
        <v>39</v>
      </c>
      <c r="B942" t="s">
        <v>35</v>
      </c>
      <c r="C942">
        <v>1</v>
      </c>
      <c r="D942" t="s">
        <v>36</v>
      </c>
      <c r="E942" t="s">
        <v>45</v>
      </c>
      <c r="F942">
        <v>23</v>
      </c>
      <c r="G942" t="s">
        <v>51</v>
      </c>
      <c r="H942" t="s">
        <v>1012</v>
      </c>
      <c r="I942">
        <v>3</v>
      </c>
      <c r="J942" t="s">
        <v>46</v>
      </c>
      <c r="K942">
        <v>3</v>
      </c>
      <c r="L942">
        <v>1</v>
      </c>
      <c r="M942" t="s">
        <v>47</v>
      </c>
      <c r="N942">
        <v>1</v>
      </c>
      <c r="O942" t="s">
        <v>41</v>
      </c>
      <c r="P942" s="6">
        <v>3904</v>
      </c>
      <c r="Q942" t="s">
        <v>72</v>
      </c>
      <c r="R942" t="s">
        <v>43</v>
      </c>
      <c r="S942">
        <v>3</v>
      </c>
      <c r="T942">
        <v>6</v>
      </c>
      <c r="U942">
        <v>3</v>
      </c>
      <c r="V942">
        <v>5</v>
      </c>
      <c r="W942">
        <v>2</v>
      </c>
      <c r="X942">
        <v>0</v>
      </c>
      <c r="Y942">
        <v>3</v>
      </c>
      <c r="Z942" t="s">
        <v>1550</v>
      </c>
      <c r="AA942" t="s">
        <v>69</v>
      </c>
      <c r="AB942" t="str" cm="1">
        <f t="array" ref="AB942">_xlfn.IFS(cleaned_data[[#This Row],[YearsAtCompany]]&lt;=5, "0-5",cleaned_data[[#This Row],[YearsAtCompany]]&lt;=10,"6-10",TRUE,"10+")</f>
        <v>0-5</v>
      </c>
    </row>
    <row r="943" spans="1:28" x14ac:dyDescent="0.3">
      <c r="A943" s="2">
        <v>30</v>
      </c>
      <c r="B943" t="s">
        <v>43</v>
      </c>
      <c r="C943">
        <v>0</v>
      </c>
      <c r="D943" t="s">
        <v>36</v>
      </c>
      <c r="E943" t="s">
        <v>45</v>
      </c>
      <c r="F943">
        <v>6</v>
      </c>
      <c r="G943" t="s">
        <v>60</v>
      </c>
      <c r="H943" t="s">
        <v>1013</v>
      </c>
      <c r="I943">
        <v>1</v>
      </c>
      <c r="J943" t="s">
        <v>39</v>
      </c>
      <c r="K943">
        <v>2</v>
      </c>
      <c r="L943">
        <v>2</v>
      </c>
      <c r="M943" t="s">
        <v>50</v>
      </c>
      <c r="N943">
        <v>4</v>
      </c>
      <c r="O943" t="s">
        <v>48</v>
      </c>
      <c r="P943" s="1">
        <v>4627</v>
      </c>
      <c r="Q943" t="s">
        <v>72</v>
      </c>
      <c r="R943" t="s">
        <v>43</v>
      </c>
      <c r="S943">
        <v>3</v>
      </c>
      <c r="T943">
        <v>10</v>
      </c>
      <c r="U943">
        <v>3</v>
      </c>
      <c r="V943">
        <v>9</v>
      </c>
      <c r="W943">
        <v>2</v>
      </c>
      <c r="X943">
        <v>6</v>
      </c>
      <c r="Y943">
        <v>7</v>
      </c>
      <c r="Z943" t="s">
        <v>1551</v>
      </c>
      <c r="AA943" t="s">
        <v>69</v>
      </c>
      <c r="AB943" t="str" cm="1">
        <f t="array" ref="AB943">_xlfn.IFS(cleaned_data[[#This Row],[YearsAtCompany]]&lt;=5, "0-5",cleaned_data[[#This Row],[YearsAtCompany]]&lt;=10,"6-10",TRUE,"10+")</f>
        <v>6-10</v>
      </c>
    </row>
    <row r="944" spans="1:28" x14ac:dyDescent="0.3">
      <c r="A944" s="2">
        <v>36</v>
      </c>
      <c r="B944" t="s">
        <v>43</v>
      </c>
      <c r="C944">
        <v>0</v>
      </c>
      <c r="D944" t="s">
        <v>36</v>
      </c>
      <c r="E944" t="s">
        <v>45</v>
      </c>
      <c r="F944">
        <v>10</v>
      </c>
      <c r="G944" t="s">
        <v>60</v>
      </c>
      <c r="H944" t="s">
        <v>1014</v>
      </c>
      <c r="I944">
        <v>4</v>
      </c>
      <c r="J944" t="s">
        <v>39</v>
      </c>
      <c r="K944">
        <v>3</v>
      </c>
      <c r="L944">
        <v>3</v>
      </c>
      <c r="M944" t="s">
        <v>54</v>
      </c>
      <c r="N944">
        <v>3</v>
      </c>
      <c r="O944" t="s">
        <v>48</v>
      </c>
      <c r="P944" s="1">
        <v>7094</v>
      </c>
      <c r="Q944" t="s">
        <v>67</v>
      </c>
      <c r="R944" t="s">
        <v>43</v>
      </c>
      <c r="S944">
        <v>3</v>
      </c>
      <c r="T944">
        <v>10</v>
      </c>
      <c r="U944">
        <v>3</v>
      </c>
      <c r="V944">
        <v>7</v>
      </c>
      <c r="W944">
        <v>7</v>
      </c>
      <c r="X944">
        <v>1</v>
      </c>
      <c r="Y944">
        <v>7</v>
      </c>
      <c r="Z944" t="s">
        <v>1550</v>
      </c>
      <c r="AA944" t="s">
        <v>69</v>
      </c>
      <c r="AB944" t="str" cm="1">
        <f t="array" ref="AB944">_xlfn.IFS(cleaned_data[[#This Row],[YearsAtCompany]]&lt;=5, "0-5",cleaned_data[[#This Row],[YearsAtCompany]]&lt;=10,"6-10",TRUE,"10+")</f>
        <v>6-10</v>
      </c>
    </row>
    <row r="945" spans="1:28" x14ac:dyDescent="0.3">
      <c r="A945" s="2">
        <v>46</v>
      </c>
      <c r="B945" t="s">
        <v>43</v>
      </c>
      <c r="C945">
        <v>0</v>
      </c>
      <c r="D945" t="s">
        <v>36</v>
      </c>
      <c r="E945" t="s">
        <v>61</v>
      </c>
      <c r="F945">
        <v>1</v>
      </c>
      <c r="G945" t="s">
        <v>38</v>
      </c>
      <c r="H945" t="s">
        <v>1015</v>
      </c>
      <c r="I945">
        <v>4</v>
      </c>
      <c r="J945" t="s">
        <v>39</v>
      </c>
      <c r="K945">
        <v>3</v>
      </c>
      <c r="L945">
        <v>1</v>
      </c>
      <c r="M945" t="s">
        <v>61</v>
      </c>
      <c r="N945">
        <v>1</v>
      </c>
      <c r="O945" t="s">
        <v>41</v>
      </c>
      <c r="P945" s="6">
        <v>3423</v>
      </c>
      <c r="Q945" t="s">
        <v>72</v>
      </c>
      <c r="R945" t="s">
        <v>43</v>
      </c>
      <c r="S945">
        <v>3</v>
      </c>
      <c r="T945">
        <v>10</v>
      </c>
      <c r="U945">
        <v>4</v>
      </c>
      <c r="V945">
        <v>7</v>
      </c>
      <c r="W945">
        <v>6</v>
      </c>
      <c r="X945">
        <v>5</v>
      </c>
      <c r="Y945">
        <v>7</v>
      </c>
      <c r="Z945" t="s">
        <v>106</v>
      </c>
      <c r="AA945" t="s">
        <v>69</v>
      </c>
      <c r="AB945" t="str" cm="1">
        <f t="array" ref="AB945">_xlfn.IFS(cleaned_data[[#This Row],[YearsAtCompany]]&lt;=5, "0-5",cleaned_data[[#This Row],[YearsAtCompany]]&lt;=10,"6-10",TRUE,"10+")</f>
        <v>6-10</v>
      </c>
    </row>
    <row r="946" spans="1:28" x14ac:dyDescent="0.3">
      <c r="A946" s="2">
        <v>28</v>
      </c>
      <c r="B946" t="s">
        <v>43</v>
      </c>
      <c r="C946">
        <v>0</v>
      </c>
      <c r="D946" t="s">
        <v>55</v>
      </c>
      <c r="E946" t="s">
        <v>45</v>
      </c>
      <c r="F946">
        <v>1</v>
      </c>
      <c r="G946" t="s">
        <v>38</v>
      </c>
      <c r="H946" t="s">
        <v>1016</v>
      </c>
      <c r="I946">
        <v>3</v>
      </c>
      <c r="J946" t="s">
        <v>39</v>
      </c>
      <c r="K946">
        <v>1</v>
      </c>
      <c r="L946">
        <v>2</v>
      </c>
      <c r="M946" t="s">
        <v>50</v>
      </c>
      <c r="N946">
        <v>4</v>
      </c>
      <c r="O946" t="s">
        <v>48</v>
      </c>
      <c r="P946" s="1">
        <v>6674</v>
      </c>
      <c r="Q946" t="s">
        <v>67</v>
      </c>
      <c r="R946" t="s">
        <v>43</v>
      </c>
      <c r="S946">
        <v>3</v>
      </c>
      <c r="T946">
        <v>10</v>
      </c>
      <c r="U946">
        <v>3</v>
      </c>
      <c r="V946">
        <v>9</v>
      </c>
      <c r="W946">
        <v>8</v>
      </c>
      <c r="X946">
        <v>7</v>
      </c>
      <c r="Y946">
        <v>5</v>
      </c>
      <c r="Z946" t="s">
        <v>1551</v>
      </c>
      <c r="AA946" t="s">
        <v>69</v>
      </c>
      <c r="AB946" t="str" cm="1">
        <f t="array" ref="AB946">_xlfn.IFS(cleaned_data[[#This Row],[YearsAtCompany]]&lt;=5, "0-5",cleaned_data[[#This Row],[YearsAtCompany]]&lt;=10,"6-10",TRUE,"10+")</f>
        <v>6-10</v>
      </c>
    </row>
    <row r="947" spans="1:28" x14ac:dyDescent="0.3">
      <c r="A947" s="2">
        <v>50</v>
      </c>
      <c r="B947" t="s">
        <v>43</v>
      </c>
      <c r="C947">
        <v>0</v>
      </c>
      <c r="D947" t="s">
        <v>36</v>
      </c>
      <c r="E947" t="s">
        <v>45</v>
      </c>
      <c r="F947">
        <v>28</v>
      </c>
      <c r="G947" t="s">
        <v>38</v>
      </c>
      <c r="H947" t="s">
        <v>1017</v>
      </c>
      <c r="I947">
        <v>4</v>
      </c>
      <c r="J947" t="s">
        <v>39</v>
      </c>
      <c r="K947">
        <v>3</v>
      </c>
      <c r="L947">
        <v>4</v>
      </c>
      <c r="M947" t="s">
        <v>58</v>
      </c>
      <c r="N947">
        <v>1</v>
      </c>
      <c r="O947" t="s">
        <v>48</v>
      </c>
      <c r="P947" s="6">
        <v>16880</v>
      </c>
      <c r="Q947" t="s">
        <v>90</v>
      </c>
      <c r="R947" t="s">
        <v>35</v>
      </c>
      <c r="S947">
        <v>3</v>
      </c>
      <c r="T947">
        <v>25</v>
      </c>
      <c r="U947">
        <v>3</v>
      </c>
      <c r="V947">
        <v>3</v>
      </c>
      <c r="W947">
        <v>2</v>
      </c>
      <c r="X947">
        <v>1</v>
      </c>
      <c r="Y947">
        <v>2</v>
      </c>
      <c r="Z947" t="s">
        <v>106</v>
      </c>
      <c r="AA947" t="s">
        <v>82</v>
      </c>
      <c r="AB947" t="str" cm="1">
        <f t="array" ref="AB947">_xlfn.IFS(cleaned_data[[#This Row],[YearsAtCompany]]&lt;=5, "0-5",cleaned_data[[#This Row],[YearsAtCompany]]&lt;=10,"6-10",TRUE,"10+")</f>
        <v>0-5</v>
      </c>
    </row>
    <row r="948" spans="1:28" x14ac:dyDescent="0.3">
      <c r="A948" s="2">
        <v>40</v>
      </c>
      <c r="B948" t="s">
        <v>35</v>
      </c>
      <c r="C948">
        <v>1</v>
      </c>
      <c r="D948" t="s">
        <v>36</v>
      </c>
      <c r="E948" t="s">
        <v>37</v>
      </c>
      <c r="F948">
        <v>25</v>
      </c>
      <c r="G948" t="s">
        <v>59</v>
      </c>
      <c r="H948" t="s">
        <v>1018</v>
      </c>
      <c r="I948">
        <v>4</v>
      </c>
      <c r="J948" t="s">
        <v>46</v>
      </c>
      <c r="K948">
        <v>2</v>
      </c>
      <c r="L948">
        <v>3</v>
      </c>
      <c r="M948" t="s">
        <v>40</v>
      </c>
      <c r="N948">
        <v>2</v>
      </c>
      <c r="O948" t="s">
        <v>41</v>
      </c>
      <c r="P948" s="1">
        <v>9094</v>
      </c>
      <c r="Q948" t="s">
        <v>67</v>
      </c>
      <c r="R948" t="s">
        <v>35</v>
      </c>
      <c r="S948">
        <v>3</v>
      </c>
      <c r="T948">
        <v>9</v>
      </c>
      <c r="U948">
        <v>3</v>
      </c>
      <c r="V948">
        <v>5</v>
      </c>
      <c r="W948">
        <v>4</v>
      </c>
      <c r="X948">
        <v>1</v>
      </c>
      <c r="Y948">
        <v>0</v>
      </c>
      <c r="Z948" t="s">
        <v>1550</v>
      </c>
      <c r="AA948" t="s">
        <v>69</v>
      </c>
      <c r="AB948" t="str" cm="1">
        <f t="array" ref="AB948">_xlfn.IFS(cleaned_data[[#This Row],[YearsAtCompany]]&lt;=5, "0-5",cleaned_data[[#This Row],[YearsAtCompany]]&lt;=10,"6-10",TRUE,"10+")</f>
        <v>0-5</v>
      </c>
    </row>
    <row r="949" spans="1:28" x14ac:dyDescent="0.3">
      <c r="A949" s="2">
        <v>52</v>
      </c>
      <c r="B949" t="s">
        <v>35</v>
      </c>
      <c r="C949">
        <v>1</v>
      </c>
      <c r="D949" t="s">
        <v>36</v>
      </c>
      <c r="E949" t="s">
        <v>37</v>
      </c>
      <c r="F949">
        <v>5</v>
      </c>
      <c r="G949" t="s">
        <v>38</v>
      </c>
      <c r="H949" t="s">
        <v>1019</v>
      </c>
      <c r="I949">
        <v>2</v>
      </c>
      <c r="J949" t="s">
        <v>46</v>
      </c>
      <c r="K949">
        <v>3</v>
      </c>
      <c r="L949">
        <v>3</v>
      </c>
      <c r="M949" t="s">
        <v>40</v>
      </c>
      <c r="N949">
        <v>2</v>
      </c>
      <c r="O949" t="s">
        <v>41</v>
      </c>
      <c r="P949" s="1">
        <v>8446</v>
      </c>
      <c r="Q949" t="s">
        <v>67</v>
      </c>
      <c r="R949" t="s">
        <v>35</v>
      </c>
      <c r="S949">
        <v>3</v>
      </c>
      <c r="T949">
        <v>10</v>
      </c>
      <c r="U949">
        <v>2</v>
      </c>
      <c r="V949">
        <v>8</v>
      </c>
      <c r="W949">
        <v>7</v>
      </c>
      <c r="X949">
        <v>7</v>
      </c>
      <c r="Y949">
        <v>7</v>
      </c>
      <c r="Z949" t="s">
        <v>106</v>
      </c>
      <c r="AA949" t="s">
        <v>69</v>
      </c>
      <c r="AB949" t="str" cm="1">
        <f t="array" ref="AB949">_xlfn.IFS(cleaned_data[[#This Row],[YearsAtCompany]]&lt;=5, "0-5",cleaned_data[[#This Row],[YearsAtCompany]]&lt;=10,"6-10",TRUE,"10+")</f>
        <v>6-10</v>
      </c>
    </row>
    <row r="950" spans="1:28" x14ac:dyDescent="0.3">
      <c r="A950" s="2">
        <v>30</v>
      </c>
      <c r="B950" t="s">
        <v>43</v>
      </c>
      <c r="C950">
        <v>0</v>
      </c>
      <c r="D950" t="s">
        <v>36</v>
      </c>
      <c r="E950" t="s">
        <v>45</v>
      </c>
      <c r="F950">
        <v>17</v>
      </c>
      <c r="G950" t="s">
        <v>51</v>
      </c>
      <c r="H950" t="s">
        <v>1020</v>
      </c>
      <c r="I950">
        <v>2</v>
      </c>
      <c r="J950" t="s">
        <v>39</v>
      </c>
      <c r="K950">
        <v>3</v>
      </c>
      <c r="L950">
        <v>3</v>
      </c>
      <c r="M950" t="s">
        <v>56</v>
      </c>
      <c r="N950">
        <v>1</v>
      </c>
      <c r="O950" t="s">
        <v>48</v>
      </c>
      <c r="P950" s="6">
        <v>11916</v>
      </c>
      <c r="Q950" t="s">
        <v>67</v>
      </c>
      <c r="R950" t="s">
        <v>35</v>
      </c>
      <c r="S950">
        <v>4</v>
      </c>
      <c r="T950">
        <v>9</v>
      </c>
      <c r="U950">
        <v>3</v>
      </c>
      <c r="V950">
        <v>9</v>
      </c>
      <c r="W950">
        <v>1</v>
      </c>
      <c r="X950">
        <v>0</v>
      </c>
      <c r="Y950">
        <v>8</v>
      </c>
      <c r="Z950" t="s">
        <v>1551</v>
      </c>
      <c r="AA950" t="s">
        <v>69</v>
      </c>
      <c r="AB950" t="str" cm="1">
        <f t="array" ref="AB950">_xlfn.IFS(cleaned_data[[#This Row],[YearsAtCompany]]&lt;=5, "0-5",cleaned_data[[#This Row],[YearsAtCompany]]&lt;=10,"6-10",TRUE,"10+")</f>
        <v>6-10</v>
      </c>
    </row>
    <row r="951" spans="1:28" x14ac:dyDescent="0.3">
      <c r="A951" s="2">
        <v>39</v>
      </c>
      <c r="B951" t="s">
        <v>43</v>
      </c>
      <c r="C951">
        <v>0</v>
      </c>
      <c r="D951" t="s">
        <v>36</v>
      </c>
      <c r="E951" t="s">
        <v>45</v>
      </c>
      <c r="F951">
        <v>18</v>
      </c>
      <c r="G951" t="s">
        <v>38</v>
      </c>
      <c r="H951" t="s">
        <v>1021</v>
      </c>
      <c r="I951">
        <v>1</v>
      </c>
      <c r="J951" t="s">
        <v>46</v>
      </c>
      <c r="K951">
        <v>3</v>
      </c>
      <c r="L951">
        <v>2</v>
      </c>
      <c r="M951" t="s">
        <v>53</v>
      </c>
      <c r="N951">
        <v>3</v>
      </c>
      <c r="O951" t="s">
        <v>41</v>
      </c>
      <c r="P951" s="1">
        <v>4534</v>
      </c>
      <c r="Q951" t="s">
        <v>72</v>
      </c>
      <c r="R951" t="s">
        <v>43</v>
      </c>
      <c r="S951">
        <v>3</v>
      </c>
      <c r="T951">
        <v>9</v>
      </c>
      <c r="U951">
        <v>3</v>
      </c>
      <c r="V951">
        <v>8</v>
      </c>
      <c r="W951">
        <v>7</v>
      </c>
      <c r="X951">
        <v>1</v>
      </c>
      <c r="Y951">
        <v>7</v>
      </c>
      <c r="Z951" t="s">
        <v>1550</v>
      </c>
      <c r="AA951" t="s">
        <v>69</v>
      </c>
      <c r="AB951" t="str" cm="1">
        <f t="array" ref="AB951">_xlfn.IFS(cleaned_data[[#This Row],[YearsAtCompany]]&lt;=5, "0-5",cleaned_data[[#This Row],[YearsAtCompany]]&lt;=10,"6-10",TRUE,"10+")</f>
        <v>6-10</v>
      </c>
    </row>
    <row r="952" spans="1:28" x14ac:dyDescent="0.3">
      <c r="A952" s="2">
        <v>31</v>
      </c>
      <c r="B952" t="s">
        <v>43</v>
      </c>
      <c r="C952">
        <v>0</v>
      </c>
      <c r="D952" t="s">
        <v>55</v>
      </c>
      <c r="E952" t="s">
        <v>37</v>
      </c>
      <c r="F952">
        <v>2</v>
      </c>
      <c r="G952" t="s">
        <v>38</v>
      </c>
      <c r="H952" t="s">
        <v>1022</v>
      </c>
      <c r="I952">
        <v>4</v>
      </c>
      <c r="J952" t="s">
        <v>39</v>
      </c>
      <c r="K952">
        <v>3</v>
      </c>
      <c r="L952">
        <v>3</v>
      </c>
      <c r="M952" t="s">
        <v>40</v>
      </c>
      <c r="N952">
        <v>3</v>
      </c>
      <c r="O952" t="s">
        <v>52</v>
      </c>
      <c r="P952" s="1">
        <v>9852</v>
      </c>
      <c r="Q952" t="s">
        <v>67</v>
      </c>
      <c r="R952" t="s">
        <v>35</v>
      </c>
      <c r="S952">
        <v>3</v>
      </c>
      <c r="T952">
        <v>10</v>
      </c>
      <c r="U952">
        <v>2</v>
      </c>
      <c r="V952">
        <v>10</v>
      </c>
      <c r="W952">
        <v>8</v>
      </c>
      <c r="X952">
        <v>9</v>
      </c>
      <c r="Y952">
        <v>6</v>
      </c>
      <c r="Z952" t="s">
        <v>1551</v>
      </c>
      <c r="AA952" t="s">
        <v>69</v>
      </c>
      <c r="AB952" t="str" cm="1">
        <f t="array" ref="AB952">_xlfn.IFS(cleaned_data[[#This Row],[YearsAtCompany]]&lt;=5, "0-5",cleaned_data[[#This Row],[YearsAtCompany]]&lt;=10,"6-10",TRUE,"10+")</f>
        <v>6-10</v>
      </c>
    </row>
    <row r="953" spans="1:28" x14ac:dyDescent="0.3">
      <c r="A953" s="2">
        <v>41</v>
      </c>
      <c r="B953" t="s">
        <v>43</v>
      </c>
      <c r="C953">
        <v>0</v>
      </c>
      <c r="D953" t="s">
        <v>55</v>
      </c>
      <c r="E953" t="s">
        <v>37</v>
      </c>
      <c r="F953">
        <v>10</v>
      </c>
      <c r="G953" t="s">
        <v>51</v>
      </c>
      <c r="H953" t="s">
        <v>1023</v>
      </c>
      <c r="I953">
        <v>3</v>
      </c>
      <c r="J953" t="s">
        <v>46</v>
      </c>
      <c r="K953">
        <v>1</v>
      </c>
      <c r="L953">
        <v>2</v>
      </c>
      <c r="M953" t="s">
        <v>40</v>
      </c>
      <c r="N953">
        <v>2</v>
      </c>
      <c r="O953" t="s">
        <v>41</v>
      </c>
      <c r="P953" s="1">
        <v>6151</v>
      </c>
      <c r="Q953" t="s">
        <v>67</v>
      </c>
      <c r="R953" t="s">
        <v>43</v>
      </c>
      <c r="S953">
        <v>3</v>
      </c>
      <c r="T953">
        <v>19</v>
      </c>
      <c r="U953">
        <v>3</v>
      </c>
      <c r="V953">
        <v>19</v>
      </c>
      <c r="W953">
        <v>2</v>
      </c>
      <c r="X953">
        <v>11</v>
      </c>
      <c r="Y953">
        <v>9</v>
      </c>
      <c r="Z953" t="s">
        <v>1550</v>
      </c>
      <c r="AA953" t="s">
        <v>82</v>
      </c>
      <c r="AB953" t="str" cm="1">
        <f t="array" ref="AB953">_xlfn.IFS(cleaned_data[[#This Row],[YearsAtCompany]]&lt;=5, "0-5",cleaned_data[[#This Row],[YearsAtCompany]]&lt;=10,"6-10",TRUE,"10+")</f>
        <v>10+</v>
      </c>
    </row>
    <row r="954" spans="1:28" x14ac:dyDescent="0.3">
      <c r="A954" s="2">
        <v>31</v>
      </c>
      <c r="B954" t="s">
        <v>35</v>
      </c>
      <c r="C954">
        <v>1</v>
      </c>
      <c r="D954" t="s">
        <v>44</v>
      </c>
      <c r="E954" t="s">
        <v>37</v>
      </c>
      <c r="F954">
        <v>1</v>
      </c>
      <c r="G954" t="s">
        <v>38</v>
      </c>
      <c r="H954" t="s">
        <v>1024</v>
      </c>
      <c r="I954">
        <v>4</v>
      </c>
      <c r="J954" t="s">
        <v>39</v>
      </c>
      <c r="K954">
        <v>3</v>
      </c>
      <c r="L954">
        <v>1</v>
      </c>
      <c r="M954" t="s">
        <v>57</v>
      </c>
      <c r="N954">
        <v>2</v>
      </c>
      <c r="O954" t="s">
        <v>41</v>
      </c>
      <c r="P954" s="1">
        <v>2302</v>
      </c>
      <c r="Q954" t="s">
        <v>72</v>
      </c>
      <c r="R954" t="s">
        <v>35</v>
      </c>
      <c r="S954">
        <v>3</v>
      </c>
      <c r="T954">
        <v>3</v>
      </c>
      <c r="U954">
        <v>4</v>
      </c>
      <c r="V954">
        <v>3</v>
      </c>
      <c r="W954">
        <v>2</v>
      </c>
      <c r="X954">
        <v>2</v>
      </c>
      <c r="Y954">
        <v>2</v>
      </c>
      <c r="Z954" t="s">
        <v>1551</v>
      </c>
      <c r="AA954" t="s">
        <v>78</v>
      </c>
      <c r="AB954" t="str" cm="1">
        <f t="array" ref="AB954">_xlfn.IFS(cleaned_data[[#This Row],[YearsAtCompany]]&lt;=5, "0-5",cleaned_data[[#This Row],[YearsAtCompany]]&lt;=10,"6-10",TRUE,"10+")</f>
        <v>0-5</v>
      </c>
    </row>
    <row r="955" spans="1:28" x14ac:dyDescent="0.3">
      <c r="A955" s="2">
        <v>44</v>
      </c>
      <c r="B955" t="s">
        <v>35</v>
      </c>
      <c r="C955">
        <v>1</v>
      </c>
      <c r="D955" t="s">
        <v>36</v>
      </c>
      <c r="E955" t="s">
        <v>45</v>
      </c>
      <c r="F955">
        <v>3</v>
      </c>
      <c r="G955" t="s">
        <v>38</v>
      </c>
      <c r="H955" t="s">
        <v>1025</v>
      </c>
      <c r="I955">
        <v>1</v>
      </c>
      <c r="J955" t="s">
        <v>46</v>
      </c>
      <c r="K955">
        <v>3</v>
      </c>
      <c r="L955">
        <v>1</v>
      </c>
      <c r="M955" t="s">
        <v>50</v>
      </c>
      <c r="N955">
        <v>1</v>
      </c>
      <c r="O955" t="s">
        <v>48</v>
      </c>
      <c r="P955" s="6">
        <v>2362</v>
      </c>
      <c r="Q955" t="s">
        <v>72</v>
      </c>
      <c r="R955" t="s">
        <v>43</v>
      </c>
      <c r="S955">
        <v>3</v>
      </c>
      <c r="T955">
        <v>10</v>
      </c>
      <c r="U955">
        <v>4</v>
      </c>
      <c r="V955">
        <v>3</v>
      </c>
      <c r="W955">
        <v>2</v>
      </c>
      <c r="X955">
        <v>1</v>
      </c>
      <c r="Y955">
        <v>2</v>
      </c>
      <c r="Z955" t="s">
        <v>1550</v>
      </c>
      <c r="AA955" t="s">
        <v>69</v>
      </c>
      <c r="AB955" t="str" cm="1">
        <f t="array" ref="AB955">_xlfn.IFS(cleaned_data[[#This Row],[YearsAtCompany]]&lt;=5, "0-5",cleaned_data[[#This Row],[YearsAtCompany]]&lt;=10,"6-10",TRUE,"10+")</f>
        <v>0-5</v>
      </c>
    </row>
    <row r="956" spans="1:28" x14ac:dyDescent="0.3">
      <c r="A956" s="2">
        <v>42</v>
      </c>
      <c r="B956" t="s">
        <v>43</v>
      </c>
      <c r="C956">
        <v>0</v>
      </c>
      <c r="D956" t="s">
        <v>55</v>
      </c>
      <c r="E956" t="s">
        <v>45</v>
      </c>
      <c r="F956">
        <v>2</v>
      </c>
      <c r="G956" t="s">
        <v>38</v>
      </c>
      <c r="H956" t="s">
        <v>1026</v>
      </c>
      <c r="I956">
        <v>3</v>
      </c>
      <c r="J956" t="s">
        <v>46</v>
      </c>
      <c r="K956">
        <v>3</v>
      </c>
      <c r="L956">
        <v>4</v>
      </c>
      <c r="M956" t="s">
        <v>56</v>
      </c>
      <c r="N956">
        <v>3</v>
      </c>
      <c r="O956" t="s">
        <v>48</v>
      </c>
      <c r="P956" s="1">
        <v>17861</v>
      </c>
      <c r="Q956" t="s">
        <v>90</v>
      </c>
      <c r="R956" t="s">
        <v>35</v>
      </c>
      <c r="S956">
        <v>3</v>
      </c>
      <c r="T956">
        <v>21</v>
      </c>
      <c r="U956">
        <v>2</v>
      </c>
      <c r="V956">
        <v>20</v>
      </c>
      <c r="W956">
        <v>8</v>
      </c>
      <c r="X956">
        <v>2</v>
      </c>
      <c r="Y956">
        <v>10</v>
      </c>
      <c r="Z956" t="s">
        <v>1550</v>
      </c>
      <c r="AA956" t="s">
        <v>82</v>
      </c>
      <c r="AB956" t="str" cm="1">
        <f t="array" ref="AB956">_xlfn.IFS(cleaned_data[[#This Row],[YearsAtCompany]]&lt;=5, "0-5",cleaned_data[[#This Row],[YearsAtCompany]]&lt;=10,"6-10",TRUE,"10+")</f>
        <v>10+</v>
      </c>
    </row>
    <row r="957" spans="1:28" x14ac:dyDescent="0.3">
      <c r="A957" s="2">
        <v>55</v>
      </c>
      <c r="B957" t="s">
        <v>43</v>
      </c>
      <c r="C957">
        <v>0</v>
      </c>
      <c r="D957" t="s">
        <v>36</v>
      </c>
      <c r="E957" t="s">
        <v>45</v>
      </c>
      <c r="F957">
        <v>2</v>
      </c>
      <c r="G957" t="s">
        <v>51</v>
      </c>
      <c r="H957" t="s">
        <v>1027</v>
      </c>
      <c r="I957">
        <v>4</v>
      </c>
      <c r="J957" t="s">
        <v>39</v>
      </c>
      <c r="K957">
        <v>1</v>
      </c>
      <c r="L957">
        <v>5</v>
      </c>
      <c r="M957" t="s">
        <v>56</v>
      </c>
      <c r="N957">
        <v>3</v>
      </c>
      <c r="O957" t="s">
        <v>48</v>
      </c>
      <c r="P957" s="1">
        <v>19187</v>
      </c>
      <c r="Q957" t="s">
        <v>90</v>
      </c>
      <c r="R957" t="s">
        <v>43</v>
      </c>
      <c r="S957">
        <v>3</v>
      </c>
      <c r="T957">
        <v>23</v>
      </c>
      <c r="U957">
        <v>3</v>
      </c>
      <c r="V957">
        <v>19</v>
      </c>
      <c r="W957">
        <v>9</v>
      </c>
      <c r="X957">
        <v>9</v>
      </c>
      <c r="Y957">
        <v>11</v>
      </c>
      <c r="Z957" t="s">
        <v>106</v>
      </c>
      <c r="AA957" t="s">
        <v>82</v>
      </c>
      <c r="AB957" t="str" cm="1">
        <f t="array" ref="AB957">_xlfn.IFS(cleaned_data[[#This Row],[YearsAtCompany]]&lt;=5, "0-5",cleaned_data[[#This Row],[YearsAtCompany]]&lt;=10,"6-10",TRUE,"10+")</f>
        <v>10+</v>
      </c>
    </row>
    <row r="958" spans="1:28" x14ac:dyDescent="0.3">
      <c r="A958" s="2">
        <v>56</v>
      </c>
      <c r="B958" t="s">
        <v>43</v>
      </c>
      <c r="C958">
        <v>0</v>
      </c>
      <c r="D958" t="s">
        <v>36</v>
      </c>
      <c r="E958" t="s">
        <v>61</v>
      </c>
      <c r="F958">
        <v>8</v>
      </c>
      <c r="G958" t="s">
        <v>38</v>
      </c>
      <c r="H958" t="s">
        <v>1028</v>
      </c>
      <c r="I958">
        <v>4</v>
      </c>
      <c r="J958" t="s">
        <v>46</v>
      </c>
      <c r="K958">
        <v>3</v>
      </c>
      <c r="L958">
        <v>5</v>
      </c>
      <c r="M958" t="s">
        <v>56</v>
      </c>
      <c r="N958">
        <v>2</v>
      </c>
      <c r="O958" t="s">
        <v>41</v>
      </c>
      <c r="P958" s="1">
        <v>19717</v>
      </c>
      <c r="Q958" t="s">
        <v>90</v>
      </c>
      <c r="R958" t="s">
        <v>43</v>
      </c>
      <c r="S958">
        <v>3</v>
      </c>
      <c r="T958">
        <v>36</v>
      </c>
      <c r="U958">
        <v>3</v>
      </c>
      <c r="V958">
        <v>7</v>
      </c>
      <c r="W958">
        <v>3</v>
      </c>
      <c r="X958">
        <v>7</v>
      </c>
      <c r="Y958">
        <v>7</v>
      </c>
      <c r="Z958" t="s">
        <v>106</v>
      </c>
      <c r="AA958" t="s">
        <v>82</v>
      </c>
      <c r="AB958" t="str" cm="1">
        <f t="array" ref="AB958">_xlfn.IFS(cleaned_data[[#This Row],[YearsAtCompany]]&lt;=5, "0-5",cleaned_data[[#This Row],[YearsAtCompany]]&lt;=10,"6-10",TRUE,"10+")</f>
        <v>6-10</v>
      </c>
    </row>
    <row r="959" spans="1:28" x14ac:dyDescent="0.3">
      <c r="A959" s="2">
        <v>40</v>
      </c>
      <c r="B959" t="s">
        <v>43</v>
      </c>
      <c r="C959">
        <v>0</v>
      </c>
      <c r="D959" t="s">
        <v>55</v>
      </c>
      <c r="E959" t="s">
        <v>45</v>
      </c>
      <c r="F959">
        <v>16</v>
      </c>
      <c r="G959" t="s">
        <v>38</v>
      </c>
      <c r="H959" t="s">
        <v>1029</v>
      </c>
      <c r="I959">
        <v>3</v>
      </c>
      <c r="J959" t="s">
        <v>46</v>
      </c>
      <c r="K959">
        <v>3</v>
      </c>
      <c r="L959">
        <v>1</v>
      </c>
      <c r="M959" t="s">
        <v>47</v>
      </c>
      <c r="N959">
        <v>3</v>
      </c>
      <c r="O959" t="s">
        <v>52</v>
      </c>
      <c r="P959" s="1">
        <v>3544</v>
      </c>
      <c r="Q959" t="s">
        <v>72</v>
      </c>
      <c r="R959" t="s">
        <v>43</v>
      </c>
      <c r="S959">
        <v>3</v>
      </c>
      <c r="T959">
        <v>6</v>
      </c>
      <c r="U959">
        <v>3</v>
      </c>
      <c r="V959">
        <v>4</v>
      </c>
      <c r="W959">
        <v>2</v>
      </c>
      <c r="X959">
        <v>0</v>
      </c>
      <c r="Y959">
        <v>0</v>
      </c>
      <c r="Z959" t="s">
        <v>1550</v>
      </c>
      <c r="AA959" t="s">
        <v>69</v>
      </c>
      <c r="AB959" t="str" cm="1">
        <f t="array" ref="AB959">_xlfn.IFS(cleaned_data[[#This Row],[YearsAtCompany]]&lt;=5, "0-5",cleaned_data[[#This Row],[YearsAtCompany]]&lt;=10,"6-10",TRUE,"10+")</f>
        <v>0-5</v>
      </c>
    </row>
    <row r="960" spans="1:28" x14ac:dyDescent="0.3">
      <c r="A960" s="2">
        <v>34</v>
      </c>
      <c r="B960" t="s">
        <v>43</v>
      </c>
      <c r="C960">
        <v>0</v>
      </c>
      <c r="D960" t="s">
        <v>36</v>
      </c>
      <c r="E960" t="s">
        <v>45</v>
      </c>
      <c r="F960">
        <v>9</v>
      </c>
      <c r="G960" t="s">
        <v>38</v>
      </c>
      <c r="H960" t="s">
        <v>1030</v>
      </c>
      <c r="I960">
        <v>4</v>
      </c>
      <c r="J960" t="s">
        <v>46</v>
      </c>
      <c r="K960">
        <v>3</v>
      </c>
      <c r="L960">
        <v>3</v>
      </c>
      <c r="M960" t="s">
        <v>54</v>
      </c>
      <c r="N960">
        <v>4</v>
      </c>
      <c r="O960" t="s">
        <v>52</v>
      </c>
      <c r="P960" s="1">
        <v>8500</v>
      </c>
      <c r="Q960" t="s">
        <v>67</v>
      </c>
      <c r="R960" t="s">
        <v>43</v>
      </c>
      <c r="S960">
        <v>3</v>
      </c>
      <c r="T960">
        <v>10</v>
      </c>
      <c r="U960">
        <v>2</v>
      </c>
      <c r="V960">
        <v>9</v>
      </c>
      <c r="W960">
        <v>7</v>
      </c>
      <c r="X960">
        <v>1</v>
      </c>
      <c r="Y960">
        <v>6</v>
      </c>
      <c r="Z960" t="s">
        <v>1551</v>
      </c>
      <c r="AA960" t="s">
        <v>69</v>
      </c>
      <c r="AB960" t="str" cm="1">
        <f t="array" ref="AB960">_xlfn.IFS(cleaned_data[[#This Row],[YearsAtCompany]]&lt;=5, "0-5",cleaned_data[[#This Row],[YearsAtCompany]]&lt;=10,"6-10",TRUE,"10+")</f>
        <v>6-10</v>
      </c>
    </row>
    <row r="961" spans="1:28" x14ac:dyDescent="0.3">
      <c r="A961" s="2">
        <v>40</v>
      </c>
      <c r="B961" t="s">
        <v>43</v>
      </c>
      <c r="C961">
        <v>0</v>
      </c>
      <c r="D961" t="s">
        <v>36</v>
      </c>
      <c r="E961" t="s">
        <v>45</v>
      </c>
      <c r="F961">
        <v>2</v>
      </c>
      <c r="G961" t="s">
        <v>38</v>
      </c>
      <c r="H961" t="s">
        <v>1031</v>
      </c>
      <c r="I961">
        <v>3</v>
      </c>
      <c r="J961" t="s">
        <v>46</v>
      </c>
      <c r="K961">
        <v>3</v>
      </c>
      <c r="L961">
        <v>2</v>
      </c>
      <c r="M961" t="s">
        <v>47</v>
      </c>
      <c r="N961">
        <v>4</v>
      </c>
      <c r="O961" t="s">
        <v>41</v>
      </c>
      <c r="P961" s="1">
        <v>4661</v>
      </c>
      <c r="Q961" t="s">
        <v>72</v>
      </c>
      <c r="R961" t="s">
        <v>43</v>
      </c>
      <c r="S961">
        <v>3</v>
      </c>
      <c r="T961">
        <v>9</v>
      </c>
      <c r="U961">
        <v>3</v>
      </c>
      <c r="V961">
        <v>9</v>
      </c>
      <c r="W961">
        <v>8</v>
      </c>
      <c r="X961">
        <v>8</v>
      </c>
      <c r="Y961">
        <v>8</v>
      </c>
      <c r="Z961" t="s">
        <v>1550</v>
      </c>
      <c r="AA961" t="s">
        <v>69</v>
      </c>
      <c r="AB961" t="str" cm="1">
        <f t="array" ref="AB961">_xlfn.IFS(cleaned_data[[#This Row],[YearsAtCompany]]&lt;=5, "0-5",cleaned_data[[#This Row],[YearsAtCompany]]&lt;=10,"6-10",TRUE,"10+")</f>
        <v>6-10</v>
      </c>
    </row>
    <row r="962" spans="1:28" x14ac:dyDescent="0.3">
      <c r="A962" s="2">
        <v>41</v>
      </c>
      <c r="B962" t="s">
        <v>43</v>
      </c>
      <c r="C962">
        <v>0</v>
      </c>
      <c r="D962" t="s">
        <v>44</v>
      </c>
      <c r="E962" t="s">
        <v>37</v>
      </c>
      <c r="F962">
        <v>1</v>
      </c>
      <c r="G962" t="s">
        <v>59</v>
      </c>
      <c r="H962" t="s">
        <v>1032</v>
      </c>
      <c r="I962">
        <v>3</v>
      </c>
      <c r="J962" t="s">
        <v>39</v>
      </c>
      <c r="K962">
        <v>3</v>
      </c>
      <c r="L962">
        <v>2</v>
      </c>
      <c r="M962" t="s">
        <v>40</v>
      </c>
      <c r="N962">
        <v>1</v>
      </c>
      <c r="O962" t="s">
        <v>52</v>
      </c>
      <c r="P962" s="6">
        <v>4103</v>
      </c>
      <c r="Q962" t="s">
        <v>72</v>
      </c>
      <c r="R962" t="s">
        <v>43</v>
      </c>
      <c r="S962">
        <v>3</v>
      </c>
      <c r="T962">
        <v>10</v>
      </c>
      <c r="U962">
        <v>3</v>
      </c>
      <c r="V962">
        <v>9</v>
      </c>
      <c r="W962">
        <v>3</v>
      </c>
      <c r="X962">
        <v>1</v>
      </c>
      <c r="Y962">
        <v>7</v>
      </c>
      <c r="Z962" t="s">
        <v>1550</v>
      </c>
      <c r="AA962" t="s">
        <v>69</v>
      </c>
      <c r="AB962" t="str" cm="1">
        <f t="array" ref="AB962">_xlfn.IFS(cleaned_data[[#This Row],[YearsAtCompany]]&lt;=5, "0-5",cleaned_data[[#This Row],[YearsAtCompany]]&lt;=10,"6-10",TRUE,"10+")</f>
        <v>6-10</v>
      </c>
    </row>
    <row r="963" spans="1:28" x14ac:dyDescent="0.3">
      <c r="A963" s="2">
        <v>35</v>
      </c>
      <c r="B963" t="s">
        <v>43</v>
      </c>
      <c r="C963">
        <v>0</v>
      </c>
      <c r="D963" t="s">
        <v>44</v>
      </c>
      <c r="E963" t="s">
        <v>45</v>
      </c>
      <c r="F963">
        <v>4</v>
      </c>
      <c r="G963" t="s">
        <v>38</v>
      </c>
      <c r="H963" t="s">
        <v>1033</v>
      </c>
      <c r="I963">
        <v>3</v>
      </c>
      <c r="J963" t="s">
        <v>46</v>
      </c>
      <c r="K963">
        <v>3</v>
      </c>
      <c r="L963">
        <v>2</v>
      </c>
      <c r="M963" t="s">
        <v>47</v>
      </c>
      <c r="N963">
        <v>3</v>
      </c>
      <c r="O963" t="s">
        <v>41</v>
      </c>
      <c r="P963" s="1">
        <v>4249</v>
      </c>
      <c r="Q963" t="s">
        <v>72</v>
      </c>
      <c r="R963" t="s">
        <v>35</v>
      </c>
      <c r="S963">
        <v>3</v>
      </c>
      <c r="T963">
        <v>9</v>
      </c>
      <c r="U963">
        <v>3</v>
      </c>
      <c r="V963">
        <v>9</v>
      </c>
      <c r="W963">
        <v>6</v>
      </c>
      <c r="X963">
        <v>1</v>
      </c>
      <c r="Y963">
        <v>1</v>
      </c>
      <c r="Z963" t="s">
        <v>1551</v>
      </c>
      <c r="AA963" t="s">
        <v>69</v>
      </c>
      <c r="AB963" t="str" cm="1">
        <f t="array" ref="AB963">_xlfn.IFS(cleaned_data[[#This Row],[YearsAtCompany]]&lt;=5, "0-5",cleaned_data[[#This Row],[YearsAtCompany]]&lt;=10,"6-10",TRUE,"10+")</f>
        <v>6-10</v>
      </c>
    </row>
    <row r="964" spans="1:28" x14ac:dyDescent="0.3">
      <c r="A964" s="2">
        <v>51</v>
      </c>
      <c r="B964" t="s">
        <v>43</v>
      </c>
      <c r="C964">
        <v>0</v>
      </c>
      <c r="D964" t="s">
        <v>36</v>
      </c>
      <c r="E964" t="s">
        <v>61</v>
      </c>
      <c r="F964">
        <v>5</v>
      </c>
      <c r="G964" t="s">
        <v>38</v>
      </c>
      <c r="H964" t="s">
        <v>1034</v>
      </c>
      <c r="I964">
        <v>3</v>
      </c>
      <c r="J964" t="s">
        <v>46</v>
      </c>
      <c r="K964">
        <v>3</v>
      </c>
      <c r="L964">
        <v>4</v>
      </c>
      <c r="M964" t="s">
        <v>56</v>
      </c>
      <c r="N964">
        <v>2</v>
      </c>
      <c r="O964" t="s">
        <v>52</v>
      </c>
      <c r="P964" s="1">
        <v>14026</v>
      </c>
      <c r="Q964" t="s">
        <v>90</v>
      </c>
      <c r="R964" t="s">
        <v>35</v>
      </c>
      <c r="S964">
        <v>3</v>
      </c>
      <c r="T964">
        <v>33</v>
      </c>
      <c r="U964">
        <v>3</v>
      </c>
      <c r="V964">
        <v>33</v>
      </c>
      <c r="W964">
        <v>9</v>
      </c>
      <c r="X964">
        <v>0</v>
      </c>
      <c r="Y964">
        <v>10</v>
      </c>
      <c r="Z964" t="s">
        <v>106</v>
      </c>
      <c r="AA964" t="s">
        <v>82</v>
      </c>
      <c r="AB964" t="str" cm="1">
        <f t="array" ref="AB964">_xlfn.IFS(cleaned_data[[#This Row],[YearsAtCompany]]&lt;=5, "0-5",cleaned_data[[#This Row],[YearsAtCompany]]&lt;=10,"6-10",TRUE,"10+")</f>
        <v>10+</v>
      </c>
    </row>
    <row r="965" spans="1:28" x14ac:dyDescent="0.3">
      <c r="A965" s="2">
        <v>38</v>
      </c>
      <c r="B965" t="s">
        <v>43</v>
      </c>
      <c r="C965">
        <v>0</v>
      </c>
      <c r="D965" t="s">
        <v>36</v>
      </c>
      <c r="E965" t="s">
        <v>37</v>
      </c>
      <c r="F965">
        <v>2</v>
      </c>
      <c r="G965" t="s">
        <v>38</v>
      </c>
      <c r="H965" t="s">
        <v>1035</v>
      </c>
      <c r="I965">
        <v>2</v>
      </c>
      <c r="J965" t="s">
        <v>39</v>
      </c>
      <c r="K965">
        <v>3</v>
      </c>
      <c r="L965">
        <v>2</v>
      </c>
      <c r="M965" t="s">
        <v>40</v>
      </c>
      <c r="N965">
        <v>1</v>
      </c>
      <c r="O965" t="s">
        <v>52</v>
      </c>
      <c r="P965" s="6">
        <v>6893</v>
      </c>
      <c r="Q965" t="s">
        <v>67</v>
      </c>
      <c r="R965" t="s">
        <v>43</v>
      </c>
      <c r="S965">
        <v>3</v>
      </c>
      <c r="T965">
        <v>11</v>
      </c>
      <c r="U965">
        <v>3</v>
      </c>
      <c r="V965">
        <v>7</v>
      </c>
      <c r="W965">
        <v>7</v>
      </c>
      <c r="X965">
        <v>1</v>
      </c>
      <c r="Y965">
        <v>7</v>
      </c>
      <c r="Z965" t="s">
        <v>1550</v>
      </c>
      <c r="AA965" t="s">
        <v>69</v>
      </c>
      <c r="AB965" t="str" cm="1">
        <f t="array" ref="AB965">_xlfn.IFS(cleaned_data[[#This Row],[YearsAtCompany]]&lt;=5, "0-5",cleaned_data[[#This Row],[YearsAtCompany]]&lt;=10,"6-10",TRUE,"10+")</f>
        <v>6-10</v>
      </c>
    </row>
    <row r="966" spans="1:28" x14ac:dyDescent="0.3">
      <c r="A966" s="2">
        <v>34</v>
      </c>
      <c r="B966" t="s">
        <v>43</v>
      </c>
      <c r="C966">
        <v>0</v>
      </c>
      <c r="D966" t="s">
        <v>36</v>
      </c>
      <c r="E966" t="s">
        <v>37</v>
      </c>
      <c r="F966">
        <v>15</v>
      </c>
      <c r="G966" t="s">
        <v>51</v>
      </c>
      <c r="H966" t="s">
        <v>1036</v>
      </c>
      <c r="I966">
        <v>3</v>
      </c>
      <c r="J966" t="s">
        <v>39</v>
      </c>
      <c r="K966">
        <v>3</v>
      </c>
      <c r="L966">
        <v>2</v>
      </c>
      <c r="M966" t="s">
        <v>40</v>
      </c>
      <c r="N966">
        <v>1</v>
      </c>
      <c r="O966" t="s">
        <v>41</v>
      </c>
      <c r="P966" s="6">
        <v>6125</v>
      </c>
      <c r="Q966" t="s">
        <v>67</v>
      </c>
      <c r="R966" t="s">
        <v>43</v>
      </c>
      <c r="S966">
        <v>3</v>
      </c>
      <c r="T966">
        <v>10</v>
      </c>
      <c r="U966">
        <v>4</v>
      </c>
      <c r="V966">
        <v>10</v>
      </c>
      <c r="W966">
        <v>8</v>
      </c>
      <c r="X966">
        <v>9</v>
      </c>
      <c r="Y966">
        <v>6</v>
      </c>
      <c r="Z966" t="s">
        <v>1551</v>
      </c>
      <c r="AA966" t="s">
        <v>69</v>
      </c>
      <c r="AB966" t="str" cm="1">
        <f t="array" ref="AB966">_xlfn.IFS(cleaned_data[[#This Row],[YearsAtCompany]]&lt;=5, "0-5",cleaned_data[[#This Row],[YearsAtCompany]]&lt;=10,"6-10",TRUE,"10+")</f>
        <v>6-10</v>
      </c>
    </row>
    <row r="967" spans="1:28" x14ac:dyDescent="0.3">
      <c r="A967" s="2">
        <v>25</v>
      </c>
      <c r="B967" t="s">
        <v>43</v>
      </c>
      <c r="C967">
        <v>0</v>
      </c>
      <c r="D967" t="s">
        <v>36</v>
      </c>
      <c r="E967" t="s">
        <v>45</v>
      </c>
      <c r="F967">
        <v>19</v>
      </c>
      <c r="G967" t="s">
        <v>51</v>
      </c>
      <c r="H967" t="s">
        <v>1037</v>
      </c>
      <c r="I967">
        <v>4</v>
      </c>
      <c r="J967" t="s">
        <v>46</v>
      </c>
      <c r="K967">
        <v>3</v>
      </c>
      <c r="L967">
        <v>1</v>
      </c>
      <c r="M967" t="s">
        <v>50</v>
      </c>
      <c r="N967">
        <v>4</v>
      </c>
      <c r="O967" t="s">
        <v>48</v>
      </c>
      <c r="P967" s="1">
        <v>3669</v>
      </c>
      <c r="Q967" t="s">
        <v>72</v>
      </c>
      <c r="R967" t="s">
        <v>43</v>
      </c>
      <c r="S967">
        <v>3</v>
      </c>
      <c r="T967">
        <v>7</v>
      </c>
      <c r="U967">
        <v>2</v>
      </c>
      <c r="V967">
        <v>3</v>
      </c>
      <c r="W967">
        <v>2</v>
      </c>
      <c r="X967">
        <v>1</v>
      </c>
      <c r="Y967">
        <v>2</v>
      </c>
      <c r="Z967" t="s">
        <v>68</v>
      </c>
      <c r="AA967" t="s">
        <v>69</v>
      </c>
      <c r="AB967" t="str" cm="1">
        <f t="array" ref="AB967">_xlfn.IFS(cleaned_data[[#This Row],[YearsAtCompany]]&lt;=5, "0-5",cleaned_data[[#This Row],[YearsAtCompany]]&lt;=10,"6-10",TRUE,"10+")</f>
        <v>0-5</v>
      </c>
    </row>
    <row r="968" spans="1:28" x14ac:dyDescent="0.3">
      <c r="A968" s="2">
        <v>58</v>
      </c>
      <c r="B968" t="s">
        <v>35</v>
      </c>
      <c r="C968">
        <v>1</v>
      </c>
      <c r="D968" t="s">
        <v>36</v>
      </c>
      <c r="E968" t="s">
        <v>45</v>
      </c>
      <c r="F968">
        <v>7</v>
      </c>
      <c r="G968" t="s">
        <v>51</v>
      </c>
      <c r="H968" t="s">
        <v>1038</v>
      </c>
      <c r="I968">
        <v>3</v>
      </c>
      <c r="J968" t="s">
        <v>39</v>
      </c>
      <c r="K968">
        <v>2</v>
      </c>
      <c r="L968">
        <v>3</v>
      </c>
      <c r="M968" t="s">
        <v>53</v>
      </c>
      <c r="N968">
        <v>1</v>
      </c>
      <c r="O968" t="s">
        <v>48</v>
      </c>
      <c r="P968" s="6">
        <v>10008</v>
      </c>
      <c r="Q968" t="s">
        <v>67</v>
      </c>
      <c r="R968" t="s">
        <v>35</v>
      </c>
      <c r="S968">
        <v>3</v>
      </c>
      <c r="T968">
        <v>31</v>
      </c>
      <c r="U968">
        <v>2</v>
      </c>
      <c r="V968">
        <v>10</v>
      </c>
      <c r="W968">
        <v>9</v>
      </c>
      <c r="X968">
        <v>5</v>
      </c>
      <c r="Y968">
        <v>9</v>
      </c>
      <c r="Z968" t="s">
        <v>106</v>
      </c>
      <c r="AA968" t="s">
        <v>82</v>
      </c>
      <c r="AB968" t="str" cm="1">
        <f t="array" ref="AB968">_xlfn.IFS(cleaned_data[[#This Row],[YearsAtCompany]]&lt;=5, "0-5",cleaned_data[[#This Row],[YearsAtCompany]]&lt;=10,"6-10",TRUE,"10+")</f>
        <v>6-10</v>
      </c>
    </row>
    <row r="969" spans="1:28" x14ac:dyDescent="0.3">
      <c r="A969" s="2">
        <v>40</v>
      </c>
      <c r="B969" t="s">
        <v>43</v>
      </c>
      <c r="C969">
        <v>0</v>
      </c>
      <c r="D969" t="s">
        <v>36</v>
      </c>
      <c r="E969" t="s">
        <v>45</v>
      </c>
      <c r="F969">
        <v>1</v>
      </c>
      <c r="G969" t="s">
        <v>38</v>
      </c>
      <c r="H969" t="s">
        <v>1039</v>
      </c>
      <c r="I969">
        <v>2</v>
      </c>
      <c r="J969" t="s">
        <v>46</v>
      </c>
      <c r="K969">
        <v>3</v>
      </c>
      <c r="L969">
        <v>1</v>
      </c>
      <c r="M969" t="s">
        <v>50</v>
      </c>
      <c r="N969">
        <v>2</v>
      </c>
      <c r="O969" t="s">
        <v>48</v>
      </c>
      <c r="P969" s="1">
        <v>2387</v>
      </c>
      <c r="Q969" t="s">
        <v>72</v>
      </c>
      <c r="R969" t="s">
        <v>43</v>
      </c>
      <c r="S969">
        <v>4</v>
      </c>
      <c r="T969">
        <v>7</v>
      </c>
      <c r="U969">
        <v>3</v>
      </c>
      <c r="V969">
        <v>4</v>
      </c>
      <c r="W969">
        <v>2</v>
      </c>
      <c r="X969">
        <v>0</v>
      </c>
      <c r="Y969">
        <v>3</v>
      </c>
      <c r="Z969" t="s">
        <v>1550</v>
      </c>
      <c r="AA969" t="s">
        <v>69</v>
      </c>
      <c r="AB969" t="str" cm="1">
        <f t="array" ref="AB969">_xlfn.IFS(cleaned_data[[#This Row],[YearsAtCompany]]&lt;=5, "0-5",cleaned_data[[#This Row],[YearsAtCompany]]&lt;=10,"6-10",TRUE,"10+")</f>
        <v>0-5</v>
      </c>
    </row>
    <row r="970" spans="1:28" x14ac:dyDescent="0.3">
      <c r="A970" s="2">
        <v>36</v>
      </c>
      <c r="B970" t="s">
        <v>43</v>
      </c>
      <c r="C970">
        <v>0</v>
      </c>
      <c r="D970" t="s">
        <v>44</v>
      </c>
      <c r="E970" t="s">
        <v>37</v>
      </c>
      <c r="F970">
        <v>7</v>
      </c>
      <c r="G970" t="s">
        <v>59</v>
      </c>
      <c r="H970" t="s">
        <v>1040</v>
      </c>
      <c r="I970">
        <v>1</v>
      </c>
      <c r="J970" t="s">
        <v>39</v>
      </c>
      <c r="K970">
        <v>4</v>
      </c>
      <c r="L970">
        <v>2</v>
      </c>
      <c r="M970" t="s">
        <v>40</v>
      </c>
      <c r="N970">
        <v>1</v>
      </c>
      <c r="O970" t="s">
        <v>48</v>
      </c>
      <c r="P970" s="6">
        <v>4639</v>
      </c>
      <c r="Q970" t="s">
        <v>72</v>
      </c>
      <c r="R970" t="s">
        <v>43</v>
      </c>
      <c r="S970">
        <v>3</v>
      </c>
      <c r="T970">
        <v>17</v>
      </c>
      <c r="U970">
        <v>2</v>
      </c>
      <c r="V970">
        <v>15</v>
      </c>
      <c r="W970">
        <v>7</v>
      </c>
      <c r="X970">
        <v>6</v>
      </c>
      <c r="Y970">
        <v>13</v>
      </c>
      <c r="Z970" t="s">
        <v>1550</v>
      </c>
      <c r="AA970" t="s">
        <v>82</v>
      </c>
      <c r="AB970" t="str" cm="1">
        <f t="array" ref="AB970">_xlfn.IFS(cleaned_data[[#This Row],[YearsAtCompany]]&lt;=5, "0-5",cleaned_data[[#This Row],[YearsAtCompany]]&lt;=10,"6-10",TRUE,"10+")</f>
        <v>10+</v>
      </c>
    </row>
    <row r="971" spans="1:28" x14ac:dyDescent="0.3">
      <c r="A971" s="2">
        <v>48</v>
      </c>
      <c r="B971" t="s">
        <v>43</v>
      </c>
      <c r="C971">
        <v>0</v>
      </c>
      <c r="D971" t="s">
        <v>36</v>
      </c>
      <c r="E971" t="s">
        <v>45</v>
      </c>
      <c r="F971">
        <v>4</v>
      </c>
      <c r="G971" t="s">
        <v>38</v>
      </c>
      <c r="H971" t="s">
        <v>1041</v>
      </c>
      <c r="I971">
        <v>4</v>
      </c>
      <c r="J971" t="s">
        <v>46</v>
      </c>
      <c r="K971">
        <v>3</v>
      </c>
      <c r="L971">
        <v>3</v>
      </c>
      <c r="M971" t="s">
        <v>53</v>
      </c>
      <c r="N971">
        <v>4</v>
      </c>
      <c r="O971" t="s">
        <v>41</v>
      </c>
      <c r="P971" s="1">
        <v>7898</v>
      </c>
      <c r="Q971" t="s">
        <v>67</v>
      </c>
      <c r="R971" t="s">
        <v>43</v>
      </c>
      <c r="S971">
        <v>3</v>
      </c>
      <c r="T971">
        <v>11</v>
      </c>
      <c r="U971">
        <v>3</v>
      </c>
      <c r="V971">
        <v>10</v>
      </c>
      <c r="W971">
        <v>9</v>
      </c>
      <c r="X971">
        <v>0</v>
      </c>
      <c r="Y971">
        <v>8</v>
      </c>
      <c r="Z971" t="s">
        <v>106</v>
      </c>
      <c r="AA971" t="s">
        <v>69</v>
      </c>
      <c r="AB971" t="str" cm="1">
        <f t="array" ref="AB971">_xlfn.IFS(cleaned_data[[#This Row],[YearsAtCompany]]&lt;=5, "0-5",cleaned_data[[#This Row],[YearsAtCompany]]&lt;=10,"6-10",TRUE,"10+")</f>
        <v>6-10</v>
      </c>
    </row>
    <row r="972" spans="1:28" x14ac:dyDescent="0.3">
      <c r="A972" s="2">
        <v>27</v>
      </c>
      <c r="B972" t="s">
        <v>43</v>
      </c>
      <c r="C972">
        <v>0</v>
      </c>
      <c r="D972" t="s">
        <v>36</v>
      </c>
      <c r="E972" t="s">
        <v>37</v>
      </c>
      <c r="F972">
        <v>11</v>
      </c>
      <c r="G972" t="s">
        <v>51</v>
      </c>
      <c r="H972" t="s">
        <v>1042</v>
      </c>
      <c r="I972">
        <v>3</v>
      </c>
      <c r="J972" t="s">
        <v>39</v>
      </c>
      <c r="K972">
        <v>4</v>
      </c>
      <c r="L972">
        <v>1</v>
      </c>
      <c r="M972" t="s">
        <v>57</v>
      </c>
      <c r="N972">
        <v>4</v>
      </c>
      <c r="O972" t="s">
        <v>48</v>
      </c>
      <c r="P972" s="1">
        <v>2534</v>
      </c>
      <c r="Q972" t="s">
        <v>72</v>
      </c>
      <c r="R972" t="s">
        <v>43</v>
      </c>
      <c r="S972">
        <v>3</v>
      </c>
      <c r="T972">
        <v>5</v>
      </c>
      <c r="U972">
        <v>3</v>
      </c>
      <c r="V972">
        <v>1</v>
      </c>
      <c r="W972">
        <v>0</v>
      </c>
      <c r="X972">
        <v>0</v>
      </c>
      <c r="Y972">
        <v>0</v>
      </c>
      <c r="Z972" t="s">
        <v>1551</v>
      </c>
      <c r="AA972" t="s">
        <v>78</v>
      </c>
      <c r="AB972" t="str" cm="1">
        <f t="array" ref="AB972">_xlfn.IFS(cleaned_data[[#This Row],[YearsAtCompany]]&lt;=5, "0-5",cleaned_data[[#This Row],[YearsAtCompany]]&lt;=10,"6-10",TRUE,"10+")</f>
        <v>0-5</v>
      </c>
    </row>
    <row r="973" spans="1:28" x14ac:dyDescent="0.3">
      <c r="A973" s="2">
        <v>51</v>
      </c>
      <c r="B973" t="s">
        <v>43</v>
      </c>
      <c r="C973">
        <v>0</v>
      </c>
      <c r="D973" t="s">
        <v>36</v>
      </c>
      <c r="E973" t="s">
        <v>45</v>
      </c>
      <c r="F973">
        <v>11</v>
      </c>
      <c r="G973" t="s">
        <v>60</v>
      </c>
      <c r="H973" t="s">
        <v>1043</v>
      </c>
      <c r="I973">
        <v>4</v>
      </c>
      <c r="J973" t="s">
        <v>39</v>
      </c>
      <c r="K973">
        <v>2</v>
      </c>
      <c r="L973">
        <v>4</v>
      </c>
      <c r="M973" t="s">
        <v>53</v>
      </c>
      <c r="N973">
        <v>2</v>
      </c>
      <c r="O973" t="s">
        <v>41</v>
      </c>
      <c r="P973" s="1">
        <v>13142</v>
      </c>
      <c r="Q973" t="s">
        <v>90</v>
      </c>
      <c r="R973" t="s">
        <v>43</v>
      </c>
      <c r="S973">
        <v>3</v>
      </c>
      <c r="T973">
        <v>29</v>
      </c>
      <c r="U973">
        <v>2</v>
      </c>
      <c r="V973">
        <v>5</v>
      </c>
      <c r="W973">
        <v>2</v>
      </c>
      <c r="X973">
        <v>0</v>
      </c>
      <c r="Y973">
        <v>3</v>
      </c>
      <c r="Z973" t="s">
        <v>106</v>
      </c>
      <c r="AA973" t="s">
        <v>82</v>
      </c>
      <c r="AB973" t="str" cm="1">
        <f t="array" ref="AB973">_xlfn.IFS(cleaned_data[[#This Row],[YearsAtCompany]]&lt;=5, "0-5",cleaned_data[[#This Row],[YearsAtCompany]]&lt;=10,"6-10",TRUE,"10+")</f>
        <v>0-5</v>
      </c>
    </row>
    <row r="974" spans="1:28" x14ac:dyDescent="0.3">
      <c r="A974" s="2">
        <v>18</v>
      </c>
      <c r="B974" t="s">
        <v>43</v>
      </c>
      <c r="C974">
        <v>0</v>
      </c>
      <c r="D974" t="s">
        <v>55</v>
      </c>
      <c r="E974" t="s">
        <v>45</v>
      </c>
      <c r="F974">
        <v>1</v>
      </c>
      <c r="G974" t="s">
        <v>38</v>
      </c>
      <c r="H974" t="s">
        <v>1044</v>
      </c>
      <c r="I974">
        <v>4</v>
      </c>
      <c r="J974" t="s">
        <v>39</v>
      </c>
      <c r="K974">
        <v>3</v>
      </c>
      <c r="L974">
        <v>1</v>
      </c>
      <c r="M974" t="s">
        <v>50</v>
      </c>
      <c r="N974">
        <v>4</v>
      </c>
      <c r="O974" t="s">
        <v>41</v>
      </c>
      <c r="P974" s="1">
        <v>1611</v>
      </c>
      <c r="Q974" t="s">
        <v>72</v>
      </c>
      <c r="R974" t="s">
        <v>43</v>
      </c>
      <c r="S974">
        <v>3</v>
      </c>
      <c r="T974">
        <v>0</v>
      </c>
      <c r="U974">
        <v>4</v>
      </c>
      <c r="V974">
        <v>0</v>
      </c>
      <c r="W974">
        <v>0</v>
      </c>
      <c r="X974">
        <v>0</v>
      </c>
      <c r="Y974">
        <v>0</v>
      </c>
      <c r="Z974" t="s">
        <v>68</v>
      </c>
      <c r="AA974" t="s">
        <v>78</v>
      </c>
      <c r="AB974" t="str" cm="1">
        <f t="array" ref="AB974">_xlfn.IFS(cleaned_data[[#This Row],[YearsAtCompany]]&lt;=5, "0-5",cleaned_data[[#This Row],[YearsAtCompany]]&lt;=10,"6-10",TRUE,"10+")</f>
        <v>0-5</v>
      </c>
    </row>
    <row r="975" spans="1:28" x14ac:dyDescent="0.3">
      <c r="A975" s="2">
        <v>35</v>
      </c>
      <c r="B975" t="s">
        <v>43</v>
      </c>
      <c r="C975">
        <v>0</v>
      </c>
      <c r="D975" t="s">
        <v>36</v>
      </c>
      <c r="E975" t="s">
        <v>45</v>
      </c>
      <c r="F975">
        <v>1</v>
      </c>
      <c r="G975" t="s">
        <v>51</v>
      </c>
      <c r="H975" t="s">
        <v>1045</v>
      </c>
      <c r="I975">
        <v>4</v>
      </c>
      <c r="J975" t="s">
        <v>39</v>
      </c>
      <c r="K975">
        <v>2</v>
      </c>
      <c r="L975">
        <v>2</v>
      </c>
      <c r="M975" t="s">
        <v>50</v>
      </c>
      <c r="N975">
        <v>4</v>
      </c>
      <c r="O975" t="s">
        <v>48</v>
      </c>
      <c r="P975" s="1">
        <v>5363</v>
      </c>
      <c r="Q975" t="s">
        <v>67</v>
      </c>
      <c r="R975" t="s">
        <v>43</v>
      </c>
      <c r="S975">
        <v>3</v>
      </c>
      <c r="T975">
        <v>10</v>
      </c>
      <c r="U975">
        <v>3</v>
      </c>
      <c r="V975">
        <v>9</v>
      </c>
      <c r="W975">
        <v>7</v>
      </c>
      <c r="X975">
        <v>0</v>
      </c>
      <c r="Y975">
        <v>0</v>
      </c>
      <c r="Z975" t="s">
        <v>1551</v>
      </c>
      <c r="AA975" t="s">
        <v>69</v>
      </c>
      <c r="AB975" t="str" cm="1">
        <f t="array" ref="AB975">_xlfn.IFS(cleaned_data[[#This Row],[YearsAtCompany]]&lt;=5, "0-5",cleaned_data[[#This Row],[YearsAtCompany]]&lt;=10,"6-10",TRUE,"10+")</f>
        <v>6-10</v>
      </c>
    </row>
    <row r="976" spans="1:28" x14ac:dyDescent="0.3">
      <c r="A976" s="2">
        <v>27</v>
      </c>
      <c r="B976" t="s">
        <v>43</v>
      </c>
      <c r="C976">
        <v>0</v>
      </c>
      <c r="D976" t="s">
        <v>44</v>
      </c>
      <c r="E976" t="s">
        <v>37</v>
      </c>
      <c r="F976">
        <v>2</v>
      </c>
      <c r="G976" t="s">
        <v>38</v>
      </c>
      <c r="H976" t="s">
        <v>1046</v>
      </c>
      <c r="I976">
        <v>4</v>
      </c>
      <c r="J976" t="s">
        <v>46</v>
      </c>
      <c r="K976">
        <v>1</v>
      </c>
      <c r="L976">
        <v>2</v>
      </c>
      <c r="M976" t="s">
        <v>40</v>
      </c>
      <c r="N976">
        <v>4</v>
      </c>
      <c r="O976" t="s">
        <v>41</v>
      </c>
      <c r="P976" s="1">
        <v>5071</v>
      </c>
      <c r="Q976" t="s">
        <v>67</v>
      </c>
      <c r="R976" t="s">
        <v>43</v>
      </c>
      <c r="S976">
        <v>4</v>
      </c>
      <c r="T976">
        <v>8</v>
      </c>
      <c r="U976">
        <v>3</v>
      </c>
      <c r="V976">
        <v>6</v>
      </c>
      <c r="W976">
        <v>2</v>
      </c>
      <c r="X976">
        <v>0</v>
      </c>
      <c r="Y976">
        <v>0</v>
      </c>
      <c r="Z976" t="s">
        <v>1551</v>
      </c>
      <c r="AA976" t="s">
        <v>69</v>
      </c>
      <c r="AB976" t="str" cm="1">
        <f t="array" ref="AB976">_xlfn.IFS(cleaned_data[[#This Row],[YearsAtCompany]]&lt;=5, "0-5",cleaned_data[[#This Row],[YearsAtCompany]]&lt;=10,"6-10",TRUE,"10+")</f>
        <v>6-10</v>
      </c>
    </row>
    <row r="977" spans="1:28" x14ac:dyDescent="0.3">
      <c r="A977" s="2">
        <v>55</v>
      </c>
      <c r="B977" t="s">
        <v>35</v>
      </c>
      <c r="C977">
        <v>1</v>
      </c>
      <c r="D977" t="s">
        <v>36</v>
      </c>
      <c r="E977" t="s">
        <v>37</v>
      </c>
      <c r="F977">
        <v>13</v>
      </c>
      <c r="G977" t="s">
        <v>59</v>
      </c>
      <c r="H977" t="s">
        <v>1047</v>
      </c>
      <c r="I977">
        <v>1</v>
      </c>
      <c r="J977" t="s">
        <v>46</v>
      </c>
      <c r="K977">
        <v>4</v>
      </c>
      <c r="L977">
        <v>4</v>
      </c>
      <c r="M977" t="s">
        <v>40</v>
      </c>
      <c r="N977">
        <v>3</v>
      </c>
      <c r="O977" t="s">
        <v>41</v>
      </c>
      <c r="P977" s="1">
        <v>13695</v>
      </c>
      <c r="Q977" t="s">
        <v>90</v>
      </c>
      <c r="R977" t="s">
        <v>35</v>
      </c>
      <c r="S977">
        <v>3</v>
      </c>
      <c r="T977">
        <v>24</v>
      </c>
      <c r="U977">
        <v>2</v>
      </c>
      <c r="V977">
        <v>19</v>
      </c>
      <c r="W977">
        <v>7</v>
      </c>
      <c r="X977">
        <v>3</v>
      </c>
      <c r="Y977">
        <v>8</v>
      </c>
      <c r="Z977" t="s">
        <v>106</v>
      </c>
      <c r="AA977" t="s">
        <v>82</v>
      </c>
      <c r="AB977" t="str" cm="1">
        <f t="array" ref="AB977">_xlfn.IFS(cleaned_data[[#This Row],[YearsAtCompany]]&lt;=5, "0-5",cleaned_data[[#This Row],[YearsAtCompany]]&lt;=10,"6-10",TRUE,"10+")</f>
        <v>10+</v>
      </c>
    </row>
    <row r="978" spans="1:28" x14ac:dyDescent="0.3">
      <c r="A978" s="2">
        <v>56</v>
      </c>
      <c r="B978" t="s">
        <v>43</v>
      </c>
      <c r="C978">
        <v>0</v>
      </c>
      <c r="D978" t="s">
        <v>36</v>
      </c>
      <c r="E978" t="s">
        <v>45</v>
      </c>
      <c r="F978">
        <v>23</v>
      </c>
      <c r="G978" t="s">
        <v>38</v>
      </c>
      <c r="H978" t="s">
        <v>1048</v>
      </c>
      <c r="I978">
        <v>4</v>
      </c>
      <c r="J978" t="s">
        <v>46</v>
      </c>
      <c r="K978">
        <v>3</v>
      </c>
      <c r="L978">
        <v>4</v>
      </c>
      <c r="M978" t="s">
        <v>53</v>
      </c>
      <c r="N978">
        <v>2</v>
      </c>
      <c r="O978" t="s">
        <v>48</v>
      </c>
      <c r="P978" s="1">
        <v>13402</v>
      </c>
      <c r="Q978" t="s">
        <v>90</v>
      </c>
      <c r="R978" t="s">
        <v>35</v>
      </c>
      <c r="S978">
        <v>3</v>
      </c>
      <c r="T978">
        <v>33</v>
      </c>
      <c r="U978">
        <v>3</v>
      </c>
      <c r="V978">
        <v>19</v>
      </c>
      <c r="W978">
        <v>16</v>
      </c>
      <c r="X978">
        <v>15</v>
      </c>
      <c r="Y978">
        <v>9</v>
      </c>
      <c r="Z978" t="s">
        <v>106</v>
      </c>
      <c r="AA978" t="s">
        <v>82</v>
      </c>
      <c r="AB978" t="str" cm="1">
        <f t="array" ref="AB978">_xlfn.IFS(cleaned_data[[#This Row],[YearsAtCompany]]&lt;=5, "0-5",cleaned_data[[#This Row],[YearsAtCompany]]&lt;=10,"6-10",TRUE,"10+")</f>
        <v>10+</v>
      </c>
    </row>
    <row r="979" spans="1:28" x14ac:dyDescent="0.3">
      <c r="A979" s="2">
        <v>34</v>
      </c>
      <c r="B979" t="s">
        <v>43</v>
      </c>
      <c r="C979">
        <v>0</v>
      </c>
      <c r="D979" t="s">
        <v>55</v>
      </c>
      <c r="E979" t="s">
        <v>45</v>
      </c>
      <c r="F979">
        <v>26</v>
      </c>
      <c r="G979" t="s">
        <v>60</v>
      </c>
      <c r="H979" t="s">
        <v>1049</v>
      </c>
      <c r="I979">
        <v>1</v>
      </c>
      <c r="J979" t="s">
        <v>39</v>
      </c>
      <c r="K979">
        <v>2</v>
      </c>
      <c r="L979">
        <v>1</v>
      </c>
      <c r="M979" t="s">
        <v>47</v>
      </c>
      <c r="N979">
        <v>3</v>
      </c>
      <c r="O979" t="s">
        <v>52</v>
      </c>
      <c r="P979" s="1">
        <v>2029</v>
      </c>
      <c r="Q979" t="s">
        <v>72</v>
      </c>
      <c r="R979" t="s">
        <v>43</v>
      </c>
      <c r="S979">
        <v>4</v>
      </c>
      <c r="T979">
        <v>5</v>
      </c>
      <c r="U979">
        <v>3</v>
      </c>
      <c r="V979">
        <v>5</v>
      </c>
      <c r="W979">
        <v>4</v>
      </c>
      <c r="X979">
        <v>0</v>
      </c>
      <c r="Y979">
        <v>0</v>
      </c>
      <c r="Z979" t="s">
        <v>1551</v>
      </c>
      <c r="AA979" t="s">
        <v>78</v>
      </c>
      <c r="AB979" t="str" cm="1">
        <f t="array" ref="AB979">_xlfn.IFS(cleaned_data[[#This Row],[YearsAtCompany]]&lt;=5, "0-5",cleaned_data[[#This Row],[YearsAtCompany]]&lt;=10,"6-10",TRUE,"10+")</f>
        <v>0-5</v>
      </c>
    </row>
    <row r="980" spans="1:28" x14ac:dyDescent="0.3">
      <c r="A980" s="2">
        <v>40</v>
      </c>
      <c r="B980" t="s">
        <v>43</v>
      </c>
      <c r="C980">
        <v>0</v>
      </c>
      <c r="D980" t="s">
        <v>36</v>
      </c>
      <c r="E980" t="s">
        <v>45</v>
      </c>
      <c r="F980">
        <v>2</v>
      </c>
      <c r="G980" t="s">
        <v>51</v>
      </c>
      <c r="H980" t="s">
        <v>1050</v>
      </c>
      <c r="I980">
        <v>2</v>
      </c>
      <c r="J980" t="s">
        <v>39</v>
      </c>
      <c r="K980">
        <v>4</v>
      </c>
      <c r="L980">
        <v>2</v>
      </c>
      <c r="M980" t="s">
        <v>54</v>
      </c>
      <c r="N980">
        <v>3</v>
      </c>
      <c r="O980" t="s">
        <v>52</v>
      </c>
      <c r="P980" s="1">
        <v>6377</v>
      </c>
      <c r="Q980" t="s">
        <v>67</v>
      </c>
      <c r="R980" t="s">
        <v>43</v>
      </c>
      <c r="S980">
        <v>4</v>
      </c>
      <c r="T980">
        <v>15</v>
      </c>
      <c r="U980">
        <v>3</v>
      </c>
      <c r="V980">
        <v>12</v>
      </c>
      <c r="W980">
        <v>11</v>
      </c>
      <c r="X980">
        <v>11</v>
      </c>
      <c r="Y980">
        <v>8</v>
      </c>
      <c r="Z980" t="s">
        <v>1550</v>
      </c>
      <c r="AA980" t="s">
        <v>69</v>
      </c>
      <c r="AB980" t="str" cm="1">
        <f t="array" ref="AB980">_xlfn.IFS(cleaned_data[[#This Row],[YearsAtCompany]]&lt;=5, "0-5",cleaned_data[[#This Row],[YearsAtCompany]]&lt;=10,"6-10",TRUE,"10+")</f>
        <v>10+</v>
      </c>
    </row>
    <row r="981" spans="1:28" x14ac:dyDescent="0.3">
      <c r="A981" s="2">
        <v>34</v>
      </c>
      <c r="B981" t="s">
        <v>43</v>
      </c>
      <c r="C981">
        <v>0</v>
      </c>
      <c r="D981" t="s">
        <v>36</v>
      </c>
      <c r="E981" t="s">
        <v>45</v>
      </c>
      <c r="F981">
        <v>29</v>
      </c>
      <c r="G981" t="s">
        <v>51</v>
      </c>
      <c r="H981" t="s">
        <v>1051</v>
      </c>
      <c r="I981">
        <v>2</v>
      </c>
      <c r="J981" t="s">
        <v>46</v>
      </c>
      <c r="K981">
        <v>3</v>
      </c>
      <c r="L981">
        <v>2</v>
      </c>
      <c r="M981" t="s">
        <v>50</v>
      </c>
      <c r="N981">
        <v>3</v>
      </c>
      <c r="O981" t="s">
        <v>48</v>
      </c>
      <c r="P981" s="1">
        <v>5429</v>
      </c>
      <c r="Q981" t="s">
        <v>67</v>
      </c>
      <c r="R981" t="s">
        <v>43</v>
      </c>
      <c r="S981">
        <v>3</v>
      </c>
      <c r="T981">
        <v>10</v>
      </c>
      <c r="U981">
        <v>3</v>
      </c>
      <c r="V981">
        <v>8</v>
      </c>
      <c r="W981">
        <v>7</v>
      </c>
      <c r="X981">
        <v>7</v>
      </c>
      <c r="Y981">
        <v>7</v>
      </c>
      <c r="Z981" t="s">
        <v>1551</v>
      </c>
      <c r="AA981" t="s">
        <v>69</v>
      </c>
      <c r="AB981" t="str" cm="1">
        <f t="array" ref="AB981">_xlfn.IFS(cleaned_data[[#This Row],[YearsAtCompany]]&lt;=5, "0-5",cleaned_data[[#This Row],[YearsAtCompany]]&lt;=10,"6-10",TRUE,"10+")</f>
        <v>6-10</v>
      </c>
    </row>
    <row r="982" spans="1:28" x14ac:dyDescent="0.3">
      <c r="A982" s="2">
        <v>31</v>
      </c>
      <c r="B982" t="s">
        <v>35</v>
      </c>
      <c r="C982">
        <v>1</v>
      </c>
      <c r="D982" t="s">
        <v>44</v>
      </c>
      <c r="E982" t="s">
        <v>37</v>
      </c>
      <c r="F982">
        <v>2</v>
      </c>
      <c r="G982" t="s">
        <v>38</v>
      </c>
      <c r="H982" t="s">
        <v>1052</v>
      </c>
      <c r="I982">
        <v>3</v>
      </c>
      <c r="J982" t="s">
        <v>39</v>
      </c>
      <c r="K982">
        <v>2</v>
      </c>
      <c r="L982">
        <v>1</v>
      </c>
      <c r="M982" t="s">
        <v>57</v>
      </c>
      <c r="N982">
        <v>4</v>
      </c>
      <c r="O982" t="s">
        <v>41</v>
      </c>
      <c r="P982" s="1">
        <v>2785</v>
      </c>
      <c r="Q982" t="s">
        <v>72</v>
      </c>
      <c r="R982" t="s">
        <v>43</v>
      </c>
      <c r="S982">
        <v>3</v>
      </c>
      <c r="T982">
        <v>3</v>
      </c>
      <c r="U982">
        <v>4</v>
      </c>
      <c r="V982">
        <v>1</v>
      </c>
      <c r="W982">
        <v>0</v>
      </c>
      <c r="X982">
        <v>0</v>
      </c>
      <c r="Y982">
        <v>0</v>
      </c>
      <c r="Z982" t="s">
        <v>1551</v>
      </c>
      <c r="AA982" t="s">
        <v>78</v>
      </c>
      <c r="AB982" t="str" cm="1">
        <f t="array" ref="AB982">_xlfn.IFS(cleaned_data[[#This Row],[YearsAtCompany]]&lt;=5, "0-5",cleaned_data[[#This Row],[YearsAtCompany]]&lt;=10,"6-10",TRUE,"10+")</f>
        <v>0-5</v>
      </c>
    </row>
    <row r="983" spans="1:28" x14ac:dyDescent="0.3">
      <c r="A983" s="2">
        <v>35</v>
      </c>
      <c r="B983" t="s">
        <v>35</v>
      </c>
      <c r="C983">
        <v>1</v>
      </c>
      <c r="D983" t="s">
        <v>44</v>
      </c>
      <c r="E983" t="s">
        <v>37</v>
      </c>
      <c r="F983">
        <v>18</v>
      </c>
      <c r="G983" t="s">
        <v>59</v>
      </c>
      <c r="H983" t="s">
        <v>1053</v>
      </c>
      <c r="I983">
        <v>4</v>
      </c>
      <c r="J983" t="s">
        <v>39</v>
      </c>
      <c r="K983">
        <v>3</v>
      </c>
      <c r="L983">
        <v>2</v>
      </c>
      <c r="M983" t="s">
        <v>40</v>
      </c>
      <c r="N983">
        <v>3</v>
      </c>
      <c r="O983" t="s">
        <v>48</v>
      </c>
      <c r="P983" s="1">
        <v>4614</v>
      </c>
      <c r="Q983" t="s">
        <v>72</v>
      </c>
      <c r="R983" t="s">
        <v>35</v>
      </c>
      <c r="S983">
        <v>3</v>
      </c>
      <c r="T983">
        <v>5</v>
      </c>
      <c r="U983">
        <v>2</v>
      </c>
      <c r="V983">
        <v>4</v>
      </c>
      <c r="W983">
        <v>2</v>
      </c>
      <c r="X983">
        <v>3</v>
      </c>
      <c r="Y983">
        <v>2</v>
      </c>
      <c r="Z983" t="s">
        <v>1551</v>
      </c>
      <c r="AA983" t="s">
        <v>78</v>
      </c>
      <c r="AB983" t="str" cm="1">
        <f t="array" ref="AB983">_xlfn.IFS(cleaned_data[[#This Row],[YearsAtCompany]]&lt;=5, "0-5",cleaned_data[[#This Row],[YearsAtCompany]]&lt;=10,"6-10",TRUE,"10+")</f>
        <v>0-5</v>
      </c>
    </row>
    <row r="984" spans="1:28" x14ac:dyDescent="0.3">
      <c r="A984" s="2">
        <v>38</v>
      </c>
      <c r="B984" t="s">
        <v>43</v>
      </c>
      <c r="C984">
        <v>0</v>
      </c>
      <c r="D984" t="s">
        <v>44</v>
      </c>
      <c r="E984" t="s">
        <v>45</v>
      </c>
      <c r="F984">
        <v>7</v>
      </c>
      <c r="G984" t="s">
        <v>38</v>
      </c>
      <c r="H984" t="s">
        <v>1054</v>
      </c>
      <c r="I984">
        <v>4</v>
      </c>
      <c r="J984" t="s">
        <v>46</v>
      </c>
      <c r="K984">
        <v>4</v>
      </c>
      <c r="L984">
        <v>1</v>
      </c>
      <c r="M984" t="s">
        <v>47</v>
      </c>
      <c r="N984">
        <v>3</v>
      </c>
      <c r="O984" t="s">
        <v>52</v>
      </c>
      <c r="P984" s="1">
        <v>2610</v>
      </c>
      <c r="Q984" t="s">
        <v>72</v>
      </c>
      <c r="R984" t="s">
        <v>43</v>
      </c>
      <c r="S984">
        <v>3</v>
      </c>
      <c r="T984">
        <v>4</v>
      </c>
      <c r="U984">
        <v>3</v>
      </c>
      <c r="V984">
        <v>4</v>
      </c>
      <c r="W984">
        <v>2</v>
      </c>
      <c r="X984">
        <v>0</v>
      </c>
      <c r="Y984">
        <v>3</v>
      </c>
      <c r="Z984" t="s">
        <v>1550</v>
      </c>
      <c r="AA984" t="s">
        <v>78</v>
      </c>
      <c r="AB984" t="str" cm="1">
        <f t="array" ref="AB984">_xlfn.IFS(cleaned_data[[#This Row],[YearsAtCompany]]&lt;=5, "0-5",cleaned_data[[#This Row],[YearsAtCompany]]&lt;=10,"6-10",TRUE,"10+")</f>
        <v>0-5</v>
      </c>
    </row>
    <row r="985" spans="1:28" x14ac:dyDescent="0.3">
      <c r="A985" s="2">
        <v>34</v>
      </c>
      <c r="B985" t="s">
        <v>43</v>
      </c>
      <c r="C985">
        <v>0</v>
      </c>
      <c r="D985" t="s">
        <v>36</v>
      </c>
      <c r="E985" t="s">
        <v>45</v>
      </c>
      <c r="F985">
        <v>2</v>
      </c>
      <c r="G985" t="s">
        <v>60</v>
      </c>
      <c r="H985" t="s">
        <v>1055</v>
      </c>
      <c r="I985">
        <v>3</v>
      </c>
      <c r="J985" t="s">
        <v>39</v>
      </c>
      <c r="K985">
        <v>3</v>
      </c>
      <c r="L985">
        <v>2</v>
      </c>
      <c r="M985" t="s">
        <v>54</v>
      </c>
      <c r="N985">
        <v>4</v>
      </c>
      <c r="O985" t="s">
        <v>41</v>
      </c>
      <c r="P985" s="1">
        <v>6687</v>
      </c>
      <c r="Q985" t="s">
        <v>67</v>
      </c>
      <c r="R985" t="s">
        <v>43</v>
      </c>
      <c r="S985">
        <v>3</v>
      </c>
      <c r="T985">
        <v>14</v>
      </c>
      <c r="U985">
        <v>4</v>
      </c>
      <c r="V985">
        <v>14</v>
      </c>
      <c r="W985">
        <v>11</v>
      </c>
      <c r="X985">
        <v>4</v>
      </c>
      <c r="Y985">
        <v>11</v>
      </c>
      <c r="Z985" t="s">
        <v>1551</v>
      </c>
      <c r="AA985" t="s">
        <v>69</v>
      </c>
      <c r="AB985" t="str" cm="1">
        <f t="array" ref="AB985">_xlfn.IFS(cleaned_data[[#This Row],[YearsAtCompany]]&lt;=5, "0-5",cleaned_data[[#This Row],[YearsAtCompany]]&lt;=10,"6-10",TRUE,"10+")</f>
        <v>10+</v>
      </c>
    </row>
    <row r="986" spans="1:28" x14ac:dyDescent="0.3">
      <c r="A986" s="2">
        <v>28</v>
      </c>
      <c r="B986" t="s">
        <v>43</v>
      </c>
      <c r="C986">
        <v>0</v>
      </c>
      <c r="D986" t="s">
        <v>36</v>
      </c>
      <c r="E986" t="s">
        <v>37</v>
      </c>
      <c r="F986">
        <v>26</v>
      </c>
      <c r="G986" t="s">
        <v>38</v>
      </c>
      <c r="H986" t="s">
        <v>1056</v>
      </c>
      <c r="I986">
        <v>3</v>
      </c>
      <c r="J986" t="s">
        <v>46</v>
      </c>
      <c r="K986">
        <v>2</v>
      </c>
      <c r="L986">
        <v>2</v>
      </c>
      <c r="M986" t="s">
        <v>40</v>
      </c>
      <c r="N986">
        <v>1</v>
      </c>
      <c r="O986" t="s">
        <v>48</v>
      </c>
      <c r="P986" s="6">
        <v>4724</v>
      </c>
      <c r="Q986" t="s">
        <v>72</v>
      </c>
      <c r="R986" t="s">
        <v>43</v>
      </c>
      <c r="S986">
        <v>3</v>
      </c>
      <c r="T986">
        <v>5</v>
      </c>
      <c r="U986">
        <v>3</v>
      </c>
      <c r="V986">
        <v>5</v>
      </c>
      <c r="W986">
        <v>3</v>
      </c>
      <c r="X986">
        <v>0</v>
      </c>
      <c r="Y986">
        <v>4</v>
      </c>
      <c r="Z986" t="s">
        <v>1551</v>
      </c>
      <c r="AA986" t="s">
        <v>78</v>
      </c>
      <c r="AB986" t="str" cm="1">
        <f t="array" ref="AB986">_xlfn.IFS(cleaned_data[[#This Row],[YearsAtCompany]]&lt;=5, "0-5",cleaned_data[[#This Row],[YearsAtCompany]]&lt;=10,"6-10",TRUE,"10+")</f>
        <v>0-5</v>
      </c>
    </row>
    <row r="987" spans="1:28" x14ac:dyDescent="0.3">
      <c r="A987" s="2">
        <v>31</v>
      </c>
      <c r="B987" t="s">
        <v>35</v>
      </c>
      <c r="C987">
        <v>1</v>
      </c>
      <c r="D987" t="s">
        <v>36</v>
      </c>
      <c r="E987" t="s">
        <v>45</v>
      </c>
      <c r="F987">
        <v>22</v>
      </c>
      <c r="G987" t="s">
        <v>51</v>
      </c>
      <c r="H987" t="s">
        <v>1057</v>
      </c>
      <c r="I987">
        <v>4</v>
      </c>
      <c r="J987" t="s">
        <v>46</v>
      </c>
      <c r="K987">
        <v>3</v>
      </c>
      <c r="L987">
        <v>2</v>
      </c>
      <c r="M987" t="s">
        <v>53</v>
      </c>
      <c r="N987">
        <v>3</v>
      </c>
      <c r="O987" t="s">
        <v>48</v>
      </c>
      <c r="P987" s="1">
        <v>6179</v>
      </c>
      <c r="Q987" t="s">
        <v>67</v>
      </c>
      <c r="R987" t="s">
        <v>35</v>
      </c>
      <c r="S987">
        <v>3</v>
      </c>
      <c r="T987">
        <v>10</v>
      </c>
      <c r="U987">
        <v>2</v>
      </c>
      <c r="V987">
        <v>10</v>
      </c>
      <c r="W987">
        <v>2</v>
      </c>
      <c r="X987">
        <v>6</v>
      </c>
      <c r="Y987">
        <v>7</v>
      </c>
      <c r="Z987" t="s">
        <v>1551</v>
      </c>
      <c r="AA987" t="s">
        <v>69</v>
      </c>
      <c r="AB987" t="str" cm="1">
        <f t="array" ref="AB987">_xlfn.IFS(cleaned_data[[#This Row],[YearsAtCompany]]&lt;=5, "0-5",cleaned_data[[#This Row],[YearsAtCompany]]&lt;=10,"6-10",TRUE,"10+")</f>
        <v>6-10</v>
      </c>
    </row>
    <row r="988" spans="1:28" x14ac:dyDescent="0.3">
      <c r="A988" s="2">
        <v>39</v>
      </c>
      <c r="B988" t="s">
        <v>43</v>
      </c>
      <c r="C988">
        <v>0</v>
      </c>
      <c r="D988" t="s">
        <v>36</v>
      </c>
      <c r="E988" t="s">
        <v>37</v>
      </c>
      <c r="F988">
        <v>21</v>
      </c>
      <c r="G988" t="s">
        <v>38</v>
      </c>
      <c r="H988" t="s">
        <v>1058</v>
      </c>
      <c r="I988">
        <v>1</v>
      </c>
      <c r="J988" t="s">
        <v>46</v>
      </c>
      <c r="K988">
        <v>2</v>
      </c>
      <c r="L988">
        <v>2</v>
      </c>
      <c r="M988" t="s">
        <v>40</v>
      </c>
      <c r="N988">
        <v>4</v>
      </c>
      <c r="O988" t="s">
        <v>48</v>
      </c>
      <c r="P988" s="1">
        <v>6120</v>
      </c>
      <c r="Q988" t="s">
        <v>67</v>
      </c>
      <c r="R988" t="s">
        <v>35</v>
      </c>
      <c r="S988">
        <v>3</v>
      </c>
      <c r="T988">
        <v>8</v>
      </c>
      <c r="U988">
        <v>4</v>
      </c>
      <c r="V988">
        <v>5</v>
      </c>
      <c r="W988">
        <v>4</v>
      </c>
      <c r="X988">
        <v>1</v>
      </c>
      <c r="Y988">
        <v>4</v>
      </c>
      <c r="Z988" t="s">
        <v>1550</v>
      </c>
      <c r="AA988" t="s">
        <v>69</v>
      </c>
      <c r="AB988" t="str" cm="1">
        <f t="array" ref="AB988">_xlfn.IFS(cleaned_data[[#This Row],[YearsAtCompany]]&lt;=5, "0-5",cleaned_data[[#This Row],[YearsAtCompany]]&lt;=10,"6-10",TRUE,"10+")</f>
        <v>0-5</v>
      </c>
    </row>
    <row r="989" spans="1:28" x14ac:dyDescent="0.3">
      <c r="A989" s="2">
        <v>51</v>
      </c>
      <c r="B989" t="s">
        <v>43</v>
      </c>
      <c r="C989">
        <v>0</v>
      </c>
      <c r="D989" t="s">
        <v>44</v>
      </c>
      <c r="E989" t="s">
        <v>37</v>
      </c>
      <c r="F989">
        <v>2</v>
      </c>
      <c r="G989" t="s">
        <v>59</v>
      </c>
      <c r="H989" t="s">
        <v>1059</v>
      </c>
      <c r="I989">
        <v>2</v>
      </c>
      <c r="J989" t="s">
        <v>46</v>
      </c>
      <c r="K989">
        <v>3</v>
      </c>
      <c r="L989">
        <v>3</v>
      </c>
      <c r="M989" t="s">
        <v>40</v>
      </c>
      <c r="N989">
        <v>2</v>
      </c>
      <c r="O989" t="s">
        <v>48</v>
      </c>
      <c r="P989" s="1">
        <v>10596</v>
      </c>
      <c r="Q989" t="s">
        <v>67</v>
      </c>
      <c r="R989" t="s">
        <v>43</v>
      </c>
      <c r="S989">
        <v>3</v>
      </c>
      <c r="T989">
        <v>14</v>
      </c>
      <c r="U989">
        <v>3</v>
      </c>
      <c r="V989">
        <v>4</v>
      </c>
      <c r="W989">
        <v>2</v>
      </c>
      <c r="X989">
        <v>3</v>
      </c>
      <c r="Y989">
        <v>2</v>
      </c>
      <c r="Z989" t="s">
        <v>106</v>
      </c>
      <c r="AA989" t="s">
        <v>69</v>
      </c>
      <c r="AB989" t="str" cm="1">
        <f t="array" ref="AB989">_xlfn.IFS(cleaned_data[[#This Row],[YearsAtCompany]]&lt;=5, "0-5",cleaned_data[[#This Row],[YearsAtCompany]]&lt;=10,"6-10",TRUE,"10+")</f>
        <v>0-5</v>
      </c>
    </row>
    <row r="990" spans="1:28" x14ac:dyDescent="0.3">
      <c r="A990" s="2">
        <v>41</v>
      </c>
      <c r="B990" t="s">
        <v>43</v>
      </c>
      <c r="C990">
        <v>0</v>
      </c>
      <c r="D990" t="s">
        <v>44</v>
      </c>
      <c r="E990" t="s">
        <v>45</v>
      </c>
      <c r="F990">
        <v>22</v>
      </c>
      <c r="G990" t="s">
        <v>38</v>
      </c>
      <c r="H990" t="s">
        <v>1060</v>
      </c>
      <c r="I990">
        <v>4</v>
      </c>
      <c r="J990" t="s">
        <v>39</v>
      </c>
      <c r="K990">
        <v>3</v>
      </c>
      <c r="L990">
        <v>2</v>
      </c>
      <c r="M990" t="s">
        <v>47</v>
      </c>
      <c r="N990">
        <v>4</v>
      </c>
      <c r="O990" t="s">
        <v>52</v>
      </c>
      <c r="P990" s="1">
        <v>5467</v>
      </c>
      <c r="Q990" t="s">
        <v>67</v>
      </c>
      <c r="R990" t="s">
        <v>35</v>
      </c>
      <c r="S990">
        <v>3</v>
      </c>
      <c r="T990">
        <v>12</v>
      </c>
      <c r="U990">
        <v>2</v>
      </c>
      <c r="V990">
        <v>6</v>
      </c>
      <c r="W990">
        <v>2</v>
      </c>
      <c r="X990">
        <v>3</v>
      </c>
      <c r="Y990">
        <v>3</v>
      </c>
      <c r="Z990" t="s">
        <v>1550</v>
      </c>
      <c r="AA990" t="s">
        <v>69</v>
      </c>
      <c r="AB990" t="str" cm="1">
        <f t="array" ref="AB990">_xlfn.IFS(cleaned_data[[#This Row],[YearsAtCompany]]&lt;=5, "0-5",cleaned_data[[#This Row],[YearsAtCompany]]&lt;=10,"6-10",TRUE,"10+")</f>
        <v>6-10</v>
      </c>
    </row>
    <row r="991" spans="1:28" x14ac:dyDescent="0.3">
      <c r="A991" s="2">
        <v>37</v>
      </c>
      <c r="B991" t="s">
        <v>43</v>
      </c>
      <c r="C991">
        <v>0</v>
      </c>
      <c r="D991" t="s">
        <v>36</v>
      </c>
      <c r="E991" t="s">
        <v>45</v>
      </c>
      <c r="F991">
        <v>4</v>
      </c>
      <c r="G991" t="s">
        <v>38</v>
      </c>
      <c r="H991" t="s">
        <v>1061</v>
      </c>
      <c r="I991">
        <v>3</v>
      </c>
      <c r="J991" t="s">
        <v>46</v>
      </c>
      <c r="K991">
        <v>3</v>
      </c>
      <c r="L991">
        <v>1</v>
      </c>
      <c r="M991" t="s">
        <v>47</v>
      </c>
      <c r="N991">
        <v>3</v>
      </c>
      <c r="O991" t="s">
        <v>48</v>
      </c>
      <c r="P991" s="1">
        <v>2996</v>
      </c>
      <c r="Q991" t="s">
        <v>72</v>
      </c>
      <c r="R991" t="s">
        <v>35</v>
      </c>
      <c r="S991">
        <v>3</v>
      </c>
      <c r="T991">
        <v>8</v>
      </c>
      <c r="U991">
        <v>3</v>
      </c>
      <c r="V991">
        <v>6</v>
      </c>
      <c r="W991">
        <v>4</v>
      </c>
      <c r="X991">
        <v>1</v>
      </c>
      <c r="Y991">
        <v>3</v>
      </c>
      <c r="Z991" t="s">
        <v>1550</v>
      </c>
      <c r="AA991" t="s">
        <v>69</v>
      </c>
      <c r="AB991" t="str" cm="1">
        <f t="array" ref="AB991">_xlfn.IFS(cleaned_data[[#This Row],[YearsAtCompany]]&lt;=5, "0-5",cleaned_data[[#This Row],[YearsAtCompany]]&lt;=10,"6-10",TRUE,"10+")</f>
        <v>6-10</v>
      </c>
    </row>
    <row r="992" spans="1:28" x14ac:dyDescent="0.3">
      <c r="A992" s="2">
        <v>33</v>
      </c>
      <c r="B992" t="s">
        <v>43</v>
      </c>
      <c r="C992">
        <v>0</v>
      </c>
      <c r="D992" t="s">
        <v>44</v>
      </c>
      <c r="E992" t="s">
        <v>37</v>
      </c>
      <c r="F992">
        <v>5</v>
      </c>
      <c r="G992" t="s">
        <v>38</v>
      </c>
      <c r="H992" t="s">
        <v>1062</v>
      </c>
      <c r="I992">
        <v>2</v>
      </c>
      <c r="J992" t="s">
        <v>46</v>
      </c>
      <c r="K992">
        <v>3</v>
      </c>
      <c r="L992">
        <v>2</v>
      </c>
      <c r="M992" t="s">
        <v>40</v>
      </c>
      <c r="N992">
        <v>4</v>
      </c>
      <c r="O992" t="s">
        <v>48</v>
      </c>
      <c r="P992" s="1">
        <v>9998</v>
      </c>
      <c r="Q992" t="s">
        <v>67</v>
      </c>
      <c r="R992" t="s">
        <v>43</v>
      </c>
      <c r="S992">
        <v>3</v>
      </c>
      <c r="T992">
        <v>8</v>
      </c>
      <c r="U992">
        <v>4</v>
      </c>
      <c r="V992">
        <v>5</v>
      </c>
      <c r="W992">
        <v>4</v>
      </c>
      <c r="X992">
        <v>1</v>
      </c>
      <c r="Y992">
        <v>2</v>
      </c>
      <c r="Z992" t="s">
        <v>1551</v>
      </c>
      <c r="AA992" t="s">
        <v>69</v>
      </c>
      <c r="AB992" t="str" cm="1">
        <f t="array" ref="AB992">_xlfn.IFS(cleaned_data[[#This Row],[YearsAtCompany]]&lt;=5, "0-5",cleaned_data[[#This Row],[YearsAtCompany]]&lt;=10,"6-10",TRUE,"10+")</f>
        <v>0-5</v>
      </c>
    </row>
    <row r="993" spans="1:28" x14ac:dyDescent="0.3">
      <c r="A993" s="2">
        <v>32</v>
      </c>
      <c r="B993" t="s">
        <v>43</v>
      </c>
      <c r="C993">
        <v>0</v>
      </c>
      <c r="D993" t="s">
        <v>36</v>
      </c>
      <c r="E993" t="s">
        <v>37</v>
      </c>
      <c r="F993">
        <v>2</v>
      </c>
      <c r="G993" t="s">
        <v>59</v>
      </c>
      <c r="H993" t="s">
        <v>1063</v>
      </c>
      <c r="I993">
        <v>3</v>
      </c>
      <c r="J993" t="s">
        <v>46</v>
      </c>
      <c r="K993">
        <v>3</v>
      </c>
      <c r="L993">
        <v>2</v>
      </c>
      <c r="M993" t="s">
        <v>40</v>
      </c>
      <c r="N993">
        <v>2</v>
      </c>
      <c r="O993" t="s">
        <v>48</v>
      </c>
      <c r="P993" s="1">
        <v>4078</v>
      </c>
      <c r="Q993" t="s">
        <v>72</v>
      </c>
      <c r="R993" t="s">
        <v>35</v>
      </c>
      <c r="S993">
        <v>3</v>
      </c>
      <c r="T993">
        <v>4</v>
      </c>
      <c r="U993">
        <v>2</v>
      </c>
      <c r="V993">
        <v>3</v>
      </c>
      <c r="W993">
        <v>2</v>
      </c>
      <c r="X993">
        <v>1</v>
      </c>
      <c r="Y993">
        <v>2</v>
      </c>
      <c r="Z993" t="s">
        <v>1551</v>
      </c>
      <c r="AA993" t="s">
        <v>78</v>
      </c>
      <c r="AB993" t="str" cm="1">
        <f t="array" ref="AB993">_xlfn.IFS(cleaned_data[[#This Row],[YearsAtCompany]]&lt;=5, "0-5",cleaned_data[[#This Row],[YearsAtCompany]]&lt;=10,"6-10",TRUE,"10+")</f>
        <v>0-5</v>
      </c>
    </row>
    <row r="994" spans="1:28" x14ac:dyDescent="0.3">
      <c r="A994" s="2">
        <v>39</v>
      </c>
      <c r="B994" t="s">
        <v>43</v>
      </c>
      <c r="C994">
        <v>0</v>
      </c>
      <c r="D994" t="s">
        <v>55</v>
      </c>
      <c r="E994" t="s">
        <v>45</v>
      </c>
      <c r="F994">
        <v>25</v>
      </c>
      <c r="G994" t="s">
        <v>38</v>
      </c>
      <c r="H994" t="s">
        <v>1064</v>
      </c>
      <c r="I994">
        <v>3</v>
      </c>
      <c r="J994" t="s">
        <v>46</v>
      </c>
      <c r="K994">
        <v>3</v>
      </c>
      <c r="L994">
        <v>3</v>
      </c>
      <c r="M994" t="s">
        <v>54</v>
      </c>
      <c r="N994">
        <v>3</v>
      </c>
      <c r="O994" t="s">
        <v>48</v>
      </c>
      <c r="P994" s="1">
        <v>10920</v>
      </c>
      <c r="Q994" t="s">
        <v>67</v>
      </c>
      <c r="R994" t="s">
        <v>43</v>
      </c>
      <c r="S994">
        <v>4</v>
      </c>
      <c r="T994">
        <v>13</v>
      </c>
      <c r="U994">
        <v>3</v>
      </c>
      <c r="V994">
        <v>6</v>
      </c>
      <c r="W994">
        <v>4</v>
      </c>
      <c r="X994">
        <v>0</v>
      </c>
      <c r="Y994">
        <v>5</v>
      </c>
      <c r="Z994" t="s">
        <v>1550</v>
      </c>
      <c r="AA994" t="s">
        <v>69</v>
      </c>
      <c r="AB994" t="str" cm="1">
        <f t="array" ref="AB994">_xlfn.IFS(cleaned_data[[#This Row],[YearsAtCompany]]&lt;=5, "0-5",cleaned_data[[#This Row],[YearsAtCompany]]&lt;=10,"6-10",TRUE,"10+")</f>
        <v>6-10</v>
      </c>
    </row>
    <row r="995" spans="1:28" x14ac:dyDescent="0.3">
      <c r="A995" s="2">
        <v>25</v>
      </c>
      <c r="B995" t="s">
        <v>43</v>
      </c>
      <c r="C995">
        <v>0</v>
      </c>
      <c r="D995" t="s">
        <v>36</v>
      </c>
      <c r="E995" t="s">
        <v>37</v>
      </c>
      <c r="F995">
        <v>18</v>
      </c>
      <c r="G995" t="s">
        <v>38</v>
      </c>
      <c r="H995" t="s">
        <v>1065</v>
      </c>
      <c r="I995">
        <v>1</v>
      </c>
      <c r="J995" t="s">
        <v>46</v>
      </c>
      <c r="K995">
        <v>4</v>
      </c>
      <c r="L995">
        <v>2</v>
      </c>
      <c r="M995" t="s">
        <v>40</v>
      </c>
      <c r="N995">
        <v>3</v>
      </c>
      <c r="O995" t="s">
        <v>48</v>
      </c>
      <c r="P995" s="1">
        <v>6232</v>
      </c>
      <c r="Q995" t="s">
        <v>67</v>
      </c>
      <c r="R995" t="s">
        <v>43</v>
      </c>
      <c r="S995">
        <v>3</v>
      </c>
      <c r="T995">
        <v>6</v>
      </c>
      <c r="U995">
        <v>2</v>
      </c>
      <c r="V995">
        <v>3</v>
      </c>
      <c r="W995">
        <v>2</v>
      </c>
      <c r="X995">
        <v>1</v>
      </c>
      <c r="Y995">
        <v>2</v>
      </c>
      <c r="Z995" t="s">
        <v>68</v>
      </c>
      <c r="AA995" t="s">
        <v>69</v>
      </c>
      <c r="AB995" t="str" cm="1">
        <f t="array" ref="AB995">_xlfn.IFS(cleaned_data[[#This Row],[YearsAtCompany]]&lt;=5, "0-5",cleaned_data[[#This Row],[YearsAtCompany]]&lt;=10,"6-10",TRUE,"10+")</f>
        <v>0-5</v>
      </c>
    </row>
    <row r="996" spans="1:28" x14ac:dyDescent="0.3">
      <c r="A996" s="2">
        <v>52</v>
      </c>
      <c r="B996" t="s">
        <v>43</v>
      </c>
      <c r="C996">
        <v>0</v>
      </c>
      <c r="D996" t="s">
        <v>44</v>
      </c>
      <c r="E996" t="s">
        <v>45</v>
      </c>
      <c r="F996">
        <v>28</v>
      </c>
      <c r="G996" t="s">
        <v>51</v>
      </c>
      <c r="H996" t="s">
        <v>1066</v>
      </c>
      <c r="I996">
        <v>4</v>
      </c>
      <c r="J996" t="s">
        <v>39</v>
      </c>
      <c r="K996">
        <v>4</v>
      </c>
      <c r="L996">
        <v>4</v>
      </c>
      <c r="M996" t="s">
        <v>53</v>
      </c>
      <c r="N996">
        <v>3</v>
      </c>
      <c r="O996" t="s">
        <v>48</v>
      </c>
      <c r="P996" s="1">
        <v>13247</v>
      </c>
      <c r="Q996" t="s">
        <v>90</v>
      </c>
      <c r="R996" t="s">
        <v>35</v>
      </c>
      <c r="S996">
        <v>3</v>
      </c>
      <c r="T996">
        <v>24</v>
      </c>
      <c r="U996">
        <v>2</v>
      </c>
      <c r="V996">
        <v>5</v>
      </c>
      <c r="W996">
        <v>3</v>
      </c>
      <c r="X996">
        <v>0</v>
      </c>
      <c r="Y996">
        <v>2</v>
      </c>
      <c r="Z996" t="s">
        <v>106</v>
      </c>
      <c r="AA996" t="s">
        <v>82</v>
      </c>
      <c r="AB996" t="str" cm="1">
        <f t="array" ref="AB996">_xlfn.IFS(cleaned_data[[#This Row],[YearsAtCompany]]&lt;=5, "0-5",cleaned_data[[#This Row],[YearsAtCompany]]&lt;=10,"6-10",TRUE,"10+")</f>
        <v>0-5</v>
      </c>
    </row>
    <row r="997" spans="1:28" x14ac:dyDescent="0.3">
      <c r="A997" s="2">
        <v>43</v>
      </c>
      <c r="B997" t="s">
        <v>43</v>
      </c>
      <c r="C997">
        <v>0</v>
      </c>
      <c r="D997" t="s">
        <v>36</v>
      </c>
      <c r="E997" t="s">
        <v>45</v>
      </c>
      <c r="F997">
        <v>6</v>
      </c>
      <c r="G997" t="s">
        <v>51</v>
      </c>
      <c r="H997" t="s">
        <v>1067</v>
      </c>
      <c r="I997">
        <v>1</v>
      </c>
      <c r="J997" t="s">
        <v>39</v>
      </c>
      <c r="K997">
        <v>2</v>
      </c>
      <c r="L997">
        <v>2</v>
      </c>
      <c r="M997" t="s">
        <v>47</v>
      </c>
      <c r="N997">
        <v>3</v>
      </c>
      <c r="O997" t="s">
        <v>41</v>
      </c>
      <c r="P997" s="1">
        <v>4081</v>
      </c>
      <c r="Q997" t="s">
        <v>72</v>
      </c>
      <c r="R997" t="s">
        <v>35</v>
      </c>
      <c r="S997">
        <v>3</v>
      </c>
      <c r="T997">
        <v>20</v>
      </c>
      <c r="U997">
        <v>1</v>
      </c>
      <c r="V997">
        <v>20</v>
      </c>
      <c r="W997">
        <v>7</v>
      </c>
      <c r="X997">
        <v>1</v>
      </c>
      <c r="Y997">
        <v>8</v>
      </c>
      <c r="Z997" t="s">
        <v>1550</v>
      </c>
      <c r="AA997" t="s">
        <v>82</v>
      </c>
      <c r="AB997" t="str" cm="1">
        <f t="array" ref="AB997">_xlfn.IFS(cleaned_data[[#This Row],[YearsAtCompany]]&lt;=5, "0-5",cleaned_data[[#This Row],[YearsAtCompany]]&lt;=10,"6-10",TRUE,"10+")</f>
        <v>10+</v>
      </c>
    </row>
    <row r="998" spans="1:28" x14ac:dyDescent="0.3">
      <c r="A998" s="2">
        <v>27</v>
      </c>
      <c r="B998" t="s">
        <v>43</v>
      </c>
      <c r="C998">
        <v>0</v>
      </c>
      <c r="D998" t="s">
        <v>36</v>
      </c>
      <c r="E998" t="s">
        <v>37</v>
      </c>
      <c r="F998">
        <v>10</v>
      </c>
      <c r="G998" t="s">
        <v>59</v>
      </c>
      <c r="H998" t="s">
        <v>1068</v>
      </c>
      <c r="I998">
        <v>4</v>
      </c>
      <c r="J998" t="s">
        <v>39</v>
      </c>
      <c r="K998">
        <v>2</v>
      </c>
      <c r="L998">
        <v>2</v>
      </c>
      <c r="M998" t="s">
        <v>40</v>
      </c>
      <c r="N998">
        <v>4</v>
      </c>
      <c r="O998" t="s">
        <v>48</v>
      </c>
      <c r="P998" s="1">
        <v>5769</v>
      </c>
      <c r="Q998" t="s">
        <v>67</v>
      </c>
      <c r="R998" t="s">
        <v>35</v>
      </c>
      <c r="S998">
        <v>3</v>
      </c>
      <c r="T998">
        <v>6</v>
      </c>
      <c r="U998">
        <v>3</v>
      </c>
      <c r="V998">
        <v>6</v>
      </c>
      <c r="W998">
        <v>2</v>
      </c>
      <c r="X998">
        <v>4</v>
      </c>
      <c r="Y998">
        <v>4</v>
      </c>
      <c r="Z998" t="s">
        <v>1551</v>
      </c>
      <c r="AA998" t="s">
        <v>69</v>
      </c>
      <c r="AB998" t="str" cm="1">
        <f t="array" ref="AB998">_xlfn.IFS(cleaned_data[[#This Row],[YearsAtCompany]]&lt;=5, "0-5",cleaned_data[[#This Row],[YearsAtCompany]]&lt;=10,"6-10",TRUE,"10+")</f>
        <v>6-10</v>
      </c>
    </row>
    <row r="999" spans="1:28" x14ac:dyDescent="0.3">
      <c r="A999" s="2">
        <v>27</v>
      </c>
      <c r="B999" t="s">
        <v>35</v>
      </c>
      <c r="C999">
        <v>1</v>
      </c>
      <c r="D999" t="s">
        <v>36</v>
      </c>
      <c r="E999" t="s">
        <v>45</v>
      </c>
      <c r="F999">
        <v>17</v>
      </c>
      <c r="G999" t="s">
        <v>38</v>
      </c>
      <c r="H999" t="s">
        <v>1069</v>
      </c>
      <c r="I999">
        <v>4</v>
      </c>
      <c r="J999" t="s">
        <v>39</v>
      </c>
      <c r="K999">
        <v>3</v>
      </c>
      <c r="L999">
        <v>1</v>
      </c>
      <c r="M999" t="s">
        <v>47</v>
      </c>
      <c r="N999">
        <v>3</v>
      </c>
      <c r="O999" t="s">
        <v>41</v>
      </c>
      <c r="P999" s="1">
        <v>2394</v>
      </c>
      <c r="Q999" t="s">
        <v>72</v>
      </c>
      <c r="R999" t="s">
        <v>35</v>
      </c>
      <c r="S999">
        <v>3</v>
      </c>
      <c r="T999">
        <v>8</v>
      </c>
      <c r="U999">
        <v>3</v>
      </c>
      <c r="V999">
        <v>8</v>
      </c>
      <c r="W999">
        <v>2</v>
      </c>
      <c r="X999">
        <v>7</v>
      </c>
      <c r="Y999">
        <v>7</v>
      </c>
      <c r="Z999" t="s">
        <v>1551</v>
      </c>
      <c r="AA999" t="s">
        <v>69</v>
      </c>
      <c r="AB999" t="str" cm="1">
        <f t="array" ref="AB999">_xlfn.IFS(cleaned_data[[#This Row],[YearsAtCompany]]&lt;=5, "0-5",cleaned_data[[#This Row],[YearsAtCompany]]&lt;=10,"6-10",TRUE,"10+")</f>
        <v>6-10</v>
      </c>
    </row>
    <row r="1000" spans="1:28" x14ac:dyDescent="0.3">
      <c r="A1000" s="2">
        <v>26</v>
      </c>
      <c r="B1000" t="s">
        <v>43</v>
      </c>
      <c r="C1000">
        <v>0</v>
      </c>
      <c r="D1000" t="s">
        <v>36</v>
      </c>
      <c r="E1000" t="s">
        <v>45</v>
      </c>
      <c r="F1000">
        <v>2</v>
      </c>
      <c r="G1000" t="s">
        <v>51</v>
      </c>
      <c r="H1000" t="s">
        <v>1070</v>
      </c>
      <c r="I1000">
        <v>1</v>
      </c>
      <c r="J1000" t="s">
        <v>46</v>
      </c>
      <c r="K1000">
        <v>2</v>
      </c>
      <c r="L1000">
        <v>1</v>
      </c>
      <c r="M1000" t="s">
        <v>47</v>
      </c>
      <c r="N1000">
        <v>4</v>
      </c>
      <c r="O1000" t="s">
        <v>41</v>
      </c>
      <c r="P1000" s="1">
        <v>3904</v>
      </c>
      <c r="Q1000" t="s">
        <v>72</v>
      </c>
      <c r="R1000" t="s">
        <v>43</v>
      </c>
      <c r="S1000">
        <v>3</v>
      </c>
      <c r="T1000">
        <v>5</v>
      </c>
      <c r="U1000">
        <v>3</v>
      </c>
      <c r="V1000">
        <v>4</v>
      </c>
      <c r="W1000">
        <v>3</v>
      </c>
      <c r="X1000">
        <v>1</v>
      </c>
      <c r="Y1000">
        <v>1</v>
      </c>
      <c r="Z1000" t="s">
        <v>1551</v>
      </c>
      <c r="AA1000" t="s">
        <v>78</v>
      </c>
      <c r="AB1000" t="str" cm="1">
        <f t="array" ref="AB1000">_xlfn.IFS(cleaned_data[[#This Row],[YearsAtCompany]]&lt;=5, "0-5",cleaned_data[[#This Row],[YearsAtCompany]]&lt;=10,"6-10",TRUE,"10+")</f>
        <v>0-5</v>
      </c>
    </row>
    <row r="1001" spans="1:28" x14ac:dyDescent="0.3">
      <c r="A1001" s="2">
        <v>42</v>
      </c>
      <c r="B1001" t="s">
        <v>43</v>
      </c>
      <c r="C1001">
        <v>0</v>
      </c>
      <c r="D1001" t="s">
        <v>36</v>
      </c>
      <c r="E1001" t="s">
        <v>61</v>
      </c>
      <c r="F1001">
        <v>10</v>
      </c>
      <c r="G1001" t="s">
        <v>61</v>
      </c>
      <c r="H1001" t="s">
        <v>1071</v>
      </c>
      <c r="I1001">
        <v>3</v>
      </c>
      <c r="J1001" t="s">
        <v>39</v>
      </c>
      <c r="K1001">
        <v>3</v>
      </c>
      <c r="L1001">
        <v>4</v>
      </c>
      <c r="M1001" t="s">
        <v>56</v>
      </c>
      <c r="N1001">
        <v>1</v>
      </c>
      <c r="O1001" t="s">
        <v>48</v>
      </c>
      <c r="P1001" s="6">
        <v>16799</v>
      </c>
      <c r="Q1001" t="s">
        <v>90</v>
      </c>
      <c r="R1001" t="s">
        <v>43</v>
      </c>
      <c r="S1001">
        <v>3</v>
      </c>
      <c r="T1001">
        <v>21</v>
      </c>
      <c r="U1001">
        <v>3</v>
      </c>
      <c r="V1001">
        <v>20</v>
      </c>
      <c r="W1001">
        <v>7</v>
      </c>
      <c r="X1001">
        <v>0</v>
      </c>
      <c r="Y1001">
        <v>9</v>
      </c>
      <c r="Z1001" t="s">
        <v>1550</v>
      </c>
      <c r="AA1001" t="s">
        <v>82</v>
      </c>
      <c r="AB1001" t="str" cm="1">
        <f t="array" ref="AB1001">_xlfn.IFS(cleaned_data[[#This Row],[YearsAtCompany]]&lt;=5, "0-5",cleaned_data[[#This Row],[YearsAtCompany]]&lt;=10,"6-10",TRUE,"10+")</f>
        <v>10+</v>
      </c>
    </row>
    <row r="1002" spans="1:28" x14ac:dyDescent="0.3">
      <c r="A1002" s="2">
        <v>52</v>
      </c>
      <c r="B1002" t="s">
        <v>43</v>
      </c>
      <c r="C1002">
        <v>0</v>
      </c>
      <c r="D1002" t="s">
        <v>36</v>
      </c>
      <c r="E1002" t="s">
        <v>45</v>
      </c>
      <c r="F1002">
        <v>8</v>
      </c>
      <c r="G1002" t="s">
        <v>49</v>
      </c>
      <c r="H1002" t="s">
        <v>1072</v>
      </c>
      <c r="I1002">
        <v>3</v>
      </c>
      <c r="J1002" t="s">
        <v>39</v>
      </c>
      <c r="K1002">
        <v>3</v>
      </c>
      <c r="L1002">
        <v>1</v>
      </c>
      <c r="M1002" t="s">
        <v>50</v>
      </c>
      <c r="N1002">
        <v>1</v>
      </c>
      <c r="O1002" t="s">
        <v>48</v>
      </c>
      <c r="P1002" s="6">
        <v>2950</v>
      </c>
      <c r="Q1002" t="s">
        <v>72</v>
      </c>
      <c r="R1002" t="s">
        <v>43</v>
      </c>
      <c r="S1002">
        <v>3</v>
      </c>
      <c r="T1002">
        <v>12</v>
      </c>
      <c r="U1002">
        <v>1</v>
      </c>
      <c r="V1002">
        <v>5</v>
      </c>
      <c r="W1002">
        <v>4</v>
      </c>
      <c r="X1002">
        <v>0</v>
      </c>
      <c r="Y1002">
        <v>4</v>
      </c>
      <c r="Z1002" t="s">
        <v>106</v>
      </c>
      <c r="AA1002" t="s">
        <v>69</v>
      </c>
      <c r="AB1002" t="str" cm="1">
        <f t="array" ref="AB1002">_xlfn.IFS(cleaned_data[[#This Row],[YearsAtCompany]]&lt;=5, "0-5",cleaned_data[[#This Row],[YearsAtCompany]]&lt;=10,"6-10",TRUE,"10+")</f>
        <v>0-5</v>
      </c>
    </row>
    <row r="1003" spans="1:28" x14ac:dyDescent="0.3">
      <c r="A1003" s="2">
        <v>37</v>
      </c>
      <c r="B1003" t="s">
        <v>43</v>
      </c>
      <c r="C1003">
        <v>0</v>
      </c>
      <c r="D1003" t="s">
        <v>36</v>
      </c>
      <c r="E1003" t="s">
        <v>45</v>
      </c>
      <c r="F1003">
        <v>11</v>
      </c>
      <c r="G1003" t="s">
        <v>51</v>
      </c>
      <c r="H1003" t="s">
        <v>1073</v>
      </c>
      <c r="I1003">
        <v>1</v>
      </c>
      <c r="J1003" t="s">
        <v>39</v>
      </c>
      <c r="K1003">
        <v>3</v>
      </c>
      <c r="L1003">
        <v>1</v>
      </c>
      <c r="M1003" t="s">
        <v>50</v>
      </c>
      <c r="N1003">
        <v>3</v>
      </c>
      <c r="O1003" t="s">
        <v>41</v>
      </c>
      <c r="P1003" s="1">
        <v>3629</v>
      </c>
      <c r="Q1003" t="s">
        <v>72</v>
      </c>
      <c r="R1003" t="s">
        <v>43</v>
      </c>
      <c r="S1003">
        <v>3</v>
      </c>
      <c r="T1003">
        <v>8</v>
      </c>
      <c r="U1003">
        <v>3</v>
      </c>
      <c r="V1003">
        <v>3</v>
      </c>
      <c r="W1003">
        <v>2</v>
      </c>
      <c r="X1003">
        <v>0</v>
      </c>
      <c r="Y1003">
        <v>2</v>
      </c>
      <c r="Z1003" t="s">
        <v>1550</v>
      </c>
      <c r="AA1003" t="s">
        <v>69</v>
      </c>
      <c r="AB1003" t="str" cm="1">
        <f t="array" ref="AB1003">_xlfn.IFS(cleaned_data[[#This Row],[YearsAtCompany]]&lt;=5, "0-5",cleaned_data[[#This Row],[YearsAtCompany]]&lt;=10,"6-10",TRUE,"10+")</f>
        <v>0-5</v>
      </c>
    </row>
    <row r="1004" spans="1:28" x14ac:dyDescent="0.3">
      <c r="A1004" s="2">
        <v>35</v>
      </c>
      <c r="B1004" t="s">
        <v>43</v>
      </c>
      <c r="C1004">
        <v>0</v>
      </c>
      <c r="D1004" t="s">
        <v>44</v>
      </c>
      <c r="E1004" t="s">
        <v>45</v>
      </c>
      <c r="F1004">
        <v>18</v>
      </c>
      <c r="G1004" t="s">
        <v>38</v>
      </c>
      <c r="H1004" t="s">
        <v>1074</v>
      </c>
      <c r="I1004">
        <v>3</v>
      </c>
      <c r="J1004" t="s">
        <v>46</v>
      </c>
      <c r="K1004">
        <v>3</v>
      </c>
      <c r="L1004">
        <v>3</v>
      </c>
      <c r="M1004" t="s">
        <v>53</v>
      </c>
      <c r="N1004">
        <v>4</v>
      </c>
      <c r="O1004" t="s">
        <v>41</v>
      </c>
      <c r="P1004" s="1">
        <v>9362</v>
      </c>
      <c r="Q1004" t="s">
        <v>67</v>
      </c>
      <c r="R1004" t="s">
        <v>43</v>
      </c>
      <c r="S1004">
        <v>3</v>
      </c>
      <c r="T1004">
        <v>10</v>
      </c>
      <c r="U1004">
        <v>3</v>
      </c>
      <c r="V1004">
        <v>2</v>
      </c>
      <c r="W1004">
        <v>2</v>
      </c>
      <c r="X1004">
        <v>2</v>
      </c>
      <c r="Y1004">
        <v>2</v>
      </c>
      <c r="Z1004" t="s">
        <v>1551</v>
      </c>
      <c r="AA1004" t="s">
        <v>69</v>
      </c>
      <c r="AB1004" t="str" cm="1">
        <f t="array" ref="AB1004">_xlfn.IFS(cleaned_data[[#This Row],[YearsAtCompany]]&lt;=5, "0-5",cleaned_data[[#This Row],[YearsAtCompany]]&lt;=10,"6-10",TRUE,"10+")</f>
        <v>0-5</v>
      </c>
    </row>
    <row r="1005" spans="1:28" x14ac:dyDescent="0.3">
      <c r="A1005" s="2">
        <v>25</v>
      </c>
      <c r="B1005" t="s">
        <v>43</v>
      </c>
      <c r="C1005">
        <v>0</v>
      </c>
      <c r="D1005" t="s">
        <v>36</v>
      </c>
      <c r="E1005" t="s">
        <v>45</v>
      </c>
      <c r="F1005">
        <v>1</v>
      </c>
      <c r="G1005" t="s">
        <v>60</v>
      </c>
      <c r="H1005" t="s">
        <v>1075</v>
      </c>
      <c r="I1005">
        <v>1</v>
      </c>
      <c r="J1005" t="s">
        <v>46</v>
      </c>
      <c r="K1005">
        <v>3</v>
      </c>
      <c r="L1005">
        <v>1</v>
      </c>
      <c r="M1005" t="s">
        <v>50</v>
      </c>
      <c r="N1005">
        <v>4</v>
      </c>
      <c r="O1005" t="s">
        <v>48</v>
      </c>
      <c r="P1005" s="1">
        <v>3229</v>
      </c>
      <c r="Q1005" t="s">
        <v>72</v>
      </c>
      <c r="R1005" t="s">
        <v>43</v>
      </c>
      <c r="S1005">
        <v>3</v>
      </c>
      <c r="T1005">
        <v>7</v>
      </c>
      <c r="U1005">
        <v>2</v>
      </c>
      <c r="V1005">
        <v>3</v>
      </c>
      <c r="W1005">
        <v>2</v>
      </c>
      <c r="X1005">
        <v>0</v>
      </c>
      <c r="Y1005">
        <v>2</v>
      </c>
      <c r="Z1005" t="s">
        <v>68</v>
      </c>
      <c r="AA1005" t="s">
        <v>69</v>
      </c>
      <c r="AB1005" t="str" cm="1">
        <f t="array" ref="AB1005">_xlfn.IFS(cleaned_data[[#This Row],[YearsAtCompany]]&lt;=5, "0-5",cleaned_data[[#This Row],[YearsAtCompany]]&lt;=10,"6-10",TRUE,"10+")</f>
        <v>0-5</v>
      </c>
    </row>
    <row r="1006" spans="1:28" x14ac:dyDescent="0.3">
      <c r="A1006" s="2">
        <v>26</v>
      </c>
      <c r="B1006" t="s">
        <v>43</v>
      </c>
      <c r="C1006">
        <v>0</v>
      </c>
      <c r="D1006" t="s">
        <v>36</v>
      </c>
      <c r="E1006" t="s">
        <v>45</v>
      </c>
      <c r="F1006">
        <v>7</v>
      </c>
      <c r="G1006" t="s">
        <v>49</v>
      </c>
      <c r="H1006" t="s">
        <v>1076</v>
      </c>
      <c r="I1006">
        <v>3</v>
      </c>
      <c r="J1006" t="s">
        <v>46</v>
      </c>
      <c r="K1006">
        <v>4</v>
      </c>
      <c r="L1006">
        <v>1</v>
      </c>
      <c r="M1006" t="s">
        <v>50</v>
      </c>
      <c r="N1006">
        <v>1</v>
      </c>
      <c r="O1006" t="s">
        <v>41</v>
      </c>
      <c r="P1006" s="6">
        <v>3578</v>
      </c>
      <c r="Q1006" t="s">
        <v>72</v>
      </c>
      <c r="R1006" t="s">
        <v>43</v>
      </c>
      <c r="S1006">
        <v>3</v>
      </c>
      <c r="T1006">
        <v>8</v>
      </c>
      <c r="U1006">
        <v>3</v>
      </c>
      <c r="V1006">
        <v>7</v>
      </c>
      <c r="W1006">
        <v>7</v>
      </c>
      <c r="X1006">
        <v>0</v>
      </c>
      <c r="Y1006">
        <v>7</v>
      </c>
      <c r="Z1006" t="s">
        <v>1551</v>
      </c>
      <c r="AA1006" t="s">
        <v>69</v>
      </c>
      <c r="AB1006" t="str" cm="1">
        <f t="array" ref="AB1006">_xlfn.IFS(cleaned_data[[#This Row],[YearsAtCompany]]&lt;=5, "0-5",cleaned_data[[#This Row],[YearsAtCompany]]&lt;=10,"6-10",TRUE,"10+")</f>
        <v>6-10</v>
      </c>
    </row>
    <row r="1007" spans="1:28" x14ac:dyDescent="0.3">
      <c r="A1007" s="2">
        <v>29</v>
      </c>
      <c r="B1007" t="s">
        <v>43</v>
      </c>
      <c r="C1007">
        <v>0</v>
      </c>
      <c r="D1007" t="s">
        <v>36</v>
      </c>
      <c r="E1007" t="s">
        <v>61</v>
      </c>
      <c r="F1007">
        <v>17</v>
      </c>
      <c r="G1007" t="s">
        <v>49</v>
      </c>
      <c r="H1007" t="s">
        <v>1077</v>
      </c>
      <c r="I1007">
        <v>2</v>
      </c>
      <c r="J1007" t="s">
        <v>46</v>
      </c>
      <c r="K1007">
        <v>2</v>
      </c>
      <c r="L1007">
        <v>3</v>
      </c>
      <c r="M1007" t="s">
        <v>61</v>
      </c>
      <c r="N1007">
        <v>1</v>
      </c>
      <c r="O1007" t="s">
        <v>41</v>
      </c>
      <c r="P1007" s="6">
        <v>7988</v>
      </c>
      <c r="Q1007" t="s">
        <v>67</v>
      </c>
      <c r="R1007" t="s">
        <v>43</v>
      </c>
      <c r="S1007">
        <v>3</v>
      </c>
      <c r="T1007">
        <v>10</v>
      </c>
      <c r="U1007">
        <v>2</v>
      </c>
      <c r="V1007">
        <v>10</v>
      </c>
      <c r="W1007">
        <v>9</v>
      </c>
      <c r="X1007">
        <v>0</v>
      </c>
      <c r="Y1007">
        <v>9</v>
      </c>
      <c r="Z1007" t="s">
        <v>1551</v>
      </c>
      <c r="AA1007" t="s">
        <v>69</v>
      </c>
      <c r="AB1007" t="str" cm="1">
        <f t="array" ref="AB1007">_xlfn.IFS(cleaned_data[[#This Row],[YearsAtCompany]]&lt;=5, "0-5",cleaned_data[[#This Row],[YearsAtCompany]]&lt;=10,"6-10",TRUE,"10+")</f>
        <v>6-10</v>
      </c>
    </row>
    <row r="1008" spans="1:28" x14ac:dyDescent="0.3">
      <c r="A1008" s="2">
        <v>49</v>
      </c>
      <c r="B1008" t="s">
        <v>35</v>
      </c>
      <c r="C1008">
        <v>1</v>
      </c>
      <c r="D1008" t="s">
        <v>44</v>
      </c>
      <c r="E1008" t="s">
        <v>45</v>
      </c>
      <c r="F1008">
        <v>28</v>
      </c>
      <c r="G1008" t="s">
        <v>38</v>
      </c>
      <c r="H1008" t="s">
        <v>1078</v>
      </c>
      <c r="I1008">
        <v>1</v>
      </c>
      <c r="J1008" t="s">
        <v>46</v>
      </c>
      <c r="K1008">
        <v>2</v>
      </c>
      <c r="L1008">
        <v>2</v>
      </c>
      <c r="M1008" t="s">
        <v>50</v>
      </c>
      <c r="N1008">
        <v>1</v>
      </c>
      <c r="O1008" t="s">
        <v>41</v>
      </c>
      <c r="P1008" s="6">
        <v>4284</v>
      </c>
      <c r="Q1008" t="s">
        <v>72</v>
      </c>
      <c r="R1008" t="s">
        <v>43</v>
      </c>
      <c r="S1008">
        <v>4</v>
      </c>
      <c r="T1008">
        <v>20</v>
      </c>
      <c r="U1008">
        <v>3</v>
      </c>
      <c r="V1008">
        <v>4</v>
      </c>
      <c r="W1008">
        <v>3</v>
      </c>
      <c r="X1008">
        <v>1</v>
      </c>
      <c r="Y1008">
        <v>3</v>
      </c>
      <c r="Z1008" t="s">
        <v>106</v>
      </c>
      <c r="AA1008" t="s">
        <v>82</v>
      </c>
      <c r="AB1008" t="str" cm="1">
        <f t="array" ref="AB1008">_xlfn.IFS(cleaned_data[[#This Row],[YearsAtCompany]]&lt;=5, "0-5",cleaned_data[[#This Row],[YearsAtCompany]]&lt;=10,"6-10",TRUE,"10+")</f>
        <v>0-5</v>
      </c>
    </row>
    <row r="1009" spans="1:28" x14ac:dyDescent="0.3">
      <c r="A1009" s="2">
        <v>29</v>
      </c>
      <c r="B1009" t="s">
        <v>35</v>
      </c>
      <c r="C1009">
        <v>1</v>
      </c>
      <c r="D1009" t="s">
        <v>44</v>
      </c>
      <c r="E1009" t="s">
        <v>45</v>
      </c>
      <c r="F1009">
        <v>14</v>
      </c>
      <c r="G1009" t="s">
        <v>49</v>
      </c>
      <c r="H1009" t="s">
        <v>1079</v>
      </c>
      <c r="I1009">
        <v>3</v>
      </c>
      <c r="J1009" t="s">
        <v>39</v>
      </c>
      <c r="K1009">
        <v>3</v>
      </c>
      <c r="L1009">
        <v>3</v>
      </c>
      <c r="M1009" t="s">
        <v>54</v>
      </c>
      <c r="N1009">
        <v>4</v>
      </c>
      <c r="O1009" t="s">
        <v>41</v>
      </c>
      <c r="P1009" s="1">
        <v>7553</v>
      </c>
      <c r="Q1009" t="s">
        <v>67</v>
      </c>
      <c r="R1009" t="s">
        <v>35</v>
      </c>
      <c r="S1009">
        <v>3</v>
      </c>
      <c r="T1009">
        <v>9</v>
      </c>
      <c r="U1009">
        <v>3</v>
      </c>
      <c r="V1009">
        <v>8</v>
      </c>
      <c r="W1009">
        <v>7</v>
      </c>
      <c r="X1009">
        <v>7</v>
      </c>
      <c r="Y1009">
        <v>7</v>
      </c>
      <c r="Z1009" t="s">
        <v>1551</v>
      </c>
      <c r="AA1009" t="s">
        <v>69</v>
      </c>
      <c r="AB1009" t="str" cm="1">
        <f t="array" ref="AB1009">_xlfn.IFS(cleaned_data[[#This Row],[YearsAtCompany]]&lt;=5, "0-5",cleaned_data[[#This Row],[YearsAtCompany]]&lt;=10,"6-10",TRUE,"10+")</f>
        <v>6-10</v>
      </c>
    </row>
    <row r="1010" spans="1:28" x14ac:dyDescent="0.3">
      <c r="A1010" s="2">
        <v>54</v>
      </c>
      <c r="B1010" t="s">
        <v>43</v>
      </c>
      <c r="C1010">
        <v>0</v>
      </c>
      <c r="D1010" t="s">
        <v>36</v>
      </c>
      <c r="E1010" t="s">
        <v>45</v>
      </c>
      <c r="F1010">
        <v>1</v>
      </c>
      <c r="G1010" t="s">
        <v>51</v>
      </c>
      <c r="H1010" t="s">
        <v>1080</v>
      </c>
      <c r="I1010">
        <v>4</v>
      </c>
      <c r="J1010" t="s">
        <v>39</v>
      </c>
      <c r="K1010">
        <v>3</v>
      </c>
      <c r="L1010">
        <v>4</v>
      </c>
      <c r="M1010" t="s">
        <v>58</v>
      </c>
      <c r="N1010">
        <v>4</v>
      </c>
      <c r="O1010" t="s">
        <v>41</v>
      </c>
      <c r="P1010" s="1">
        <v>17328</v>
      </c>
      <c r="Q1010" t="s">
        <v>90</v>
      </c>
      <c r="R1010" t="s">
        <v>43</v>
      </c>
      <c r="S1010">
        <v>3</v>
      </c>
      <c r="T1010">
        <v>29</v>
      </c>
      <c r="U1010">
        <v>2</v>
      </c>
      <c r="V1010">
        <v>20</v>
      </c>
      <c r="W1010">
        <v>7</v>
      </c>
      <c r="X1010">
        <v>12</v>
      </c>
      <c r="Y1010">
        <v>7</v>
      </c>
      <c r="Z1010" t="s">
        <v>106</v>
      </c>
      <c r="AA1010" t="s">
        <v>82</v>
      </c>
      <c r="AB1010" t="str" cm="1">
        <f t="array" ref="AB1010">_xlfn.IFS(cleaned_data[[#This Row],[YearsAtCompany]]&lt;=5, "0-5",cleaned_data[[#This Row],[YearsAtCompany]]&lt;=10,"6-10",TRUE,"10+")</f>
        <v>10+</v>
      </c>
    </row>
    <row r="1011" spans="1:28" x14ac:dyDescent="0.3">
      <c r="A1011" s="2">
        <v>58</v>
      </c>
      <c r="B1011" t="s">
        <v>43</v>
      </c>
      <c r="C1011">
        <v>0</v>
      </c>
      <c r="D1011" t="s">
        <v>36</v>
      </c>
      <c r="E1011" t="s">
        <v>45</v>
      </c>
      <c r="F1011">
        <v>1</v>
      </c>
      <c r="G1011" t="s">
        <v>51</v>
      </c>
      <c r="H1011" t="s">
        <v>1081</v>
      </c>
      <c r="I1011">
        <v>4</v>
      </c>
      <c r="J1011" t="s">
        <v>39</v>
      </c>
      <c r="K1011">
        <v>3</v>
      </c>
      <c r="L1011">
        <v>5</v>
      </c>
      <c r="M1011" t="s">
        <v>58</v>
      </c>
      <c r="N1011">
        <v>1</v>
      </c>
      <c r="O1011" t="s">
        <v>48</v>
      </c>
      <c r="P1011" s="6">
        <v>19701</v>
      </c>
      <c r="Q1011" t="s">
        <v>90</v>
      </c>
      <c r="R1011" t="s">
        <v>35</v>
      </c>
      <c r="S1011">
        <v>4</v>
      </c>
      <c r="T1011">
        <v>32</v>
      </c>
      <c r="U1011">
        <v>3</v>
      </c>
      <c r="V1011">
        <v>9</v>
      </c>
      <c r="W1011">
        <v>8</v>
      </c>
      <c r="X1011">
        <v>1</v>
      </c>
      <c r="Y1011">
        <v>5</v>
      </c>
      <c r="Z1011" t="s">
        <v>106</v>
      </c>
      <c r="AA1011" t="s">
        <v>82</v>
      </c>
      <c r="AB1011" t="str" cm="1">
        <f t="array" ref="AB1011">_xlfn.IFS(cleaned_data[[#This Row],[YearsAtCompany]]&lt;=5, "0-5",cleaned_data[[#This Row],[YearsAtCompany]]&lt;=10,"6-10",TRUE,"10+")</f>
        <v>6-10</v>
      </c>
    </row>
    <row r="1012" spans="1:28" x14ac:dyDescent="0.3">
      <c r="A1012" s="2">
        <v>55</v>
      </c>
      <c r="B1012" t="s">
        <v>43</v>
      </c>
      <c r="C1012">
        <v>0</v>
      </c>
      <c r="D1012" t="s">
        <v>36</v>
      </c>
      <c r="E1012" t="s">
        <v>45</v>
      </c>
      <c r="F1012">
        <v>1</v>
      </c>
      <c r="G1012" t="s">
        <v>51</v>
      </c>
      <c r="H1012" t="s">
        <v>1082</v>
      </c>
      <c r="I1012">
        <v>2</v>
      </c>
      <c r="J1012" t="s">
        <v>46</v>
      </c>
      <c r="K1012">
        <v>4</v>
      </c>
      <c r="L1012">
        <v>4</v>
      </c>
      <c r="M1012" t="s">
        <v>58</v>
      </c>
      <c r="N1012">
        <v>4</v>
      </c>
      <c r="O1012" t="s">
        <v>52</v>
      </c>
      <c r="P1012" s="1">
        <v>14732</v>
      </c>
      <c r="Q1012" t="s">
        <v>90</v>
      </c>
      <c r="R1012" t="s">
        <v>43</v>
      </c>
      <c r="S1012">
        <v>3</v>
      </c>
      <c r="T1012">
        <v>31</v>
      </c>
      <c r="U1012">
        <v>4</v>
      </c>
      <c r="V1012">
        <v>7</v>
      </c>
      <c r="W1012">
        <v>7</v>
      </c>
      <c r="X1012">
        <v>0</v>
      </c>
      <c r="Y1012">
        <v>0</v>
      </c>
      <c r="Z1012" t="s">
        <v>106</v>
      </c>
      <c r="AA1012" t="s">
        <v>82</v>
      </c>
      <c r="AB1012" t="str" cm="1">
        <f t="array" ref="AB1012">_xlfn.IFS(cleaned_data[[#This Row],[YearsAtCompany]]&lt;=5, "0-5",cleaned_data[[#This Row],[YearsAtCompany]]&lt;=10,"6-10",TRUE,"10+")</f>
        <v>6-10</v>
      </c>
    </row>
    <row r="1013" spans="1:28" x14ac:dyDescent="0.3">
      <c r="A1013" s="2">
        <v>36</v>
      </c>
      <c r="B1013" t="s">
        <v>43</v>
      </c>
      <c r="C1013">
        <v>0</v>
      </c>
      <c r="D1013" t="s">
        <v>36</v>
      </c>
      <c r="E1013" t="s">
        <v>37</v>
      </c>
      <c r="F1013">
        <v>3</v>
      </c>
      <c r="G1013" t="s">
        <v>59</v>
      </c>
      <c r="H1013" t="s">
        <v>1083</v>
      </c>
      <c r="I1013">
        <v>1</v>
      </c>
      <c r="J1013" t="s">
        <v>39</v>
      </c>
      <c r="K1013">
        <v>3</v>
      </c>
      <c r="L1013">
        <v>2</v>
      </c>
      <c r="M1013" t="s">
        <v>40</v>
      </c>
      <c r="N1013">
        <v>2</v>
      </c>
      <c r="O1013" t="s">
        <v>41</v>
      </c>
      <c r="P1013" s="1">
        <v>9278</v>
      </c>
      <c r="Q1013" t="s">
        <v>67</v>
      </c>
      <c r="R1013" t="s">
        <v>35</v>
      </c>
      <c r="S1013">
        <v>3</v>
      </c>
      <c r="T1013">
        <v>15</v>
      </c>
      <c r="U1013">
        <v>3</v>
      </c>
      <c r="V1013">
        <v>5</v>
      </c>
      <c r="W1013">
        <v>4</v>
      </c>
      <c r="X1013">
        <v>0</v>
      </c>
      <c r="Y1013">
        <v>1</v>
      </c>
      <c r="Z1013" t="s">
        <v>1550</v>
      </c>
      <c r="AA1013" t="s">
        <v>69</v>
      </c>
      <c r="AB1013" t="str" cm="1">
        <f t="array" ref="AB1013">_xlfn.IFS(cleaned_data[[#This Row],[YearsAtCompany]]&lt;=5, "0-5",cleaned_data[[#This Row],[YearsAtCompany]]&lt;=10,"6-10",TRUE,"10+")</f>
        <v>0-5</v>
      </c>
    </row>
    <row r="1014" spans="1:28" x14ac:dyDescent="0.3">
      <c r="A1014" s="2">
        <v>31</v>
      </c>
      <c r="B1014" t="s">
        <v>35</v>
      </c>
      <c r="C1014">
        <v>1</v>
      </c>
      <c r="D1014" t="s">
        <v>44</v>
      </c>
      <c r="E1014" t="s">
        <v>37</v>
      </c>
      <c r="F1014">
        <v>1</v>
      </c>
      <c r="G1014" t="s">
        <v>38</v>
      </c>
      <c r="H1014" t="s">
        <v>1084</v>
      </c>
      <c r="I1014">
        <v>2</v>
      </c>
      <c r="J1014" t="s">
        <v>39</v>
      </c>
      <c r="K1014">
        <v>1</v>
      </c>
      <c r="L1014">
        <v>1</v>
      </c>
      <c r="M1014" t="s">
        <v>57</v>
      </c>
      <c r="N1014">
        <v>3</v>
      </c>
      <c r="O1014" t="s">
        <v>41</v>
      </c>
      <c r="P1014" s="1">
        <v>1359</v>
      </c>
      <c r="Q1014" t="s">
        <v>72</v>
      </c>
      <c r="R1014" t="s">
        <v>43</v>
      </c>
      <c r="S1014">
        <v>3</v>
      </c>
      <c r="T1014">
        <v>1</v>
      </c>
      <c r="U1014">
        <v>3</v>
      </c>
      <c r="V1014">
        <v>1</v>
      </c>
      <c r="W1014">
        <v>0</v>
      </c>
      <c r="X1014">
        <v>0</v>
      </c>
      <c r="Y1014">
        <v>0</v>
      </c>
      <c r="Z1014" t="s">
        <v>1551</v>
      </c>
      <c r="AA1014" t="s">
        <v>78</v>
      </c>
      <c r="AB1014" t="str" cm="1">
        <f t="array" ref="AB1014">_xlfn.IFS(cleaned_data[[#This Row],[YearsAtCompany]]&lt;=5, "0-5",cleaned_data[[#This Row],[YearsAtCompany]]&lt;=10,"6-10",TRUE,"10+")</f>
        <v>0-5</v>
      </c>
    </row>
    <row r="1015" spans="1:28" x14ac:dyDescent="0.3">
      <c r="A1015" s="2">
        <v>30</v>
      </c>
      <c r="B1015" t="s">
        <v>43</v>
      </c>
      <c r="C1015">
        <v>0</v>
      </c>
      <c r="D1015" t="s">
        <v>36</v>
      </c>
      <c r="E1015" t="s">
        <v>37</v>
      </c>
      <c r="F1015">
        <v>7</v>
      </c>
      <c r="G1015" t="s">
        <v>59</v>
      </c>
      <c r="H1015" t="s">
        <v>1085</v>
      </c>
      <c r="I1015">
        <v>4</v>
      </c>
      <c r="J1015" t="s">
        <v>39</v>
      </c>
      <c r="K1015">
        <v>3</v>
      </c>
      <c r="L1015">
        <v>2</v>
      </c>
      <c r="M1015" t="s">
        <v>40</v>
      </c>
      <c r="N1015">
        <v>1</v>
      </c>
      <c r="O1015" t="s">
        <v>52</v>
      </c>
      <c r="P1015" s="6">
        <v>4779</v>
      </c>
      <c r="Q1015" t="s">
        <v>72</v>
      </c>
      <c r="R1015" t="s">
        <v>43</v>
      </c>
      <c r="S1015">
        <v>3</v>
      </c>
      <c r="T1015">
        <v>8</v>
      </c>
      <c r="U1015">
        <v>3</v>
      </c>
      <c r="V1015">
        <v>3</v>
      </c>
      <c r="W1015">
        <v>2</v>
      </c>
      <c r="X1015">
        <v>0</v>
      </c>
      <c r="Y1015">
        <v>2</v>
      </c>
      <c r="Z1015" t="s">
        <v>1551</v>
      </c>
      <c r="AA1015" t="s">
        <v>69</v>
      </c>
      <c r="AB1015" t="str" cm="1">
        <f t="array" ref="AB1015">_xlfn.IFS(cleaned_data[[#This Row],[YearsAtCompany]]&lt;=5, "0-5",cleaned_data[[#This Row],[YearsAtCompany]]&lt;=10,"6-10",TRUE,"10+")</f>
        <v>0-5</v>
      </c>
    </row>
    <row r="1016" spans="1:28" x14ac:dyDescent="0.3">
      <c r="A1016" s="2">
        <v>31</v>
      </c>
      <c r="B1016" t="s">
        <v>43</v>
      </c>
      <c r="C1016">
        <v>0</v>
      </c>
      <c r="D1016" t="s">
        <v>36</v>
      </c>
      <c r="E1016" t="s">
        <v>45</v>
      </c>
      <c r="F1016">
        <v>8</v>
      </c>
      <c r="G1016" t="s">
        <v>38</v>
      </c>
      <c r="H1016" t="s">
        <v>1086</v>
      </c>
      <c r="I1016">
        <v>1</v>
      </c>
      <c r="J1016" t="s">
        <v>39</v>
      </c>
      <c r="K1016">
        <v>3</v>
      </c>
      <c r="L1016">
        <v>4</v>
      </c>
      <c r="M1016" t="s">
        <v>58</v>
      </c>
      <c r="N1016">
        <v>2</v>
      </c>
      <c r="O1016" t="s">
        <v>41</v>
      </c>
      <c r="P1016" s="1">
        <v>16422</v>
      </c>
      <c r="Q1016" t="s">
        <v>90</v>
      </c>
      <c r="R1016" t="s">
        <v>43</v>
      </c>
      <c r="S1016">
        <v>3</v>
      </c>
      <c r="T1016">
        <v>9</v>
      </c>
      <c r="U1016">
        <v>4</v>
      </c>
      <c r="V1016">
        <v>3</v>
      </c>
      <c r="W1016">
        <v>2</v>
      </c>
      <c r="X1016">
        <v>1</v>
      </c>
      <c r="Y1016">
        <v>0</v>
      </c>
      <c r="Z1016" t="s">
        <v>1551</v>
      </c>
      <c r="AA1016" t="s">
        <v>69</v>
      </c>
      <c r="AB1016" t="str" cm="1">
        <f t="array" ref="AB1016">_xlfn.IFS(cleaned_data[[#This Row],[YearsAtCompany]]&lt;=5, "0-5",cleaned_data[[#This Row],[YearsAtCompany]]&lt;=10,"6-10",TRUE,"10+")</f>
        <v>0-5</v>
      </c>
    </row>
    <row r="1017" spans="1:28" x14ac:dyDescent="0.3">
      <c r="A1017" s="2">
        <v>34</v>
      </c>
      <c r="B1017" t="s">
        <v>43</v>
      </c>
      <c r="C1017">
        <v>0</v>
      </c>
      <c r="D1017" t="s">
        <v>44</v>
      </c>
      <c r="E1017" t="s">
        <v>45</v>
      </c>
      <c r="F1017">
        <v>1</v>
      </c>
      <c r="G1017" t="s">
        <v>49</v>
      </c>
      <c r="H1017" t="s">
        <v>1087</v>
      </c>
      <c r="I1017">
        <v>4</v>
      </c>
      <c r="J1017" t="s">
        <v>46</v>
      </c>
      <c r="K1017">
        <v>3</v>
      </c>
      <c r="L1017">
        <v>1</v>
      </c>
      <c r="M1017" t="s">
        <v>47</v>
      </c>
      <c r="N1017">
        <v>1</v>
      </c>
      <c r="O1017" t="s">
        <v>52</v>
      </c>
      <c r="P1017" s="6">
        <v>2996</v>
      </c>
      <c r="Q1017" t="s">
        <v>72</v>
      </c>
      <c r="R1017" t="s">
        <v>43</v>
      </c>
      <c r="S1017">
        <v>3</v>
      </c>
      <c r="T1017">
        <v>10</v>
      </c>
      <c r="U1017">
        <v>3</v>
      </c>
      <c r="V1017">
        <v>4</v>
      </c>
      <c r="W1017">
        <v>3</v>
      </c>
      <c r="X1017">
        <v>1</v>
      </c>
      <c r="Y1017">
        <v>3</v>
      </c>
      <c r="Z1017" t="s">
        <v>1551</v>
      </c>
      <c r="AA1017" t="s">
        <v>69</v>
      </c>
      <c r="AB1017" t="str" cm="1">
        <f t="array" ref="AB1017">_xlfn.IFS(cleaned_data[[#This Row],[YearsAtCompany]]&lt;=5, "0-5",cleaned_data[[#This Row],[YearsAtCompany]]&lt;=10,"6-10",TRUE,"10+")</f>
        <v>0-5</v>
      </c>
    </row>
    <row r="1018" spans="1:28" x14ac:dyDescent="0.3">
      <c r="A1018" s="2">
        <v>31</v>
      </c>
      <c r="B1018" t="s">
        <v>35</v>
      </c>
      <c r="C1018">
        <v>1</v>
      </c>
      <c r="D1018" t="s">
        <v>36</v>
      </c>
      <c r="E1018" t="s">
        <v>45</v>
      </c>
      <c r="F1018">
        <v>8</v>
      </c>
      <c r="G1018" t="s">
        <v>38</v>
      </c>
      <c r="H1018" t="s">
        <v>1088</v>
      </c>
      <c r="I1018">
        <v>1</v>
      </c>
      <c r="J1018" t="s">
        <v>39</v>
      </c>
      <c r="K1018">
        <v>2</v>
      </c>
      <c r="L1018">
        <v>1</v>
      </c>
      <c r="M1018" t="s">
        <v>47</v>
      </c>
      <c r="N1018">
        <v>2</v>
      </c>
      <c r="O1018" t="s">
        <v>41</v>
      </c>
      <c r="P1018" s="1">
        <v>1261</v>
      </c>
      <c r="Q1018" t="s">
        <v>72</v>
      </c>
      <c r="R1018" t="s">
        <v>43</v>
      </c>
      <c r="S1018">
        <v>3</v>
      </c>
      <c r="T1018">
        <v>1</v>
      </c>
      <c r="U1018">
        <v>4</v>
      </c>
      <c r="V1018">
        <v>1</v>
      </c>
      <c r="W1018">
        <v>0</v>
      </c>
      <c r="X1018">
        <v>0</v>
      </c>
      <c r="Y1018">
        <v>0</v>
      </c>
      <c r="Z1018" t="s">
        <v>1551</v>
      </c>
      <c r="AA1018" t="s">
        <v>78</v>
      </c>
      <c r="AB1018" t="str" cm="1">
        <f t="array" ref="AB1018">_xlfn.IFS(cleaned_data[[#This Row],[YearsAtCompany]]&lt;=5, "0-5",cleaned_data[[#This Row],[YearsAtCompany]]&lt;=10,"6-10",TRUE,"10+")</f>
        <v>0-5</v>
      </c>
    </row>
    <row r="1019" spans="1:28" x14ac:dyDescent="0.3">
      <c r="A1019" s="2">
        <v>27</v>
      </c>
      <c r="B1019" t="s">
        <v>43</v>
      </c>
      <c r="C1019">
        <v>0</v>
      </c>
      <c r="D1019" t="s">
        <v>36</v>
      </c>
      <c r="E1019" t="s">
        <v>45</v>
      </c>
      <c r="F1019">
        <v>11</v>
      </c>
      <c r="G1019" t="s">
        <v>38</v>
      </c>
      <c r="H1019" t="s">
        <v>1089</v>
      </c>
      <c r="I1019">
        <v>2</v>
      </c>
      <c r="J1019" t="s">
        <v>46</v>
      </c>
      <c r="K1019">
        <v>3</v>
      </c>
      <c r="L1019">
        <v>1</v>
      </c>
      <c r="M1019" t="s">
        <v>50</v>
      </c>
      <c r="N1019">
        <v>1</v>
      </c>
      <c r="O1019" t="s">
        <v>48</v>
      </c>
      <c r="P1019" s="6">
        <v>2099</v>
      </c>
      <c r="Q1019" t="s">
        <v>72</v>
      </c>
      <c r="R1019" t="s">
        <v>43</v>
      </c>
      <c r="S1019">
        <v>3</v>
      </c>
      <c r="T1019">
        <v>6</v>
      </c>
      <c r="U1019">
        <v>4</v>
      </c>
      <c r="V1019">
        <v>5</v>
      </c>
      <c r="W1019">
        <v>0</v>
      </c>
      <c r="X1019">
        <v>1</v>
      </c>
      <c r="Y1019">
        <v>4</v>
      </c>
      <c r="Z1019" t="s">
        <v>1551</v>
      </c>
      <c r="AA1019" t="s">
        <v>69</v>
      </c>
      <c r="AB1019" t="str" cm="1">
        <f t="array" ref="AB1019">_xlfn.IFS(cleaned_data[[#This Row],[YearsAtCompany]]&lt;=5, "0-5",cleaned_data[[#This Row],[YearsAtCompany]]&lt;=10,"6-10",TRUE,"10+")</f>
        <v>0-5</v>
      </c>
    </row>
    <row r="1020" spans="1:28" x14ac:dyDescent="0.3">
      <c r="A1020" s="2">
        <v>36</v>
      </c>
      <c r="B1020" t="s">
        <v>43</v>
      </c>
      <c r="C1020">
        <v>0</v>
      </c>
      <c r="D1020" t="s">
        <v>36</v>
      </c>
      <c r="E1020" t="s">
        <v>45</v>
      </c>
      <c r="F1020">
        <v>4</v>
      </c>
      <c r="G1020" t="s">
        <v>38</v>
      </c>
      <c r="H1020" t="s">
        <v>1090</v>
      </c>
      <c r="I1020">
        <v>1</v>
      </c>
      <c r="J1020" t="s">
        <v>46</v>
      </c>
      <c r="K1020">
        <v>2</v>
      </c>
      <c r="L1020">
        <v>2</v>
      </c>
      <c r="M1020" t="s">
        <v>50</v>
      </c>
      <c r="N1020">
        <v>4</v>
      </c>
      <c r="O1020" t="s">
        <v>41</v>
      </c>
      <c r="P1020" s="1">
        <v>5810</v>
      </c>
      <c r="Q1020" t="s">
        <v>67</v>
      </c>
      <c r="R1020" t="s">
        <v>43</v>
      </c>
      <c r="S1020">
        <v>3</v>
      </c>
      <c r="T1020">
        <v>10</v>
      </c>
      <c r="U1020">
        <v>2</v>
      </c>
      <c r="V1020">
        <v>10</v>
      </c>
      <c r="W1020">
        <v>4</v>
      </c>
      <c r="X1020">
        <v>1</v>
      </c>
      <c r="Y1020">
        <v>8</v>
      </c>
      <c r="Z1020" t="s">
        <v>1550</v>
      </c>
      <c r="AA1020" t="s">
        <v>69</v>
      </c>
      <c r="AB1020" t="str" cm="1">
        <f t="array" ref="AB1020">_xlfn.IFS(cleaned_data[[#This Row],[YearsAtCompany]]&lt;=5, "0-5",cleaned_data[[#This Row],[YearsAtCompany]]&lt;=10,"6-10",TRUE,"10+")</f>
        <v>6-10</v>
      </c>
    </row>
    <row r="1021" spans="1:28" x14ac:dyDescent="0.3">
      <c r="A1021" s="2">
        <v>36</v>
      </c>
      <c r="B1021" t="s">
        <v>43</v>
      </c>
      <c r="C1021">
        <v>0</v>
      </c>
      <c r="D1021" t="s">
        <v>36</v>
      </c>
      <c r="E1021" t="s">
        <v>37</v>
      </c>
      <c r="F1021">
        <v>16</v>
      </c>
      <c r="G1021" t="s">
        <v>59</v>
      </c>
      <c r="H1021" t="s">
        <v>1091</v>
      </c>
      <c r="I1021">
        <v>3</v>
      </c>
      <c r="J1021" t="s">
        <v>39</v>
      </c>
      <c r="K1021">
        <v>2</v>
      </c>
      <c r="L1021">
        <v>2</v>
      </c>
      <c r="M1021" t="s">
        <v>40</v>
      </c>
      <c r="N1021">
        <v>1</v>
      </c>
      <c r="O1021" t="s">
        <v>48</v>
      </c>
      <c r="P1021" s="6">
        <v>5647</v>
      </c>
      <c r="Q1021" t="s">
        <v>67</v>
      </c>
      <c r="R1021" t="s">
        <v>43</v>
      </c>
      <c r="S1021">
        <v>3</v>
      </c>
      <c r="T1021">
        <v>11</v>
      </c>
      <c r="U1021">
        <v>2</v>
      </c>
      <c r="V1021">
        <v>3</v>
      </c>
      <c r="W1021">
        <v>2</v>
      </c>
      <c r="X1021">
        <v>0</v>
      </c>
      <c r="Y1021">
        <v>2</v>
      </c>
      <c r="Z1021" t="s">
        <v>1550</v>
      </c>
      <c r="AA1021" t="s">
        <v>69</v>
      </c>
      <c r="AB1021" t="str" cm="1">
        <f t="array" ref="AB1021">_xlfn.IFS(cleaned_data[[#This Row],[YearsAtCompany]]&lt;=5, "0-5",cleaned_data[[#This Row],[YearsAtCompany]]&lt;=10,"6-10",TRUE,"10+")</f>
        <v>0-5</v>
      </c>
    </row>
    <row r="1022" spans="1:28" x14ac:dyDescent="0.3">
      <c r="A1022" s="2">
        <v>47</v>
      </c>
      <c r="B1022" t="s">
        <v>43</v>
      </c>
      <c r="C1022">
        <v>0</v>
      </c>
      <c r="D1022" t="s">
        <v>36</v>
      </c>
      <c r="E1022" t="s">
        <v>45</v>
      </c>
      <c r="F1022">
        <v>1</v>
      </c>
      <c r="G1022" t="s">
        <v>60</v>
      </c>
      <c r="H1022" t="s">
        <v>1092</v>
      </c>
      <c r="I1022">
        <v>1</v>
      </c>
      <c r="J1022" t="s">
        <v>46</v>
      </c>
      <c r="K1022">
        <v>3</v>
      </c>
      <c r="L1022">
        <v>1</v>
      </c>
      <c r="M1022" t="s">
        <v>47</v>
      </c>
      <c r="N1022">
        <v>4</v>
      </c>
      <c r="O1022" t="s">
        <v>48</v>
      </c>
      <c r="P1022" s="1">
        <v>3420</v>
      </c>
      <c r="Q1022" t="s">
        <v>72</v>
      </c>
      <c r="R1022" t="s">
        <v>43</v>
      </c>
      <c r="S1022">
        <v>3</v>
      </c>
      <c r="T1022">
        <v>17</v>
      </c>
      <c r="U1022">
        <v>2</v>
      </c>
      <c r="V1022">
        <v>6</v>
      </c>
      <c r="W1022">
        <v>5</v>
      </c>
      <c r="X1022">
        <v>1</v>
      </c>
      <c r="Y1022">
        <v>2</v>
      </c>
      <c r="Z1022" t="s">
        <v>106</v>
      </c>
      <c r="AA1022" t="s">
        <v>82</v>
      </c>
      <c r="AB1022" t="str" cm="1">
        <f t="array" ref="AB1022">_xlfn.IFS(cleaned_data[[#This Row],[YearsAtCompany]]&lt;=5, "0-5",cleaned_data[[#This Row],[YearsAtCompany]]&lt;=10,"6-10",TRUE,"10+")</f>
        <v>6-10</v>
      </c>
    </row>
    <row r="1023" spans="1:28" x14ac:dyDescent="0.3">
      <c r="A1023" s="2">
        <v>25</v>
      </c>
      <c r="B1023" t="s">
        <v>35</v>
      </c>
      <c r="C1023">
        <v>1</v>
      </c>
      <c r="D1023" t="s">
        <v>36</v>
      </c>
      <c r="E1023" t="s">
        <v>37</v>
      </c>
      <c r="F1023">
        <v>9</v>
      </c>
      <c r="G1023" t="s">
        <v>38</v>
      </c>
      <c r="H1023" t="s">
        <v>1093</v>
      </c>
      <c r="I1023">
        <v>1</v>
      </c>
      <c r="J1023" t="s">
        <v>46</v>
      </c>
      <c r="K1023">
        <v>2</v>
      </c>
      <c r="L1023">
        <v>1</v>
      </c>
      <c r="M1023" t="s">
        <v>57</v>
      </c>
      <c r="N1023">
        <v>1</v>
      </c>
      <c r="O1023" t="s">
        <v>48</v>
      </c>
      <c r="P1023" s="6">
        <v>4400</v>
      </c>
      <c r="Q1023" t="s">
        <v>72</v>
      </c>
      <c r="R1023" t="s">
        <v>43</v>
      </c>
      <c r="S1023">
        <v>3</v>
      </c>
      <c r="T1023">
        <v>6</v>
      </c>
      <c r="U1023">
        <v>3</v>
      </c>
      <c r="V1023">
        <v>3</v>
      </c>
      <c r="W1023">
        <v>2</v>
      </c>
      <c r="X1023">
        <v>2</v>
      </c>
      <c r="Y1023">
        <v>2</v>
      </c>
      <c r="Z1023" t="s">
        <v>68</v>
      </c>
      <c r="AA1023" t="s">
        <v>69</v>
      </c>
      <c r="AB1023" t="str" cm="1">
        <f t="array" ref="AB1023">_xlfn.IFS(cleaned_data[[#This Row],[YearsAtCompany]]&lt;=5, "0-5",cleaned_data[[#This Row],[YearsAtCompany]]&lt;=10,"6-10",TRUE,"10+")</f>
        <v>0-5</v>
      </c>
    </row>
    <row r="1024" spans="1:28" x14ac:dyDescent="0.3">
      <c r="A1024" s="2">
        <v>37</v>
      </c>
      <c r="B1024" t="s">
        <v>43</v>
      </c>
      <c r="C1024">
        <v>0</v>
      </c>
      <c r="D1024" t="s">
        <v>55</v>
      </c>
      <c r="E1024" t="s">
        <v>45</v>
      </c>
      <c r="F1024">
        <v>5</v>
      </c>
      <c r="G1024" t="s">
        <v>60</v>
      </c>
      <c r="H1024" t="s">
        <v>1094</v>
      </c>
      <c r="I1024">
        <v>3</v>
      </c>
      <c r="J1024" t="s">
        <v>46</v>
      </c>
      <c r="K1024">
        <v>4</v>
      </c>
      <c r="L1024">
        <v>1</v>
      </c>
      <c r="M1024" t="s">
        <v>50</v>
      </c>
      <c r="N1024">
        <v>3</v>
      </c>
      <c r="O1024" t="s">
        <v>41</v>
      </c>
      <c r="P1024" s="1">
        <v>3500</v>
      </c>
      <c r="Q1024" t="s">
        <v>72</v>
      </c>
      <c r="R1024" t="s">
        <v>43</v>
      </c>
      <c r="S1024">
        <v>3</v>
      </c>
      <c r="T1024">
        <v>7</v>
      </c>
      <c r="U1024">
        <v>1</v>
      </c>
      <c r="V1024">
        <v>6</v>
      </c>
      <c r="W1024">
        <v>5</v>
      </c>
      <c r="X1024">
        <v>1</v>
      </c>
      <c r="Y1024">
        <v>3</v>
      </c>
      <c r="Z1024" t="s">
        <v>1550</v>
      </c>
      <c r="AA1024" t="s">
        <v>69</v>
      </c>
      <c r="AB1024" t="str" cm="1">
        <f t="array" ref="AB1024">_xlfn.IFS(cleaned_data[[#This Row],[YearsAtCompany]]&lt;=5, "0-5",cleaned_data[[#This Row],[YearsAtCompany]]&lt;=10,"6-10",TRUE,"10+")</f>
        <v>6-10</v>
      </c>
    </row>
    <row r="1025" spans="1:28" x14ac:dyDescent="0.3">
      <c r="A1025" s="2">
        <v>56</v>
      </c>
      <c r="B1025" t="s">
        <v>43</v>
      </c>
      <c r="C1025">
        <v>0</v>
      </c>
      <c r="D1025" t="s">
        <v>36</v>
      </c>
      <c r="E1025" t="s">
        <v>45</v>
      </c>
      <c r="F1025">
        <v>1</v>
      </c>
      <c r="G1025" t="s">
        <v>38</v>
      </c>
      <c r="H1025" t="s">
        <v>1095</v>
      </c>
      <c r="I1025">
        <v>1</v>
      </c>
      <c r="J1025" t="s">
        <v>39</v>
      </c>
      <c r="K1025">
        <v>3</v>
      </c>
      <c r="L1025">
        <v>1</v>
      </c>
      <c r="M1025" t="s">
        <v>47</v>
      </c>
      <c r="N1025">
        <v>1</v>
      </c>
      <c r="O1025" t="s">
        <v>48</v>
      </c>
      <c r="P1025" s="6">
        <v>2066</v>
      </c>
      <c r="Q1025" t="s">
        <v>72</v>
      </c>
      <c r="R1025" t="s">
        <v>43</v>
      </c>
      <c r="S1025">
        <v>4</v>
      </c>
      <c r="T1025">
        <v>5</v>
      </c>
      <c r="U1025">
        <v>4</v>
      </c>
      <c r="V1025">
        <v>3</v>
      </c>
      <c r="W1025">
        <v>2</v>
      </c>
      <c r="X1025">
        <v>1</v>
      </c>
      <c r="Y1025">
        <v>0</v>
      </c>
      <c r="Z1025" t="s">
        <v>106</v>
      </c>
      <c r="AA1025" t="s">
        <v>78</v>
      </c>
      <c r="AB1025" t="str" cm="1">
        <f t="array" ref="AB1025">_xlfn.IFS(cleaned_data[[#This Row],[YearsAtCompany]]&lt;=5, "0-5",cleaned_data[[#This Row],[YearsAtCompany]]&lt;=10,"6-10",TRUE,"10+")</f>
        <v>0-5</v>
      </c>
    </row>
    <row r="1026" spans="1:28" x14ac:dyDescent="0.3">
      <c r="A1026" s="2">
        <v>47</v>
      </c>
      <c r="B1026" t="s">
        <v>43</v>
      </c>
      <c r="C1026">
        <v>0</v>
      </c>
      <c r="D1026" t="s">
        <v>36</v>
      </c>
      <c r="E1026" t="s">
        <v>45</v>
      </c>
      <c r="F1026">
        <v>2</v>
      </c>
      <c r="G1026" t="s">
        <v>51</v>
      </c>
      <c r="H1026" t="s">
        <v>1096</v>
      </c>
      <c r="I1026">
        <v>1</v>
      </c>
      <c r="J1026" t="s">
        <v>39</v>
      </c>
      <c r="K1026">
        <v>3</v>
      </c>
      <c r="L1026">
        <v>4</v>
      </c>
      <c r="M1026" t="s">
        <v>58</v>
      </c>
      <c r="N1026">
        <v>3</v>
      </c>
      <c r="O1026" t="s">
        <v>48</v>
      </c>
      <c r="P1026" s="1">
        <v>17169</v>
      </c>
      <c r="Q1026" t="s">
        <v>90</v>
      </c>
      <c r="R1026" t="s">
        <v>43</v>
      </c>
      <c r="S1026">
        <v>3</v>
      </c>
      <c r="T1026">
        <v>26</v>
      </c>
      <c r="U1026">
        <v>4</v>
      </c>
      <c r="V1026">
        <v>20</v>
      </c>
      <c r="W1026">
        <v>17</v>
      </c>
      <c r="X1026">
        <v>5</v>
      </c>
      <c r="Y1026">
        <v>6</v>
      </c>
      <c r="Z1026" t="s">
        <v>106</v>
      </c>
      <c r="AA1026" t="s">
        <v>82</v>
      </c>
      <c r="AB1026" t="str" cm="1">
        <f t="array" ref="AB1026">_xlfn.IFS(cleaned_data[[#This Row],[YearsAtCompany]]&lt;=5, "0-5",cleaned_data[[#This Row],[YearsAtCompany]]&lt;=10,"6-10",TRUE,"10+")</f>
        <v>10+</v>
      </c>
    </row>
    <row r="1027" spans="1:28" x14ac:dyDescent="0.3">
      <c r="A1027" s="2">
        <v>24</v>
      </c>
      <c r="B1027" t="s">
        <v>43</v>
      </c>
      <c r="C1027">
        <v>0</v>
      </c>
      <c r="D1027" t="s">
        <v>36</v>
      </c>
      <c r="E1027" t="s">
        <v>37</v>
      </c>
      <c r="F1027">
        <v>4</v>
      </c>
      <c r="G1027" t="s">
        <v>51</v>
      </c>
      <c r="H1027" t="s">
        <v>1097</v>
      </c>
      <c r="I1027">
        <v>4</v>
      </c>
      <c r="J1027" t="s">
        <v>39</v>
      </c>
      <c r="K1027">
        <v>3</v>
      </c>
      <c r="L1027">
        <v>2</v>
      </c>
      <c r="M1027" t="s">
        <v>40</v>
      </c>
      <c r="N1027">
        <v>3</v>
      </c>
      <c r="O1027" t="s">
        <v>48</v>
      </c>
      <c r="P1027" s="1">
        <v>4162</v>
      </c>
      <c r="Q1027" t="s">
        <v>72</v>
      </c>
      <c r="R1027" t="s">
        <v>35</v>
      </c>
      <c r="S1027">
        <v>3</v>
      </c>
      <c r="T1027">
        <v>5</v>
      </c>
      <c r="U1027">
        <v>3</v>
      </c>
      <c r="V1027">
        <v>5</v>
      </c>
      <c r="W1027">
        <v>4</v>
      </c>
      <c r="X1027">
        <v>0</v>
      </c>
      <c r="Y1027">
        <v>3</v>
      </c>
      <c r="Z1027" t="s">
        <v>68</v>
      </c>
      <c r="AA1027" t="s">
        <v>78</v>
      </c>
      <c r="AB1027" t="str" cm="1">
        <f t="array" ref="AB1027">_xlfn.IFS(cleaned_data[[#This Row],[YearsAtCompany]]&lt;=5, "0-5",cleaned_data[[#This Row],[YearsAtCompany]]&lt;=10,"6-10",TRUE,"10+")</f>
        <v>0-5</v>
      </c>
    </row>
    <row r="1028" spans="1:28" x14ac:dyDescent="0.3">
      <c r="A1028" s="2">
        <v>32</v>
      </c>
      <c r="B1028" t="s">
        <v>43</v>
      </c>
      <c r="C1028">
        <v>0</v>
      </c>
      <c r="D1028" t="s">
        <v>36</v>
      </c>
      <c r="E1028" t="s">
        <v>37</v>
      </c>
      <c r="F1028">
        <v>7</v>
      </c>
      <c r="G1028" t="s">
        <v>59</v>
      </c>
      <c r="H1028" t="s">
        <v>1098</v>
      </c>
      <c r="I1028">
        <v>4</v>
      </c>
      <c r="J1028" t="s">
        <v>46</v>
      </c>
      <c r="K1028">
        <v>3</v>
      </c>
      <c r="L1028">
        <v>2</v>
      </c>
      <c r="M1028" t="s">
        <v>40</v>
      </c>
      <c r="N1028">
        <v>4</v>
      </c>
      <c r="O1028" t="s">
        <v>48</v>
      </c>
      <c r="P1028" s="1">
        <v>9204</v>
      </c>
      <c r="Q1028" t="s">
        <v>67</v>
      </c>
      <c r="R1028" t="s">
        <v>43</v>
      </c>
      <c r="S1028">
        <v>3</v>
      </c>
      <c r="T1028">
        <v>7</v>
      </c>
      <c r="U1028">
        <v>2</v>
      </c>
      <c r="V1028">
        <v>4</v>
      </c>
      <c r="W1028">
        <v>3</v>
      </c>
      <c r="X1028">
        <v>0</v>
      </c>
      <c r="Y1028">
        <v>3</v>
      </c>
      <c r="Z1028" t="s">
        <v>1551</v>
      </c>
      <c r="AA1028" t="s">
        <v>69</v>
      </c>
      <c r="AB1028" t="str" cm="1">
        <f t="array" ref="AB1028">_xlfn.IFS(cleaned_data[[#This Row],[YearsAtCompany]]&lt;=5, "0-5",cleaned_data[[#This Row],[YearsAtCompany]]&lt;=10,"6-10",TRUE,"10+")</f>
        <v>0-5</v>
      </c>
    </row>
    <row r="1029" spans="1:28" x14ac:dyDescent="0.3">
      <c r="A1029" s="2">
        <v>34</v>
      </c>
      <c r="B1029" t="s">
        <v>43</v>
      </c>
      <c r="C1029">
        <v>0</v>
      </c>
      <c r="D1029" t="s">
        <v>36</v>
      </c>
      <c r="E1029" t="s">
        <v>45</v>
      </c>
      <c r="F1029">
        <v>1</v>
      </c>
      <c r="G1029" t="s">
        <v>38</v>
      </c>
      <c r="H1029" t="s">
        <v>1099</v>
      </c>
      <c r="I1029">
        <v>4</v>
      </c>
      <c r="J1029" t="s">
        <v>39</v>
      </c>
      <c r="K1029">
        <v>2</v>
      </c>
      <c r="L1029">
        <v>1</v>
      </c>
      <c r="M1029" t="s">
        <v>50</v>
      </c>
      <c r="N1029">
        <v>2</v>
      </c>
      <c r="O1029" t="s">
        <v>48</v>
      </c>
      <c r="P1029" s="1">
        <v>3294</v>
      </c>
      <c r="Q1029" t="s">
        <v>72</v>
      </c>
      <c r="R1029" t="s">
        <v>43</v>
      </c>
      <c r="S1029">
        <v>3</v>
      </c>
      <c r="T1029">
        <v>7</v>
      </c>
      <c r="U1029">
        <v>2</v>
      </c>
      <c r="V1029">
        <v>5</v>
      </c>
      <c r="W1029">
        <v>4</v>
      </c>
      <c r="X1029">
        <v>0</v>
      </c>
      <c r="Y1029">
        <v>2</v>
      </c>
      <c r="Z1029" t="s">
        <v>1551</v>
      </c>
      <c r="AA1029" t="s">
        <v>69</v>
      </c>
      <c r="AB1029" t="str" cm="1">
        <f t="array" ref="AB1029">_xlfn.IFS(cleaned_data[[#This Row],[YearsAtCompany]]&lt;=5, "0-5",cleaned_data[[#This Row],[YearsAtCompany]]&lt;=10,"6-10",TRUE,"10+")</f>
        <v>0-5</v>
      </c>
    </row>
    <row r="1030" spans="1:28" x14ac:dyDescent="0.3">
      <c r="A1030" s="2">
        <v>41</v>
      </c>
      <c r="B1030" t="s">
        <v>43</v>
      </c>
      <c r="C1030">
        <v>0</v>
      </c>
      <c r="D1030" t="s">
        <v>36</v>
      </c>
      <c r="E1030" t="s">
        <v>45</v>
      </c>
      <c r="F1030">
        <v>5</v>
      </c>
      <c r="G1030" t="s">
        <v>51</v>
      </c>
      <c r="H1030" t="s">
        <v>1100</v>
      </c>
      <c r="I1030">
        <v>2</v>
      </c>
      <c r="J1030" t="s">
        <v>46</v>
      </c>
      <c r="K1030">
        <v>4</v>
      </c>
      <c r="L1030">
        <v>1</v>
      </c>
      <c r="M1030" t="s">
        <v>47</v>
      </c>
      <c r="N1030">
        <v>3</v>
      </c>
      <c r="O1030" t="s">
        <v>48</v>
      </c>
      <c r="P1030" s="1">
        <v>2127</v>
      </c>
      <c r="Q1030" t="s">
        <v>72</v>
      </c>
      <c r="R1030" t="s">
        <v>35</v>
      </c>
      <c r="S1030">
        <v>3</v>
      </c>
      <c r="T1030">
        <v>7</v>
      </c>
      <c r="U1030">
        <v>2</v>
      </c>
      <c r="V1030">
        <v>4</v>
      </c>
      <c r="W1030">
        <v>2</v>
      </c>
      <c r="X1030">
        <v>0</v>
      </c>
      <c r="Y1030">
        <v>3</v>
      </c>
      <c r="Z1030" t="s">
        <v>1550</v>
      </c>
      <c r="AA1030" t="s">
        <v>69</v>
      </c>
      <c r="AB1030" t="str" cm="1">
        <f t="array" ref="AB1030">_xlfn.IFS(cleaned_data[[#This Row],[YearsAtCompany]]&lt;=5, "0-5",cleaned_data[[#This Row],[YearsAtCompany]]&lt;=10,"6-10",TRUE,"10+")</f>
        <v>0-5</v>
      </c>
    </row>
    <row r="1031" spans="1:28" x14ac:dyDescent="0.3">
      <c r="A1031" s="2">
        <v>40</v>
      </c>
      <c r="B1031" t="s">
        <v>43</v>
      </c>
      <c r="C1031">
        <v>0</v>
      </c>
      <c r="D1031" t="s">
        <v>55</v>
      </c>
      <c r="E1031" t="s">
        <v>45</v>
      </c>
      <c r="F1031">
        <v>9</v>
      </c>
      <c r="G1031" t="s">
        <v>49</v>
      </c>
      <c r="H1031" t="s">
        <v>1101</v>
      </c>
      <c r="I1031">
        <v>3</v>
      </c>
      <c r="J1031" t="s">
        <v>46</v>
      </c>
      <c r="K1031">
        <v>3</v>
      </c>
      <c r="L1031">
        <v>2</v>
      </c>
      <c r="M1031" t="s">
        <v>50</v>
      </c>
      <c r="N1031">
        <v>3</v>
      </c>
      <c r="O1031" t="s">
        <v>52</v>
      </c>
      <c r="P1031" s="1">
        <v>3975</v>
      </c>
      <c r="Q1031" t="s">
        <v>72</v>
      </c>
      <c r="R1031" t="s">
        <v>43</v>
      </c>
      <c r="S1031">
        <v>3</v>
      </c>
      <c r="T1031">
        <v>11</v>
      </c>
      <c r="U1031">
        <v>4</v>
      </c>
      <c r="V1031">
        <v>8</v>
      </c>
      <c r="W1031">
        <v>7</v>
      </c>
      <c r="X1031">
        <v>0</v>
      </c>
      <c r="Y1031">
        <v>7</v>
      </c>
      <c r="Z1031" t="s">
        <v>1550</v>
      </c>
      <c r="AA1031" t="s">
        <v>69</v>
      </c>
      <c r="AB1031" t="str" cm="1">
        <f t="array" ref="AB1031">_xlfn.IFS(cleaned_data[[#This Row],[YearsAtCompany]]&lt;=5, "0-5",cleaned_data[[#This Row],[YearsAtCompany]]&lt;=10,"6-10",TRUE,"10+")</f>
        <v>6-10</v>
      </c>
    </row>
    <row r="1032" spans="1:28" x14ac:dyDescent="0.3">
      <c r="A1032" s="2">
        <v>31</v>
      </c>
      <c r="B1032" t="s">
        <v>43</v>
      </c>
      <c r="C1032">
        <v>0</v>
      </c>
      <c r="D1032" t="s">
        <v>36</v>
      </c>
      <c r="E1032" t="s">
        <v>37</v>
      </c>
      <c r="F1032">
        <v>8</v>
      </c>
      <c r="G1032" t="s">
        <v>38</v>
      </c>
      <c r="H1032" t="s">
        <v>1102</v>
      </c>
      <c r="I1032">
        <v>1</v>
      </c>
      <c r="J1032" t="s">
        <v>46</v>
      </c>
      <c r="K1032">
        <v>3</v>
      </c>
      <c r="L1032">
        <v>3</v>
      </c>
      <c r="M1032" t="s">
        <v>40</v>
      </c>
      <c r="N1032">
        <v>4</v>
      </c>
      <c r="O1032" t="s">
        <v>52</v>
      </c>
      <c r="P1032" s="1">
        <v>10793</v>
      </c>
      <c r="Q1032" t="s">
        <v>67</v>
      </c>
      <c r="R1032" t="s">
        <v>43</v>
      </c>
      <c r="S1032">
        <v>3</v>
      </c>
      <c r="T1032">
        <v>13</v>
      </c>
      <c r="U1032">
        <v>3</v>
      </c>
      <c r="V1032">
        <v>13</v>
      </c>
      <c r="W1032">
        <v>7</v>
      </c>
      <c r="X1032">
        <v>9</v>
      </c>
      <c r="Y1032">
        <v>9</v>
      </c>
      <c r="Z1032" t="s">
        <v>1551</v>
      </c>
      <c r="AA1032" t="s">
        <v>69</v>
      </c>
      <c r="AB1032" t="str" cm="1">
        <f t="array" ref="AB1032">_xlfn.IFS(cleaned_data[[#This Row],[YearsAtCompany]]&lt;=5, "0-5",cleaned_data[[#This Row],[YearsAtCompany]]&lt;=10,"6-10",TRUE,"10+")</f>
        <v>10+</v>
      </c>
    </row>
    <row r="1033" spans="1:28" x14ac:dyDescent="0.3">
      <c r="A1033" s="2">
        <v>46</v>
      </c>
      <c r="B1033" t="s">
        <v>35</v>
      </c>
      <c r="C1033">
        <v>1</v>
      </c>
      <c r="D1033" t="s">
        <v>36</v>
      </c>
      <c r="E1033" t="s">
        <v>37</v>
      </c>
      <c r="F1033">
        <v>9</v>
      </c>
      <c r="G1033" t="s">
        <v>59</v>
      </c>
      <c r="H1033" t="s">
        <v>1103</v>
      </c>
      <c r="I1033">
        <v>1</v>
      </c>
      <c r="J1033" t="s">
        <v>46</v>
      </c>
      <c r="K1033">
        <v>3</v>
      </c>
      <c r="L1033">
        <v>3</v>
      </c>
      <c r="M1033" t="s">
        <v>40</v>
      </c>
      <c r="N1033">
        <v>4</v>
      </c>
      <c r="O1033" t="s">
        <v>52</v>
      </c>
      <c r="P1033" s="1">
        <v>10096</v>
      </c>
      <c r="Q1033" t="s">
        <v>67</v>
      </c>
      <c r="R1033" t="s">
        <v>43</v>
      </c>
      <c r="S1033">
        <v>3</v>
      </c>
      <c r="T1033">
        <v>28</v>
      </c>
      <c r="U1033">
        <v>4</v>
      </c>
      <c r="V1033">
        <v>7</v>
      </c>
      <c r="W1033">
        <v>7</v>
      </c>
      <c r="X1033">
        <v>4</v>
      </c>
      <c r="Y1033">
        <v>3</v>
      </c>
      <c r="Z1033" t="s">
        <v>106</v>
      </c>
      <c r="AA1033" t="s">
        <v>82</v>
      </c>
      <c r="AB1033" t="str" cm="1">
        <f t="array" ref="AB1033">_xlfn.IFS(cleaned_data[[#This Row],[YearsAtCompany]]&lt;=5, "0-5",cleaned_data[[#This Row],[YearsAtCompany]]&lt;=10,"6-10",TRUE,"10+")</f>
        <v>6-10</v>
      </c>
    </row>
    <row r="1034" spans="1:28" x14ac:dyDescent="0.3">
      <c r="A1034" s="2">
        <v>39</v>
      </c>
      <c r="B1034" t="s">
        <v>35</v>
      </c>
      <c r="C1034">
        <v>1</v>
      </c>
      <c r="D1034" t="s">
        <v>55</v>
      </c>
      <c r="E1034" t="s">
        <v>45</v>
      </c>
      <c r="F1034">
        <v>2</v>
      </c>
      <c r="G1034" t="s">
        <v>38</v>
      </c>
      <c r="H1034" t="s">
        <v>1104</v>
      </c>
      <c r="I1034">
        <v>1</v>
      </c>
      <c r="J1034" t="s">
        <v>39</v>
      </c>
      <c r="K1034">
        <v>2</v>
      </c>
      <c r="L1034">
        <v>1</v>
      </c>
      <c r="M1034" t="s">
        <v>50</v>
      </c>
      <c r="N1034">
        <v>1</v>
      </c>
      <c r="O1034" t="s">
        <v>41</v>
      </c>
      <c r="P1034" s="6">
        <v>3646</v>
      </c>
      <c r="Q1034" t="s">
        <v>72</v>
      </c>
      <c r="R1034" t="s">
        <v>35</v>
      </c>
      <c r="S1034">
        <v>4</v>
      </c>
      <c r="T1034">
        <v>11</v>
      </c>
      <c r="U1034">
        <v>4</v>
      </c>
      <c r="V1034">
        <v>1</v>
      </c>
      <c r="W1034">
        <v>0</v>
      </c>
      <c r="X1034">
        <v>0</v>
      </c>
      <c r="Y1034">
        <v>0</v>
      </c>
      <c r="Z1034" t="s">
        <v>1550</v>
      </c>
      <c r="AA1034" t="s">
        <v>69</v>
      </c>
      <c r="AB1034" t="str" cm="1">
        <f t="array" ref="AB1034">_xlfn.IFS(cleaned_data[[#This Row],[YearsAtCompany]]&lt;=5, "0-5",cleaned_data[[#This Row],[YearsAtCompany]]&lt;=10,"6-10",TRUE,"10+")</f>
        <v>0-5</v>
      </c>
    </row>
    <row r="1035" spans="1:28" x14ac:dyDescent="0.3">
      <c r="A1035" s="2">
        <v>31</v>
      </c>
      <c r="B1035" t="s">
        <v>35</v>
      </c>
      <c r="C1035">
        <v>1</v>
      </c>
      <c r="D1035" t="s">
        <v>44</v>
      </c>
      <c r="E1035" t="s">
        <v>45</v>
      </c>
      <c r="F1035">
        <v>1</v>
      </c>
      <c r="G1035" t="s">
        <v>38</v>
      </c>
      <c r="H1035" t="s">
        <v>1105</v>
      </c>
      <c r="I1035">
        <v>3</v>
      </c>
      <c r="J1035" t="s">
        <v>39</v>
      </c>
      <c r="K1035">
        <v>4</v>
      </c>
      <c r="L1035">
        <v>3</v>
      </c>
      <c r="M1035" t="s">
        <v>53</v>
      </c>
      <c r="N1035">
        <v>2</v>
      </c>
      <c r="O1035" t="s">
        <v>41</v>
      </c>
      <c r="P1035" s="1">
        <v>7446</v>
      </c>
      <c r="Q1035" t="s">
        <v>67</v>
      </c>
      <c r="R1035" t="s">
        <v>43</v>
      </c>
      <c r="S1035">
        <v>3</v>
      </c>
      <c r="T1035">
        <v>10</v>
      </c>
      <c r="U1035">
        <v>3</v>
      </c>
      <c r="V1035">
        <v>10</v>
      </c>
      <c r="W1035">
        <v>8</v>
      </c>
      <c r="X1035">
        <v>4</v>
      </c>
      <c r="Y1035">
        <v>7</v>
      </c>
      <c r="Z1035" t="s">
        <v>1551</v>
      </c>
      <c r="AA1035" t="s">
        <v>69</v>
      </c>
      <c r="AB1035" t="str" cm="1">
        <f t="array" ref="AB1035">_xlfn.IFS(cleaned_data[[#This Row],[YearsAtCompany]]&lt;=5, "0-5",cleaned_data[[#This Row],[YearsAtCompany]]&lt;=10,"6-10",TRUE,"10+")</f>
        <v>6-10</v>
      </c>
    </row>
    <row r="1036" spans="1:28" x14ac:dyDescent="0.3">
      <c r="A1036" s="2">
        <v>45</v>
      </c>
      <c r="B1036" t="s">
        <v>43</v>
      </c>
      <c r="C1036">
        <v>0</v>
      </c>
      <c r="D1036" t="s">
        <v>36</v>
      </c>
      <c r="E1036" t="s">
        <v>45</v>
      </c>
      <c r="F1036">
        <v>20</v>
      </c>
      <c r="G1036" t="s">
        <v>51</v>
      </c>
      <c r="H1036" t="s">
        <v>1106</v>
      </c>
      <c r="I1036">
        <v>2</v>
      </c>
      <c r="J1036" t="s">
        <v>46</v>
      </c>
      <c r="K1036">
        <v>1</v>
      </c>
      <c r="L1036">
        <v>3</v>
      </c>
      <c r="M1036" t="s">
        <v>54</v>
      </c>
      <c r="N1036">
        <v>1</v>
      </c>
      <c r="O1036" t="s">
        <v>52</v>
      </c>
      <c r="P1036" s="6">
        <v>10851</v>
      </c>
      <c r="Q1036" t="s">
        <v>67</v>
      </c>
      <c r="R1036" t="s">
        <v>35</v>
      </c>
      <c r="S1036">
        <v>3</v>
      </c>
      <c r="T1036">
        <v>24</v>
      </c>
      <c r="U1036">
        <v>3</v>
      </c>
      <c r="V1036">
        <v>7</v>
      </c>
      <c r="W1036">
        <v>7</v>
      </c>
      <c r="X1036">
        <v>0</v>
      </c>
      <c r="Y1036">
        <v>7</v>
      </c>
      <c r="Z1036" t="s">
        <v>1550</v>
      </c>
      <c r="AA1036" t="s">
        <v>82</v>
      </c>
      <c r="AB1036" t="str" cm="1">
        <f t="array" ref="AB1036">_xlfn.IFS(cleaned_data[[#This Row],[YearsAtCompany]]&lt;=5, "0-5",cleaned_data[[#This Row],[YearsAtCompany]]&lt;=10,"6-10",TRUE,"10+")</f>
        <v>6-10</v>
      </c>
    </row>
    <row r="1037" spans="1:28" x14ac:dyDescent="0.3">
      <c r="A1037" s="2">
        <v>31</v>
      </c>
      <c r="B1037" t="s">
        <v>43</v>
      </c>
      <c r="C1037">
        <v>0</v>
      </c>
      <c r="D1037" t="s">
        <v>36</v>
      </c>
      <c r="E1037" t="s">
        <v>61</v>
      </c>
      <c r="F1037">
        <v>8</v>
      </c>
      <c r="G1037" t="s">
        <v>51</v>
      </c>
      <c r="H1037" t="s">
        <v>1107</v>
      </c>
      <c r="I1037">
        <v>4</v>
      </c>
      <c r="J1037" t="s">
        <v>39</v>
      </c>
      <c r="K1037">
        <v>4</v>
      </c>
      <c r="L1037">
        <v>1</v>
      </c>
      <c r="M1037" t="s">
        <v>61</v>
      </c>
      <c r="N1037">
        <v>2</v>
      </c>
      <c r="O1037" t="s">
        <v>41</v>
      </c>
      <c r="P1037" s="1">
        <v>2109</v>
      </c>
      <c r="Q1037" t="s">
        <v>72</v>
      </c>
      <c r="R1037" t="s">
        <v>43</v>
      </c>
      <c r="S1037">
        <v>3</v>
      </c>
      <c r="T1037">
        <v>8</v>
      </c>
      <c r="U1037">
        <v>3</v>
      </c>
      <c r="V1037">
        <v>3</v>
      </c>
      <c r="W1037">
        <v>2</v>
      </c>
      <c r="X1037">
        <v>0</v>
      </c>
      <c r="Y1037">
        <v>2</v>
      </c>
      <c r="Z1037" t="s">
        <v>1551</v>
      </c>
      <c r="AA1037" t="s">
        <v>69</v>
      </c>
      <c r="AB1037" t="str" cm="1">
        <f t="array" ref="AB1037">_xlfn.IFS(cleaned_data[[#This Row],[YearsAtCompany]]&lt;=5, "0-5",cleaned_data[[#This Row],[YearsAtCompany]]&lt;=10,"6-10",TRUE,"10+")</f>
        <v>0-5</v>
      </c>
    </row>
    <row r="1038" spans="1:28" x14ac:dyDescent="0.3">
      <c r="A1038" s="2">
        <v>31</v>
      </c>
      <c r="B1038" t="s">
        <v>35</v>
      </c>
      <c r="C1038">
        <v>1</v>
      </c>
      <c r="D1038" t="s">
        <v>44</v>
      </c>
      <c r="E1038" t="s">
        <v>45</v>
      </c>
      <c r="F1038">
        <v>2</v>
      </c>
      <c r="G1038" t="s">
        <v>38</v>
      </c>
      <c r="H1038" t="s">
        <v>1108</v>
      </c>
      <c r="I1038">
        <v>2</v>
      </c>
      <c r="J1038" t="s">
        <v>46</v>
      </c>
      <c r="K1038">
        <v>3</v>
      </c>
      <c r="L1038">
        <v>1</v>
      </c>
      <c r="M1038" t="s">
        <v>50</v>
      </c>
      <c r="N1038">
        <v>4</v>
      </c>
      <c r="O1038" t="s">
        <v>48</v>
      </c>
      <c r="P1038" s="1">
        <v>3722</v>
      </c>
      <c r="Q1038" t="s">
        <v>72</v>
      </c>
      <c r="R1038" t="s">
        <v>35</v>
      </c>
      <c r="S1038">
        <v>3</v>
      </c>
      <c r="T1038">
        <v>7</v>
      </c>
      <c r="U1038">
        <v>1</v>
      </c>
      <c r="V1038">
        <v>2</v>
      </c>
      <c r="W1038">
        <v>2</v>
      </c>
      <c r="X1038">
        <v>2</v>
      </c>
      <c r="Y1038">
        <v>2</v>
      </c>
      <c r="Z1038" t="s">
        <v>1551</v>
      </c>
      <c r="AA1038" t="s">
        <v>69</v>
      </c>
      <c r="AB1038" t="str" cm="1">
        <f t="array" ref="AB1038">_xlfn.IFS(cleaned_data[[#This Row],[YearsAtCompany]]&lt;=5, "0-5",cleaned_data[[#This Row],[YearsAtCompany]]&lt;=10,"6-10",TRUE,"10+")</f>
        <v>0-5</v>
      </c>
    </row>
    <row r="1039" spans="1:28" x14ac:dyDescent="0.3">
      <c r="A1039" s="2">
        <v>45</v>
      </c>
      <c r="B1039" t="s">
        <v>43</v>
      </c>
      <c r="C1039">
        <v>0</v>
      </c>
      <c r="D1039" t="s">
        <v>36</v>
      </c>
      <c r="E1039" t="s">
        <v>45</v>
      </c>
      <c r="F1039">
        <v>29</v>
      </c>
      <c r="G1039" t="s">
        <v>60</v>
      </c>
      <c r="H1039" t="s">
        <v>1109</v>
      </c>
      <c r="I1039">
        <v>2</v>
      </c>
      <c r="J1039" t="s">
        <v>46</v>
      </c>
      <c r="K1039">
        <v>3</v>
      </c>
      <c r="L1039">
        <v>3</v>
      </c>
      <c r="M1039" t="s">
        <v>53</v>
      </c>
      <c r="N1039">
        <v>4</v>
      </c>
      <c r="O1039" t="s">
        <v>48</v>
      </c>
      <c r="P1039" s="1">
        <v>9380</v>
      </c>
      <c r="Q1039" t="s">
        <v>67</v>
      </c>
      <c r="R1039" t="s">
        <v>35</v>
      </c>
      <c r="S1039">
        <v>3</v>
      </c>
      <c r="T1039">
        <v>10</v>
      </c>
      <c r="U1039">
        <v>4</v>
      </c>
      <c r="V1039">
        <v>3</v>
      </c>
      <c r="W1039">
        <v>1</v>
      </c>
      <c r="X1039">
        <v>1</v>
      </c>
      <c r="Y1039">
        <v>2</v>
      </c>
      <c r="Z1039" t="s">
        <v>1550</v>
      </c>
      <c r="AA1039" t="s">
        <v>69</v>
      </c>
      <c r="AB1039" t="str" cm="1">
        <f t="array" ref="AB1039">_xlfn.IFS(cleaned_data[[#This Row],[YearsAtCompany]]&lt;=5, "0-5",cleaned_data[[#This Row],[YearsAtCompany]]&lt;=10,"6-10",TRUE,"10+")</f>
        <v>0-5</v>
      </c>
    </row>
    <row r="1040" spans="1:28" x14ac:dyDescent="0.3">
      <c r="A1040" s="2">
        <v>48</v>
      </c>
      <c r="B1040" t="s">
        <v>43</v>
      </c>
      <c r="C1040">
        <v>0</v>
      </c>
      <c r="D1040" t="s">
        <v>36</v>
      </c>
      <c r="E1040" t="s">
        <v>37</v>
      </c>
      <c r="F1040">
        <v>7</v>
      </c>
      <c r="G1040" t="s">
        <v>59</v>
      </c>
      <c r="H1040" t="s">
        <v>1110</v>
      </c>
      <c r="I1040">
        <v>3</v>
      </c>
      <c r="J1040" t="s">
        <v>46</v>
      </c>
      <c r="K1040">
        <v>3</v>
      </c>
      <c r="L1040">
        <v>2</v>
      </c>
      <c r="M1040" t="s">
        <v>40</v>
      </c>
      <c r="N1040">
        <v>1</v>
      </c>
      <c r="O1040" t="s">
        <v>52</v>
      </c>
      <c r="P1040" s="6">
        <v>5486</v>
      </c>
      <c r="Q1040" t="s">
        <v>67</v>
      </c>
      <c r="R1040" t="s">
        <v>43</v>
      </c>
      <c r="S1040">
        <v>3</v>
      </c>
      <c r="T1040">
        <v>15</v>
      </c>
      <c r="U1040">
        <v>3</v>
      </c>
      <c r="V1040">
        <v>2</v>
      </c>
      <c r="W1040">
        <v>2</v>
      </c>
      <c r="X1040">
        <v>2</v>
      </c>
      <c r="Y1040">
        <v>2</v>
      </c>
      <c r="Z1040" t="s">
        <v>106</v>
      </c>
      <c r="AA1040" t="s">
        <v>69</v>
      </c>
      <c r="AB1040" t="str" cm="1">
        <f t="array" ref="AB1040">_xlfn.IFS(cleaned_data[[#This Row],[YearsAtCompany]]&lt;=5, "0-5",cleaned_data[[#This Row],[YearsAtCompany]]&lt;=10,"6-10",TRUE,"10+")</f>
        <v>0-5</v>
      </c>
    </row>
    <row r="1041" spans="1:28" x14ac:dyDescent="0.3">
      <c r="A1041" s="2">
        <v>34</v>
      </c>
      <c r="B1041" t="s">
        <v>35</v>
      </c>
      <c r="C1041">
        <v>1</v>
      </c>
      <c r="D1041" t="s">
        <v>36</v>
      </c>
      <c r="E1041" t="s">
        <v>61</v>
      </c>
      <c r="F1041">
        <v>9</v>
      </c>
      <c r="G1041" t="s">
        <v>60</v>
      </c>
      <c r="H1041" t="s">
        <v>1111</v>
      </c>
      <c r="I1041">
        <v>1</v>
      </c>
      <c r="J1041" t="s">
        <v>39</v>
      </c>
      <c r="K1041">
        <v>3</v>
      </c>
      <c r="L1041">
        <v>1</v>
      </c>
      <c r="M1041" t="s">
        <v>61</v>
      </c>
      <c r="N1041">
        <v>3</v>
      </c>
      <c r="O1041" t="s">
        <v>48</v>
      </c>
      <c r="P1041" s="1">
        <v>2742</v>
      </c>
      <c r="Q1041" t="s">
        <v>72</v>
      </c>
      <c r="R1041" t="s">
        <v>43</v>
      </c>
      <c r="S1041">
        <v>3</v>
      </c>
      <c r="T1041">
        <v>2</v>
      </c>
      <c r="U1041">
        <v>3</v>
      </c>
      <c r="V1041">
        <v>2</v>
      </c>
      <c r="W1041">
        <v>2</v>
      </c>
      <c r="X1041">
        <v>2</v>
      </c>
      <c r="Y1041">
        <v>2</v>
      </c>
      <c r="Z1041" t="s">
        <v>1551</v>
      </c>
      <c r="AA1041" t="s">
        <v>78</v>
      </c>
      <c r="AB1041" t="str" cm="1">
        <f t="array" ref="AB1041">_xlfn.IFS(cleaned_data[[#This Row],[YearsAtCompany]]&lt;=5, "0-5",cleaned_data[[#This Row],[YearsAtCompany]]&lt;=10,"6-10",TRUE,"10+")</f>
        <v>0-5</v>
      </c>
    </row>
    <row r="1042" spans="1:28" x14ac:dyDescent="0.3">
      <c r="A1042" s="2">
        <v>40</v>
      </c>
      <c r="B1042" t="s">
        <v>43</v>
      </c>
      <c r="C1042">
        <v>0</v>
      </c>
      <c r="D1042" t="s">
        <v>55</v>
      </c>
      <c r="E1042" t="s">
        <v>45</v>
      </c>
      <c r="F1042">
        <v>8</v>
      </c>
      <c r="G1042" t="s">
        <v>51</v>
      </c>
      <c r="H1042" t="s">
        <v>1112</v>
      </c>
      <c r="I1042">
        <v>4</v>
      </c>
      <c r="J1042" t="s">
        <v>46</v>
      </c>
      <c r="K1042">
        <v>2</v>
      </c>
      <c r="L1042">
        <v>3</v>
      </c>
      <c r="M1042" t="s">
        <v>58</v>
      </c>
      <c r="N1042">
        <v>2</v>
      </c>
      <c r="O1042" t="s">
        <v>52</v>
      </c>
      <c r="P1042" s="1">
        <v>13757</v>
      </c>
      <c r="Q1042" t="s">
        <v>90</v>
      </c>
      <c r="R1042" t="s">
        <v>43</v>
      </c>
      <c r="S1042">
        <v>3</v>
      </c>
      <c r="T1042">
        <v>16</v>
      </c>
      <c r="U1042">
        <v>3</v>
      </c>
      <c r="V1042">
        <v>9</v>
      </c>
      <c r="W1042">
        <v>8</v>
      </c>
      <c r="X1042">
        <v>4</v>
      </c>
      <c r="Y1042">
        <v>8</v>
      </c>
      <c r="Z1042" t="s">
        <v>1550</v>
      </c>
      <c r="AA1042" t="s">
        <v>82</v>
      </c>
      <c r="AB1042" t="str" cm="1">
        <f t="array" ref="AB1042">_xlfn.IFS(cleaned_data[[#This Row],[YearsAtCompany]]&lt;=5, "0-5",cleaned_data[[#This Row],[YearsAtCompany]]&lt;=10,"6-10",TRUE,"10+")</f>
        <v>6-10</v>
      </c>
    </row>
    <row r="1043" spans="1:28" x14ac:dyDescent="0.3">
      <c r="A1043" s="2">
        <v>28</v>
      </c>
      <c r="B1043" t="s">
        <v>43</v>
      </c>
      <c r="C1043">
        <v>0</v>
      </c>
      <c r="D1043" t="s">
        <v>36</v>
      </c>
      <c r="E1043" t="s">
        <v>37</v>
      </c>
      <c r="F1043">
        <v>5</v>
      </c>
      <c r="G1043" t="s">
        <v>51</v>
      </c>
      <c r="H1043" t="s">
        <v>1113</v>
      </c>
      <c r="I1043">
        <v>4</v>
      </c>
      <c r="J1043" t="s">
        <v>46</v>
      </c>
      <c r="K1043">
        <v>3</v>
      </c>
      <c r="L1043">
        <v>2</v>
      </c>
      <c r="M1043" t="s">
        <v>40</v>
      </c>
      <c r="N1043">
        <v>1</v>
      </c>
      <c r="O1043" t="s">
        <v>41</v>
      </c>
      <c r="P1043" s="6">
        <v>8463</v>
      </c>
      <c r="Q1043" t="s">
        <v>67</v>
      </c>
      <c r="R1043" t="s">
        <v>43</v>
      </c>
      <c r="S1043">
        <v>3</v>
      </c>
      <c r="T1043">
        <v>6</v>
      </c>
      <c r="U1043">
        <v>3</v>
      </c>
      <c r="V1043">
        <v>5</v>
      </c>
      <c r="W1043">
        <v>4</v>
      </c>
      <c r="X1043">
        <v>1</v>
      </c>
      <c r="Y1043">
        <v>3</v>
      </c>
      <c r="Z1043" t="s">
        <v>1551</v>
      </c>
      <c r="AA1043" t="s">
        <v>69</v>
      </c>
      <c r="AB1043" t="str" cm="1">
        <f t="array" ref="AB1043">_xlfn.IFS(cleaned_data[[#This Row],[YearsAtCompany]]&lt;=5, "0-5",cleaned_data[[#This Row],[YearsAtCompany]]&lt;=10,"6-10",TRUE,"10+")</f>
        <v>0-5</v>
      </c>
    </row>
    <row r="1044" spans="1:28" x14ac:dyDescent="0.3">
      <c r="A1044" s="2">
        <v>44</v>
      </c>
      <c r="B1044" t="s">
        <v>43</v>
      </c>
      <c r="C1044">
        <v>0</v>
      </c>
      <c r="D1044" t="s">
        <v>55</v>
      </c>
      <c r="E1044" t="s">
        <v>45</v>
      </c>
      <c r="F1044">
        <v>5</v>
      </c>
      <c r="G1044" t="s">
        <v>38</v>
      </c>
      <c r="H1044" t="s">
        <v>1114</v>
      </c>
      <c r="I1044">
        <v>3</v>
      </c>
      <c r="J1044" t="s">
        <v>46</v>
      </c>
      <c r="K1044">
        <v>2</v>
      </c>
      <c r="L1044">
        <v>1</v>
      </c>
      <c r="M1044" t="s">
        <v>50</v>
      </c>
      <c r="N1044">
        <v>3</v>
      </c>
      <c r="O1044" t="s">
        <v>41</v>
      </c>
      <c r="P1044" s="1">
        <v>3162</v>
      </c>
      <c r="Q1044" t="s">
        <v>72</v>
      </c>
      <c r="R1044" t="s">
        <v>43</v>
      </c>
      <c r="S1044">
        <v>3</v>
      </c>
      <c r="T1044">
        <v>7</v>
      </c>
      <c r="U1044">
        <v>3</v>
      </c>
      <c r="V1044">
        <v>5</v>
      </c>
      <c r="W1044">
        <v>2</v>
      </c>
      <c r="X1044">
        <v>0</v>
      </c>
      <c r="Y1044">
        <v>3</v>
      </c>
      <c r="Z1044" t="s">
        <v>1550</v>
      </c>
      <c r="AA1044" t="s">
        <v>69</v>
      </c>
      <c r="AB1044" t="str" cm="1">
        <f t="array" ref="AB1044">_xlfn.IFS(cleaned_data[[#This Row],[YearsAtCompany]]&lt;=5, "0-5",cleaned_data[[#This Row],[YearsAtCompany]]&lt;=10,"6-10",TRUE,"10+")</f>
        <v>0-5</v>
      </c>
    </row>
    <row r="1045" spans="1:28" x14ac:dyDescent="0.3">
      <c r="A1045" s="2">
        <v>53</v>
      </c>
      <c r="B1045" t="s">
        <v>43</v>
      </c>
      <c r="C1045">
        <v>0</v>
      </c>
      <c r="D1045" t="s">
        <v>36</v>
      </c>
      <c r="E1045" t="s">
        <v>45</v>
      </c>
      <c r="F1045">
        <v>2</v>
      </c>
      <c r="G1045" t="s">
        <v>51</v>
      </c>
      <c r="H1045" t="s">
        <v>1115</v>
      </c>
      <c r="I1045">
        <v>4</v>
      </c>
      <c r="J1045" t="s">
        <v>46</v>
      </c>
      <c r="K1045">
        <v>4</v>
      </c>
      <c r="L1045">
        <v>4</v>
      </c>
      <c r="M1045" t="s">
        <v>58</v>
      </c>
      <c r="N1045">
        <v>2</v>
      </c>
      <c r="O1045" t="s">
        <v>41</v>
      </c>
      <c r="P1045" s="1">
        <v>16598</v>
      </c>
      <c r="Q1045" t="s">
        <v>90</v>
      </c>
      <c r="R1045" t="s">
        <v>43</v>
      </c>
      <c r="S1045">
        <v>3</v>
      </c>
      <c r="T1045">
        <v>35</v>
      </c>
      <c r="U1045">
        <v>2</v>
      </c>
      <c r="V1045">
        <v>9</v>
      </c>
      <c r="W1045">
        <v>8</v>
      </c>
      <c r="X1045">
        <v>8</v>
      </c>
      <c r="Y1045">
        <v>8</v>
      </c>
      <c r="Z1045" t="s">
        <v>106</v>
      </c>
      <c r="AA1045" t="s">
        <v>82</v>
      </c>
      <c r="AB1045" t="str" cm="1">
        <f t="array" ref="AB1045">_xlfn.IFS(cleaned_data[[#This Row],[YearsAtCompany]]&lt;=5, "0-5",cleaned_data[[#This Row],[YearsAtCompany]]&lt;=10,"6-10",TRUE,"10+")</f>
        <v>6-10</v>
      </c>
    </row>
    <row r="1046" spans="1:28" x14ac:dyDescent="0.3">
      <c r="A1046" s="2">
        <v>49</v>
      </c>
      <c r="B1046" t="s">
        <v>43</v>
      </c>
      <c r="C1046">
        <v>0</v>
      </c>
      <c r="D1046" t="s">
        <v>36</v>
      </c>
      <c r="E1046" t="s">
        <v>45</v>
      </c>
      <c r="F1046">
        <v>5</v>
      </c>
      <c r="G1046" t="s">
        <v>60</v>
      </c>
      <c r="H1046" t="s">
        <v>1116</v>
      </c>
      <c r="I1046">
        <v>1</v>
      </c>
      <c r="J1046" t="s">
        <v>46</v>
      </c>
      <c r="K1046">
        <v>3</v>
      </c>
      <c r="L1046">
        <v>2</v>
      </c>
      <c r="M1046" t="s">
        <v>54</v>
      </c>
      <c r="N1046">
        <v>3</v>
      </c>
      <c r="O1046" t="s">
        <v>48</v>
      </c>
      <c r="P1046" s="1">
        <v>6651</v>
      </c>
      <c r="Q1046" t="s">
        <v>67</v>
      </c>
      <c r="R1046" t="s">
        <v>43</v>
      </c>
      <c r="S1046">
        <v>3</v>
      </c>
      <c r="T1046">
        <v>20</v>
      </c>
      <c r="U1046">
        <v>2</v>
      </c>
      <c r="V1046">
        <v>3</v>
      </c>
      <c r="W1046">
        <v>2</v>
      </c>
      <c r="X1046">
        <v>1</v>
      </c>
      <c r="Y1046">
        <v>2</v>
      </c>
      <c r="Z1046" t="s">
        <v>106</v>
      </c>
      <c r="AA1046" t="s">
        <v>82</v>
      </c>
      <c r="AB1046" t="str" cm="1">
        <f t="array" ref="AB1046">_xlfn.IFS(cleaned_data[[#This Row],[YearsAtCompany]]&lt;=5, "0-5",cleaned_data[[#This Row],[YearsAtCompany]]&lt;=10,"6-10",TRUE,"10+")</f>
        <v>0-5</v>
      </c>
    </row>
    <row r="1047" spans="1:28" x14ac:dyDescent="0.3">
      <c r="A1047" s="2">
        <v>40</v>
      </c>
      <c r="B1047" t="s">
        <v>43</v>
      </c>
      <c r="C1047">
        <v>0</v>
      </c>
      <c r="D1047" t="s">
        <v>36</v>
      </c>
      <c r="E1047" t="s">
        <v>45</v>
      </c>
      <c r="F1047">
        <v>2</v>
      </c>
      <c r="G1047" t="s">
        <v>51</v>
      </c>
      <c r="H1047" t="s">
        <v>1117</v>
      </c>
      <c r="I1047">
        <v>3</v>
      </c>
      <c r="J1047" t="s">
        <v>46</v>
      </c>
      <c r="K1047">
        <v>3</v>
      </c>
      <c r="L1047">
        <v>1</v>
      </c>
      <c r="M1047" t="s">
        <v>47</v>
      </c>
      <c r="N1047">
        <v>3</v>
      </c>
      <c r="O1047" t="s">
        <v>52</v>
      </c>
      <c r="P1047" s="1">
        <v>2345</v>
      </c>
      <c r="Q1047" t="s">
        <v>72</v>
      </c>
      <c r="R1047" t="s">
        <v>43</v>
      </c>
      <c r="S1047">
        <v>3</v>
      </c>
      <c r="T1047">
        <v>8</v>
      </c>
      <c r="U1047">
        <v>4</v>
      </c>
      <c r="V1047">
        <v>3</v>
      </c>
      <c r="W1047">
        <v>1</v>
      </c>
      <c r="X1047">
        <v>1</v>
      </c>
      <c r="Y1047">
        <v>2</v>
      </c>
      <c r="Z1047" t="s">
        <v>1550</v>
      </c>
      <c r="AA1047" t="s">
        <v>69</v>
      </c>
      <c r="AB1047" t="str" cm="1">
        <f t="array" ref="AB1047">_xlfn.IFS(cleaned_data[[#This Row],[YearsAtCompany]]&lt;=5, "0-5",cleaned_data[[#This Row],[YearsAtCompany]]&lt;=10,"6-10",TRUE,"10+")</f>
        <v>0-5</v>
      </c>
    </row>
    <row r="1048" spans="1:28" x14ac:dyDescent="0.3">
      <c r="A1048" s="2">
        <v>44</v>
      </c>
      <c r="B1048" t="s">
        <v>43</v>
      </c>
      <c r="C1048">
        <v>0</v>
      </c>
      <c r="D1048" t="s">
        <v>36</v>
      </c>
      <c r="E1048" t="s">
        <v>45</v>
      </c>
      <c r="F1048">
        <v>20</v>
      </c>
      <c r="G1048" t="s">
        <v>38</v>
      </c>
      <c r="H1048" t="s">
        <v>1118</v>
      </c>
      <c r="I1048">
        <v>4</v>
      </c>
      <c r="J1048" t="s">
        <v>46</v>
      </c>
      <c r="K1048">
        <v>3</v>
      </c>
      <c r="L1048">
        <v>1</v>
      </c>
      <c r="M1048" t="s">
        <v>47</v>
      </c>
      <c r="N1048">
        <v>2</v>
      </c>
      <c r="O1048" t="s">
        <v>41</v>
      </c>
      <c r="P1048" s="1">
        <v>3420</v>
      </c>
      <c r="Q1048" t="s">
        <v>72</v>
      </c>
      <c r="R1048" t="s">
        <v>43</v>
      </c>
      <c r="S1048">
        <v>3</v>
      </c>
      <c r="T1048">
        <v>6</v>
      </c>
      <c r="U1048">
        <v>2</v>
      </c>
      <c r="V1048">
        <v>5</v>
      </c>
      <c r="W1048">
        <v>2</v>
      </c>
      <c r="X1048">
        <v>1</v>
      </c>
      <c r="Y1048">
        <v>3</v>
      </c>
      <c r="Z1048" t="s">
        <v>1550</v>
      </c>
      <c r="AA1048" t="s">
        <v>69</v>
      </c>
      <c r="AB1048" t="str" cm="1">
        <f t="array" ref="AB1048">_xlfn.IFS(cleaned_data[[#This Row],[YearsAtCompany]]&lt;=5, "0-5",cleaned_data[[#This Row],[YearsAtCompany]]&lt;=10,"6-10",TRUE,"10+")</f>
        <v>0-5</v>
      </c>
    </row>
    <row r="1049" spans="1:28" x14ac:dyDescent="0.3">
      <c r="A1049" s="2">
        <v>33</v>
      </c>
      <c r="B1049" t="s">
        <v>43</v>
      </c>
      <c r="C1049">
        <v>0</v>
      </c>
      <c r="D1049" t="s">
        <v>44</v>
      </c>
      <c r="E1049" t="s">
        <v>37</v>
      </c>
      <c r="F1049">
        <v>7</v>
      </c>
      <c r="G1049" t="s">
        <v>51</v>
      </c>
      <c r="H1049" t="s">
        <v>1119</v>
      </c>
      <c r="I1049">
        <v>4</v>
      </c>
      <c r="J1049" t="s">
        <v>46</v>
      </c>
      <c r="K1049">
        <v>3</v>
      </c>
      <c r="L1049">
        <v>2</v>
      </c>
      <c r="M1049" t="s">
        <v>40</v>
      </c>
      <c r="N1049">
        <v>1</v>
      </c>
      <c r="O1049" t="s">
        <v>48</v>
      </c>
      <c r="P1049" s="6">
        <v>4373</v>
      </c>
      <c r="Q1049" t="s">
        <v>72</v>
      </c>
      <c r="R1049" t="s">
        <v>43</v>
      </c>
      <c r="S1049">
        <v>3</v>
      </c>
      <c r="T1049">
        <v>5</v>
      </c>
      <c r="U1049">
        <v>3</v>
      </c>
      <c r="V1049">
        <v>4</v>
      </c>
      <c r="W1049">
        <v>3</v>
      </c>
      <c r="X1049">
        <v>0</v>
      </c>
      <c r="Y1049">
        <v>3</v>
      </c>
      <c r="Z1049" t="s">
        <v>1551</v>
      </c>
      <c r="AA1049" t="s">
        <v>78</v>
      </c>
      <c r="AB1049" t="str" cm="1">
        <f t="array" ref="AB1049">_xlfn.IFS(cleaned_data[[#This Row],[YearsAtCompany]]&lt;=5, "0-5",cleaned_data[[#This Row],[YearsAtCompany]]&lt;=10,"6-10",TRUE,"10+")</f>
        <v>0-5</v>
      </c>
    </row>
    <row r="1050" spans="1:28" x14ac:dyDescent="0.3">
      <c r="A1050" s="2">
        <v>34</v>
      </c>
      <c r="B1050" t="s">
        <v>43</v>
      </c>
      <c r="C1050">
        <v>0</v>
      </c>
      <c r="D1050" t="s">
        <v>36</v>
      </c>
      <c r="E1050" t="s">
        <v>37</v>
      </c>
      <c r="F1050">
        <v>3</v>
      </c>
      <c r="G1050" t="s">
        <v>49</v>
      </c>
      <c r="H1050" t="s">
        <v>1120</v>
      </c>
      <c r="I1050">
        <v>4</v>
      </c>
      <c r="J1050" t="s">
        <v>46</v>
      </c>
      <c r="K1050">
        <v>1</v>
      </c>
      <c r="L1050">
        <v>2</v>
      </c>
      <c r="M1050" t="s">
        <v>40</v>
      </c>
      <c r="N1050">
        <v>1</v>
      </c>
      <c r="O1050" t="s">
        <v>41</v>
      </c>
      <c r="P1050" s="6">
        <v>4759</v>
      </c>
      <c r="Q1050" t="s">
        <v>72</v>
      </c>
      <c r="R1050" t="s">
        <v>43</v>
      </c>
      <c r="S1050">
        <v>3</v>
      </c>
      <c r="T1050">
        <v>15</v>
      </c>
      <c r="U1050">
        <v>3</v>
      </c>
      <c r="V1050">
        <v>13</v>
      </c>
      <c r="W1050">
        <v>9</v>
      </c>
      <c r="X1050">
        <v>3</v>
      </c>
      <c r="Y1050">
        <v>12</v>
      </c>
      <c r="Z1050" t="s">
        <v>1551</v>
      </c>
      <c r="AA1050" t="s">
        <v>69</v>
      </c>
      <c r="AB1050" t="str" cm="1">
        <f t="array" ref="AB1050">_xlfn.IFS(cleaned_data[[#This Row],[YearsAtCompany]]&lt;=5, "0-5",cleaned_data[[#This Row],[YearsAtCompany]]&lt;=10,"6-10",TRUE,"10+")</f>
        <v>10+</v>
      </c>
    </row>
    <row r="1051" spans="1:28" x14ac:dyDescent="0.3">
      <c r="A1051" s="2">
        <v>30</v>
      </c>
      <c r="B1051" t="s">
        <v>43</v>
      </c>
      <c r="C1051">
        <v>0</v>
      </c>
      <c r="D1051" t="s">
        <v>36</v>
      </c>
      <c r="E1051" t="s">
        <v>37</v>
      </c>
      <c r="F1051">
        <v>16</v>
      </c>
      <c r="G1051" t="s">
        <v>38</v>
      </c>
      <c r="H1051" t="s">
        <v>1121</v>
      </c>
      <c r="I1051">
        <v>4</v>
      </c>
      <c r="J1051" t="s">
        <v>46</v>
      </c>
      <c r="K1051">
        <v>3</v>
      </c>
      <c r="L1051">
        <v>2</v>
      </c>
      <c r="M1051" t="s">
        <v>40</v>
      </c>
      <c r="N1051">
        <v>3</v>
      </c>
      <c r="O1051" t="s">
        <v>48</v>
      </c>
      <c r="P1051" s="1">
        <v>5301</v>
      </c>
      <c r="Q1051" t="s">
        <v>67</v>
      </c>
      <c r="R1051" t="s">
        <v>43</v>
      </c>
      <c r="S1051">
        <v>3</v>
      </c>
      <c r="T1051">
        <v>4</v>
      </c>
      <c r="U1051">
        <v>2</v>
      </c>
      <c r="V1051">
        <v>2</v>
      </c>
      <c r="W1051">
        <v>1</v>
      </c>
      <c r="X1051">
        <v>2</v>
      </c>
      <c r="Y1051">
        <v>2</v>
      </c>
      <c r="Z1051" t="s">
        <v>1551</v>
      </c>
      <c r="AA1051" t="s">
        <v>78</v>
      </c>
      <c r="AB1051" t="str" cm="1">
        <f t="array" ref="AB1051">_xlfn.IFS(cleaned_data[[#This Row],[YearsAtCompany]]&lt;=5, "0-5",cleaned_data[[#This Row],[YearsAtCompany]]&lt;=10,"6-10",TRUE,"10+")</f>
        <v>0-5</v>
      </c>
    </row>
    <row r="1052" spans="1:28" x14ac:dyDescent="0.3">
      <c r="A1052" s="2">
        <v>42</v>
      </c>
      <c r="B1052" t="s">
        <v>43</v>
      </c>
      <c r="C1052">
        <v>0</v>
      </c>
      <c r="D1052" t="s">
        <v>44</v>
      </c>
      <c r="E1052" t="s">
        <v>45</v>
      </c>
      <c r="F1052">
        <v>9</v>
      </c>
      <c r="G1052" t="s">
        <v>51</v>
      </c>
      <c r="H1052" t="s">
        <v>1122</v>
      </c>
      <c r="I1052">
        <v>1</v>
      </c>
      <c r="J1052" t="s">
        <v>39</v>
      </c>
      <c r="K1052">
        <v>3</v>
      </c>
      <c r="L1052">
        <v>1</v>
      </c>
      <c r="M1052" t="s">
        <v>50</v>
      </c>
      <c r="N1052">
        <v>4</v>
      </c>
      <c r="O1052" t="s">
        <v>41</v>
      </c>
      <c r="P1052" s="1">
        <v>3673</v>
      </c>
      <c r="Q1052" t="s">
        <v>72</v>
      </c>
      <c r="R1052" t="s">
        <v>43</v>
      </c>
      <c r="S1052">
        <v>3</v>
      </c>
      <c r="T1052">
        <v>12</v>
      </c>
      <c r="U1052">
        <v>3</v>
      </c>
      <c r="V1052">
        <v>12</v>
      </c>
      <c r="W1052">
        <v>9</v>
      </c>
      <c r="X1052">
        <v>5</v>
      </c>
      <c r="Y1052">
        <v>8</v>
      </c>
      <c r="Z1052" t="s">
        <v>1550</v>
      </c>
      <c r="AA1052" t="s">
        <v>69</v>
      </c>
      <c r="AB1052" t="str" cm="1">
        <f t="array" ref="AB1052">_xlfn.IFS(cleaned_data[[#This Row],[YearsAtCompany]]&lt;=5, "0-5",cleaned_data[[#This Row],[YearsAtCompany]]&lt;=10,"6-10",TRUE,"10+")</f>
        <v>10+</v>
      </c>
    </row>
    <row r="1053" spans="1:28" x14ac:dyDescent="0.3">
      <c r="A1053" s="2">
        <v>44</v>
      </c>
      <c r="B1053" t="s">
        <v>43</v>
      </c>
      <c r="C1053">
        <v>0</v>
      </c>
      <c r="D1053" t="s">
        <v>44</v>
      </c>
      <c r="E1053" t="s">
        <v>37</v>
      </c>
      <c r="F1053">
        <v>1</v>
      </c>
      <c r="G1053" t="s">
        <v>59</v>
      </c>
      <c r="H1053" t="s">
        <v>1123</v>
      </c>
      <c r="I1053">
        <v>1</v>
      </c>
      <c r="J1053" t="s">
        <v>39</v>
      </c>
      <c r="K1053">
        <v>3</v>
      </c>
      <c r="L1053">
        <v>2</v>
      </c>
      <c r="M1053" t="s">
        <v>40</v>
      </c>
      <c r="N1053">
        <v>3</v>
      </c>
      <c r="O1053" t="s">
        <v>48</v>
      </c>
      <c r="P1053" s="1">
        <v>4768</v>
      </c>
      <c r="Q1053" t="s">
        <v>72</v>
      </c>
      <c r="R1053" t="s">
        <v>43</v>
      </c>
      <c r="S1053">
        <v>3</v>
      </c>
      <c r="T1053">
        <v>11</v>
      </c>
      <c r="U1053">
        <v>2</v>
      </c>
      <c r="V1053">
        <v>1</v>
      </c>
      <c r="W1053">
        <v>0</v>
      </c>
      <c r="X1053">
        <v>0</v>
      </c>
      <c r="Y1053">
        <v>0</v>
      </c>
      <c r="Z1053" t="s">
        <v>1550</v>
      </c>
      <c r="AA1053" t="s">
        <v>69</v>
      </c>
      <c r="AB1053" t="str" cm="1">
        <f t="array" ref="AB1053">_xlfn.IFS(cleaned_data[[#This Row],[YearsAtCompany]]&lt;=5, "0-5",cleaned_data[[#This Row],[YearsAtCompany]]&lt;=10,"6-10",TRUE,"10+")</f>
        <v>0-5</v>
      </c>
    </row>
    <row r="1054" spans="1:28" x14ac:dyDescent="0.3">
      <c r="A1054" s="2">
        <v>30</v>
      </c>
      <c r="B1054" t="s">
        <v>43</v>
      </c>
      <c r="C1054">
        <v>0</v>
      </c>
      <c r="D1054" t="s">
        <v>55</v>
      </c>
      <c r="E1054" t="s">
        <v>45</v>
      </c>
      <c r="F1054">
        <v>7</v>
      </c>
      <c r="G1054" t="s">
        <v>60</v>
      </c>
      <c r="H1054" t="s">
        <v>1124</v>
      </c>
      <c r="I1054">
        <v>3</v>
      </c>
      <c r="J1054" t="s">
        <v>46</v>
      </c>
      <c r="K1054">
        <v>3</v>
      </c>
      <c r="L1054">
        <v>1</v>
      </c>
      <c r="M1054" t="s">
        <v>47</v>
      </c>
      <c r="N1054">
        <v>3</v>
      </c>
      <c r="O1054" t="s">
        <v>52</v>
      </c>
      <c r="P1054" s="1">
        <v>1274</v>
      </c>
      <c r="Q1054" t="s">
        <v>72</v>
      </c>
      <c r="R1054" t="s">
        <v>43</v>
      </c>
      <c r="S1054">
        <v>3</v>
      </c>
      <c r="T1054">
        <v>1</v>
      </c>
      <c r="U1054">
        <v>2</v>
      </c>
      <c r="V1054">
        <v>1</v>
      </c>
      <c r="W1054">
        <v>0</v>
      </c>
      <c r="X1054">
        <v>0</v>
      </c>
      <c r="Y1054">
        <v>0</v>
      </c>
      <c r="Z1054" t="s">
        <v>1551</v>
      </c>
      <c r="AA1054" t="s">
        <v>78</v>
      </c>
      <c r="AB1054" t="str" cm="1">
        <f t="array" ref="AB1054">_xlfn.IFS(cleaned_data[[#This Row],[YearsAtCompany]]&lt;=5, "0-5",cleaned_data[[#This Row],[YearsAtCompany]]&lt;=10,"6-10",TRUE,"10+")</f>
        <v>0-5</v>
      </c>
    </row>
    <row r="1055" spans="1:28" x14ac:dyDescent="0.3">
      <c r="A1055" s="2">
        <v>57</v>
      </c>
      <c r="B1055" t="s">
        <v>43</v>
      </c>
      <c r="C1055">
        <v>0</v>
      </c>
      <c r="D1055" t="s">
        <v>36</v>
      </c>
      <c r="E1055" t="s">
        <v>45</v>
      </c>
      <c r="F1055">
        <v>1</v>
      </c>
      <c r="G1055" t="s">
        <v>38</v>
      </c>
      <c r="H1055" t="s">
        <v>1125</v>
      </c>
      <c r="I1055">
        <v>2</v>
      </c>
      <c r="J1055" t="s">
        <v>46</v>
      </c>
      <c r="K1055">
        <v>4</v>
      </c>
      <c r="L1055">
        <v>2</v>
      </c>
      <c r="M1055" t="s">
        <v>47</v>
      </c>
      <c r="N1055">
        <v>3</v>
      </c>
      <c r="O1055" t="s">
        <v>48</v>
      </c>
      <c r="P1055" s="1">
        <v>4900</v>
      </c>
      <c r="Q1055" t="s">
        <v>72</v>
      </c>
      <c r="R1055" t="s">
        <v>43</v>
      </c>
      <c r="S1055">
        <v>4</v>
      </c>
      <c r="T1055">
        <v>13</v>
      </c>
      <c r="U1055">
        <v>2</v>
      </c>
      <c r="V1055">
        <v>12</v>
      </c>
      <c r="W1055">
        <v>9</v>
      </c>
      <c r="X1055">
        <v>2</v>
      </c>
      <c r="Y1055">
        <v>8</v>
      </c>
      <c r="Z1055" t="s">
        <v>106</v>
      </c>
      <c r="AA1055" t="s">
        <v>69</v>
      </c>
      <c r="AB1055" t="str" cm="1">
        <f t="array" ref="AB1055">_xlfn.IFS(cleaned_data[[#This Row],[YearsAtCompany]]&lt;=5, "0-5",cleaned_data[[#This Row],[YearsAtCompany]]&lt;=10,"6-10",TRUE,"10+")</f>
        <v>10+</v>
      </c>
    </row>
    <row r="1056" spans="1:28" x14ac:dyDescent="0.3">
      <c r="A1056" s="2">
        <v>49</v>
      </c>
      <c r="B1056" t="s">
        <v>43</v>
      </c>
      <c r="C1056">
        <v>0</v>
      </c>
      <c r="D1056" t="s">
        <v>36</v>
      </c>
      <c r="E1056" t="s">
        <v>45</v>
      </c>
      <c r="F1056">
        <v>7</v>
      </c>
      <c r="G1056" t="s">
        <v>38</v>
      </c>
      <c r="H1056" t="s">
        <v>1126</v>
      </c>
      <c r="I1056">
        <v>3</v>
      </c>
      <c r="J1056" t="s">
        <v>46</v>
      </c>
      <c r="K1056">
        <v>3</v>
      </c>
      <c r="L1056">
        <v>3</v>
      </c>
      <c r="M1056" t="s">
        <v>54</v>
      </c>
      <c r="N1056">
        <v>2</v>
      </c>
      <c r="O1056" t="s">
        <v>52</v>
      </c>
      <c r="P1056" s="1">
        <v>10466</v>
      </c>
      <c r="Q1056" t="s">
        <v>67</v>
      </c>
      <c r="R1056" t="s">
        <v>43</v>
      </c>
      <c r="S1056">
        <v>3</v>
      </c>
      <c r="T1056">
        <v>29</v>
      </c>
      <c r="U1056">
        <v>3</v>
      </c>
      <c r="V1056">
        <v>8</v>
      </c>
      <c r="W1056">
        <v>7</v>
      </c>
      <c r="X1056">
        <v>0</v>
      </c>
      <c r="Y1056">
        <v>7</v>
      </c>
      <c r="Z1056" t="s">
        <v>106</v>
      </c>
      <c r="AA1056" t="s">
        <v>82</v>
      </c>
      <c r="AB1056" t="str" cm="1">
        <f t="array" ref="AB1056">_xlfn.IFS(cleaned_data[[#This Row],[YearsAtCompany]]&lt;=5, "0-5",cleaned_data[[#This Row],[YearsAtCompany]]&lt;=10,"6-10",TRUE,"10+")</f>
        <v>6-10</v>
      </c>
    </row>
    <row r="1057" spans="1:28" x14ac:dyDescent="0.3">
      <c r="A1057" s="2">
        <v>34</v>
      </c>
      <c r="B1057" t="s">
        <v>43</v>
      </c>
      <c r="C1057">
        <v>0</v>
      </c>
      <c r="D1057" t="s">
        <v>44</v>
      </c>
      <c r="E1057" t="s">
        <v>45</v>
      </c>
      <c r="F1057">
        <v>15</v>
      </c>
      <c r="G1057" t="s">
        <v>51</v>
      </c>
      <c r="H1057" t="s">
        <v>1127</v>
      </c>
      <c r="I1057">
        <v>2</v>
      </c>
      <c r="J1057" t="s">
        <v>46</v>
      </c>
      <c r="K1057">
        <v>3</v>
      </c>
      <c r="L1057">
        <v>4</v>
      </c>
      <c r="M1057" t="s">
        <v>58</v>
      </c>
      <c r="N1057">
        <v>1</v>
      </c>
      <c r="O1057" t="s">
        <v>52</v>
      </c>
      <c r="P1057" s="6">
        <v>17007</v>
      </c>
      <c r="Q1057" t="s">
        <v>90</v>
      </c>
      <c r="R1057" t="s">
        <v>43</v>
      </c>
      <c r="S1057">
        <v>3</v>
      </c>
      <c r="T1057">
        <v>16</v>
      </c>
      <c r="U1057">
        <v>2</v>
      </c>
      <c r="V1057">
        <v>14</v>
      </c>
      <c r="W1057">
        <v>8</v>
      </c>
      <c r="X1057">
        <v>6</v>
      </c>
      <c r="Y1057">
        <v>9</v>
      </c>
      <c r="Z1057" t="s">
        <v>1551</v>
      </c>
      <c r="AA1057" t="s">
        <v>82</v>
      </c>
      <c r="AB1057" t="str" cm="1">
        <f t="array" ref="AB1057">_xlfn.IFS(cleaned_data[[#This Row],[YearsAtCompany]]&lt;=5, "0-5",cleaned_data[[#This Row],[YearsAtCompany]]&lt;=10,"6-10",TRUE,"10+")</f>
        <v>10+</v>
      </c>
    </row>
    <row r="1058" spans="1:28" x14ac:dyDescent="0.3">
      <c r="A1058" s="2">
        <v>28</v>
      </c>
      <c r="B1058" t="s">
        <v>35</v>
      </c>
      <c r="C1058">
        <v>1</v>
      </c>
      <c r="D1058" t="s">
        <v>44</v>
      </c>
      <c r="E1058" t="s">
        <v>37</v>
      </c>
      <c r="F1058">
        <v>1</v>
      </c>
      <c r="G1058" t="s">
        <v>60</v>
      </c>
      <c r="H1058" t="s">
        <v>1128</v>
      </c>
      <c r="I1058">
        <v>1</v>
      </c>
      <c r="J1058" t="s">
        <v>46</v>
      </c>
      <c r="K1058">
        <v>3</v>
      </c>
      <c r="L1058">
        <v>1</v>
      </c>
      <c r="M1058" t="s">
        <v>57</v>
      </c>
      <c r="N1058">
        <v>3</v>
      </c>
      <c r="O1058" t="s">
        <v>48</v>
      </c>
      <c r="P1058" s="1">
        <v>2909</v>
      </c>
      <c r="Q1058" t="s">
        <v>72</v>
      </c>
      <c r="R1058" t="s">
        <v>43</v>
      </c>
      <c r="S1058">
        <v>3</v>
      </c>
      <c r="T1058">
        <v>5</v>
      </c>
      <c r="U1058">
        <v>4</v>
      </c>
      <c r="V1058">
        <v>3</v>
      </c>
      <c r="W1058">
        <v>2</v>
      </c>
      <c r="X1058">
        <v>1</v>
      </c>
      <c r="Y1058">
        <v>2</v>
      </c>
      <c r="Z1058" t="s">
        <v>1551</v>
      </c>
      <c r="AA1058" t="s">
        <v>78</v>
      </c>
      <c r="AB1058" t="str" cm="1">
        <f t="array" ref="AB1058">_xlfn.IFS(cleaned_data[[#This Row],[YearsAtCompany]]&lt;=5, "0-5",cleaned_data[[#This Row],[YearsAtCompany]]&lt;=10,"6-10",TRUE,"10+")</f>
        <v>0-5</v>
      </c>
    </row>
    <row r="1059" spans="1:28" x14ac:dyDescent="0.3">
      <c r="A1059" s="2">
        <v>29</v>
      </c>
      <c r="B1059" t="s">
        <v>35</v>
      </c>
      <c r="C1059">
        <v>1</v>
      </c>
      <c r="D1059" t="s">
        <v>44</v>
      </c>
      <c r="E1059" t="s">
        <v>37</v>
      </c>
      <c r="F1059">
        <v>13</v>
      </c>
      <c r="G1059" t="s">
        <v>60</v>
      </c>
      <c r="H1059" t="s">
        <v>1129</v>
      </c>
      <c r="I1059">
        <v>1</v>
      </c>
      <c r="J1059" t="s">
        <v>39</v>
      </c>
      <c r="K1059">
        <v>3</v>
      </c>
      <c r="L1059">
        <v>2</v>
      </c>
      <c r="M1059" t="s">
        <v>40</v>
      </c>
      <c r="N1059">
        <v>2</v>
      </c>
      <c r="O1059" t="s">
        <v>41</v>
      </c>
      <c r="P1059" s="1">
        <v>5765</v>
      </c>
      <c r="Q1059" t="s">
        <v>67</v>
      </c>
      <c r="R1059" t="s">
        <v>43</v>
      </c>
      <c r="S1059">
        <v>3</v>
      </c>
      <c r="T1059">
        <v>7</v>
      </c>
      <c r="U1059">
        <v>1</v>
      </c>
      <c r="V1059">
        <v>5</v>
      </c>
      <c r="W1059">
        <v>3</v>
      </c>
      <c r="X1059">
        <v>0</v>
      </c>
      <c r="Y1059">
        <v>0</v>
      </c>
      <c r="Z1059" t="s">
        <v>1551</v>
      </c>
      <c r="AA1059" t="s">
        <v>69</v>
      </c>
      <c r="AB1059" t="str" cm="1">
        <f t="array" ref="AB1059">_xlfn.IFS(cleaned_data[[#This Row],[YearsAtCompany]]&lt;=5, "0-5",cleaned_data[[#This Row],[YearsAtCompany]]&lt;=10,"6-10",TRUE,"10+")</f>
        <v>0-5</v>
      </c>
    </row>
    <row r="1060" spans="1:28" x14ac:dyDescent="0.3">
      <c r="A1060" s="2">
        <v>34</v>
      </c>
      <c r="B1060" t="s">
        <v>35</v>
      </c>
      <c r="C1060">
        <v>1</v>
      </c>
      <c r="D1060" t="s">
        <v>36</v>
      </c>
      <c r="E1060" t="s">
        <v>37</v>
      </c>
      <c r="F1060">
        <v>24</v>
      </c>
      <c r="G1060" t="s">
        <v>51</v>
      </c>
      <c r="H1060" t="s">
        <v>1130</v>
      </c>
      <c r="I1060">
        <v>1</v>
      </c>
      <c r="J1060" t="s">
        <v>39</v>
      </c>
      <c r="K1060">
        <v>2</v>
      </c>
      <c r="L1060">
        <v>2</v>
      </c>
      <c r="M1060" t="s">
        <v>40</v>
      </c>
      <c r="N1060">
        <v>2</v>
      </c>
      <c r="O1060" t="s">
        <v>41</v>
      </c>
      <c r="P1060" s="1">
        <v>4599</v>
      </c>
      <c r="Q1060" t="s">
        <v>72</v>
      </c>
      <c r="R1060" t="s">
        <v>35</v>
      </c>
      <c r="S1060">
        <v>4</v>
      </c>
      <c r="T1060">
        <v>16</v>
      </c>
      <c r="U1060">
        <v>4</v>
      </c>
      <c r="V1060">
        <v>15</v>
      </c>
      <c r="W1060">
        <v>9</v>
      </c>
      <c r="X1060">
        <v>10</v>
      </c>
      <c r="Y1060">
        <v>10</v>
      </c>
      <c r="Z1060" t="s">
        <v>1551</v>
      </c>
      <c r="AA1060" t="s">
        <v>82</v>
      </c>
      <c r="AB1060" t="str" cm="1">
        <f t="array" ref="AB1060">_xlfn.IFS(cleaned_data[[#This Row],[YearsAtCompany]]&lt;=5, "0-5",cleaned_data[[#This Row],[YearsAtCompany]]&lt;=10,"6-10",TRUE,"10+")</f>
        <v>10+</v>
      </c>
    </row>
    <row r="1061" spans="1:28" x14ac:dyDescent="0.3">
      <c r="A1061" s="2">
        <v>35</v>
      </c>
      <c r="B1061" t="s">
        <v>43</v>
      </c>
      <c r="C1061">
        <v>0</v>
      </c>
      <c r="D1061" t="s">
        <v>36</v>
      </c>
      <c r="E1061" t="s">
        <v>37</v>
      </c>
      <c r="F1061">
        <v>7</v>
      </c>
      <c r="G1061" t="s">
        <v>38</v>
      </c>
      <c r="H1061" t="s">
        <v>1131</v>
      </c>
      <c r="I1061">
        <v>4</v>
      </c>
      <c r="J1061" t="s">
        <v>46</v>
      </c>
      <c r="K1061">
        <v>3</v>
      </c>
      <c r="L1061">
        <v>1</v>
      </c>
      <c r="M1061" t="s">
        <v>57</v>
      </c>
      <c r="N1061">
        <v>3</v>
      </c>
      <c r="O1061" t="s">
        <v>48</v>
      </c>
      <c r="P1061" s="1">
        <v>2404</v>
      </c>
      <c r="Q1061" t="s">
        <v>72</v>
      </c>
      <c r="R1061" t="s">
        <v>43</v>
      </c>
      <c r="S1061">
        <v>3</v>
      </c>
      <c r="T1061">
        <v>1</v>
      </c>
      <c r="U1061">
        <v>3</v>
      </c>
      <c r="V1061">
        <v>1</v>
      </c>
      <c r="W1061">
        <v>0</v>
      </c>
      <c r="X1061">
        <v>0</v>
      </c>
      <c r="Y1061">
        <v>0</v>
      </c>
      <c r="Z1061" t="s">
        <v>1551</v>
      </c>
      <c r="AA1061" t="s">
        <v>78</v>
      </c>
      <c r="AB1061" t="str" cm="1">
        <f t="array" ref="AB1061">_xlfn.IFS(cleaned_data[[#This Row],[YearsAtCompany]]&lt;=5, "0-5",cleaned_data[[#This Row],[YearsAtCompany]]&lt;=10,"6-10",TRUE,"10+")</f>
        <v>0-5</v>
      </c>
    </row>
    <row r="1062" spans="1:28" x14ac:dyDescent="0.3">
      <c r="A1062" s="2">
        <v>24</v>
      </c>
      <c r="B1062" t="s">
        <v>35</v>
      </c>
      <c r="C1062">
        <v>1</v>
      </c>
      <c r="D1062" t="s">
        <v>44</v>
      </c>
      <c r="E1062" t="s">
        <v>45</v>
      </c>
      <c r="F1062">
        <v>9</v>
      </c>
      <c r="G1062" t="s">
        <v>51</v>
      </c>
      <c r="H1062" t="s">
        <v>1132</v>
      </c>
      <c r="I1062">
        <v>2</v>
      </c>
      <c r="J1062" t="s">
        <v>46</v>
      </c>
      <c r="K1062">
        <v>3</v>
      </c>
      <c r="L1062">
        <v>1</v>
      </c>
      <c r="M1062" t="s">
        <v>50</v>
      </c>
      <c r="N1062">
        <v>1</v>
      </c>
      <c r="O1062" t="s">
        <v>41</v>
      </c>
      <c r="P1062" s="6">
        <v>3172</v>
      </c>
      <c r="Q1062" t="s">
        <v>72</v>
      </c>
      <c r="R1062" t="s">
        <v>35</v>
      </c>
      <c r="S1062">
        <v>3</v>
      </c>
      <c r="T1062">
        <v>4</v>
      </c>
      <c r="U1062">
        <v>2</v>
      </c>
      <c r="V1062">
        <v>0</v>
      </c>
      <c r="W1062">
        <v>0</v>
      </c>
      <c r="X1062">
        <v>0</v>
      </c>
      <c r="Y1062">
        <v>0</v>
      </c>
      <c r="Z1062" t="s">
        <v>68</v>
      </c>
      <c r="AA1062" t="s">
        <v>78</v>
      </c>
      <c r="AB1062" t="str" cm="1">
        <f t="array" ref="AB1062">_xlfn.IFS(cleaned_data[[#This Row],[YearsAtCompany]]&lt;=5, "0-5",cleaned_data[[#This Row],[YearsAtCompany]]&lt;=10,"6-10",TRUE,"10+")</f>
        <v>0-5</v>
      </c>
    </row>
    <row r="1063" spans="1:28" x14ac:dyDescent="0.3">
      <c r="A1063" s="2">
        <v>24</v>
      </c>
      <c r="B1063" t="s">
        <v>43</v>
      </c>
      <c r="C1063">
        <v>0</v>
      </c>
      <c r="D1063" t="s">
        <v>55</v>
      </c>
      <c r="E1063" t="s">
        <v>37</v>
      </c>
      <c r="F1063">
        <v>13</v>
      </c>
      <c r="G1063" t="s">
        <v>38</v>
      </c>
      <c r="H1063" t="s">
        <v>1133</v>
      </c>
      <c r="I1063">
        <v>4</v>
      </c>
      <c r="J1063" t="s">
        <v>39</v>
      </c>
      <c r="K1063">
        <v>3</v>
      </c>
      <c r="L1063">
        <v>1</v>
      </c>
      <c r="M1063" t="s">
        <v>57</v>
      </c>
      <c r="N1063">
        <v>2</v>
      </c>
      <c r="O1063" t="s">
        <v>48</v>
      </c>
      <c r="P1063" s="1">
        <v>2033</v>
      </c>
      <c r="Q1063" t="s">
        <v>72</v>
      </c>
      <c r="R1063" t="s">
        <v>43</v>
      </c>
      <c r="S1063">
        <v>3</v>
      </c>
      <c r="T1063">
        <v>1</v>
      </c>
      <c r="U1063">
        <v>3</v>
      </c>
      <c r="V1063">
        <v>1</v>
      </c>
      <c r="W1063">
        <v>0</v>
      </c>
      <c r="X1063">
        <v>0</v>
      </c>
      <c r="Y1063">
        <v>0</v>
      </c>
      <c r="Z1063" t="s">
        <v>68</v>
      </c>
      <c r="AA1063" t="s">
        <v>78</v>
      </c>
      <c r="AB1063" t="str" cm="1">
        <f t="array" ref="AB1063">_xlfn.IFS(cleaned_data[[#This Row],[YearsAtCompany]]&lt;=5, "0-5",cleaned_data[[#This Row],[YearsAtCompany]]&lt;=10,"6-10",TRUE,"10+")</f>
        <v>0-5</v>
      </c>
    </row>
    <row r="1064" spans="1:28" x14ac:dyDescent="0.3">
      <c r="A1064" s="2">
        <v>44</v>
      </c>
      <c r="B1064" t="s">
        <v>43</v>
      </c>
      <c r="C1064">
        <v>0</v>
      </c>
      <c r="D1064" t="s">
        <v>44</v>
      </c>
      <c r="E1064" t="s">
        <v>45</v>
      </c>
      <c r="F1064">
        <v>2</v>
      </c>
      <c r="G1064" t="s">
        <v>51</v>
      </c>
      <c r="H1064" t="s">
        <v>1134</v>
      </c>
      <c r="I1064">
        <v>2</v>
      </c>
      <c r="J1064" t="s">
        <v>46</v>
      </c>
      <c r="K1064">
        <v>3</v>
      </c>
      <c r="L1064">
        <v>3</v>
      </c>
      <c r="M1064" t="s">
        <v>53</v>
      </c>
      <c r="N1064">
        <v>3</v>
      </c>
      <c r="O1064" t="s">
        <v>41</v>
      </c>
      <c r="P1064" s="1">
        <v>10209</v>
      </c>
      <c r="Q1064" t="s">
        <v>67</v>
      </c>
      <c r="R1064" t="s">
        <v>35</v>
      </c>
      <c r="S1064">
        <v>3</v>
      </c>
      <c r="T1064">
        <v>16</v>
      </c>
      <c r="U1064">
        <v>2</v>
      </c>
      <c r="V1064">
        <v>2</v>
      </c>
      <c r="W1064">
        <v>2</v>
      </c>
      <c r="X1064">
        <v>2</v>
      </c>
      <c r="Y1064">
        <v>2</v>
      </c>
      <c r="Z1064" t="s">
        <v>1550</v>
      </c>
      <c r="AA1064" t="s">
        <v>82</v>
      </c>
      <c r="AB1064" t="str" cm="1">
        <f t="array" ref="AB1064">_xlfn.IFS(cleaned_data[[#This Row],[YearsAtCompany]]&lt;=5, "0-5",cleaned_data[[#This Row],[YearsAtCompany]]&lt;=10,"6-10",TRUE,"10+")</f>
        <v>0-5</v>
      </c>
    </row>
    <row r="1065" spans="1:28" x14ac:dyDescent="0.3">
      <c r="A1065" s="2">
        <v>29</v>
      </c>
      <c r="B1065" t="s">
        <v>43</v>
      </c>
      <c r="C1065">
        <v>0</v>
      </c>
      <c r="D1065" t="s">
        <v>36</v>
      </c>
      <c r="E1065" t="s">
        <v>37</v>
      </c>
      <c r="F1065">
        <v>19</v>
      </c>
      <c r="G1065" t="s">
        <v>38</v>
      </c>
      <c r="H1065" t="s">
        <v>1135</v>
      </c>
      <c r="I1065">
        <v>3</v>
      </c>
      <c r="J1065" t="s">
        <v>46</v>
      </c>
      <c r="K1065">
        <v>2</v>
      </c>
      <c r="L1065">
        <v>2</v>
      </c>
      <c r="M1065" t="s">
        <v>40</v>
      </c>
      <c r="N1065">
        <v>3</v>
      </c>
      <c r="O1065" t="s">
        <v>52</v>
      </c>
      <c r="P1065" s="1">
        <v>8620</v>
      </c>
      <c r="Q1065" t="s">
        <v>67</v>
      </c>
      <c r="R1065" t="s">
        <v>43</v>
      </c>
      <c r="S1065">
        <v>3</v>
      </c>
      <c r="T1065">
        <v>10</v>
      </c>
      <c r="U1065">
        <v>3</v>
      </c>
      <c r="V1065">
        <v>10</v>
      </c>
      <c r="W1065">
        <v>7</v>
      </c>
      <c r="X1065">
        <v>0</v>
      </c>
      <c r="Y1065">
        <v>4</v>
      </c>
      <c r="Z1065" t="s">
        <v>1551</v>
      </c>
      <c r="AA1065" t="s">
        <v>69</v>
      </c>
      <c r="AB1065" t="str" cm="1">
        <f t="array" ref="AB1065">_xlfn.IFS(cleaned_data[[#This Row],[YearsAtCompany]]&lt;=5, "0-5",cleaned_data[[#This Row],[YearsAtCompany]]&lt;=10,"6-10",TRUE,"10+")</f>
        <v>6-10</v>
      </c>
    </row>
    <row r="1066" spans="1:28" x14ac:dyDescent="0.3">
      <c r="A1066" s="2">
        <v>30</v>
      </c>
      <c r="B1066" t="s">
        <v>43</v>
      </c>
      <c r="C1066">
        <v>0</v>
      </c>
      <c r="D1066" t="s">
        <v>36</v>
      </c>
      <c r="E1066" t="s">
        <v>61</v>
      </c>
      <c r="F1066">
        <v>1</v>
      </c>
      <c r="G1066" t="s">
        <v>38</v>
      </c>
      <c r="H1066" t="s">
        <v>1136</v>
      </c>
      <c r="I1066">
        <v>3</v>
      </c>
      <c r="J1066" t="s">
        <v>46</v>
      </c>
      <c r="K1066">
        <v>3</v>
      </c>
      <c r="L1066">
        <v>1</v>
      </c>
      <c r="M1066" t="s">
        <v>61</v>
      </c>
      <c r="N1066">
        <v>3</v>
      </c>
      <c r="O1066" t="s">
        <v>52</v>
      </c>
      <c r="P1066" s="1">
        <v>2064</v>
      </c>
      <c r="Q1066" t="s">
        <v>72</v>
      </c>
      <c r="R1066" t="s">
        <v>43</v>
      </c>
      <c r="S1066">
        <v>4</v>
      </c>
      <c r="T1066">
        <v>6</v>
      </c>
      <c r="U1066">
        <v>4</v>
      </c>
      <c r="V1066">
        <v>5</v>
      </c>
      <c r="W1066">
        <v>3</v>
      </c>
      <c r="X1066">
        <v>1</v>
      </c>
      <c r="Y1066">
        <v>3</v>
      </c>
      <c r="Z1066" t="s">
        <v>1551</v>
      </c>
      <c r="AA1066" t="s">
        <v>69</v>
      </c>
      <c r="AB1066" t="str" cm="1">
        <f t="array" ref="AB1066">_xlfn.IFS(cleaned_data[[#This Row],[YearsAtCompany]]&lt;=5, "0-5",cleaned_data[[#This Row],[YearsAtCompany]]&lt;=10,"6-10",TRUE,"10+")</f>
        <v>0-5</v>
      </c>
    </row>
    <row r="1067" spans="1:28" x14ac:dyDescent="0.3">
      <c r="A1067" s="2">
        <v>55</v>
      </c>
      <c r="B1067" t="s">
        <v>43</v>
      </c>
      <c r="C1067">
        <v>0</v>
      </c>
      <c r="D1067" t="s">
        <v>36</v>
      </c>
      <c r="E1067" t="s">
        <v>45</v>
      </c>
      <c r="F1067">
        <v>4</v>
      </c>
      <c r="G1067" t="s">
        <v>38</v>
      </c>
      <c r="H1067" t="s">
        <v>1137</v>
      </c>
      <c r="I1067">
        <v>4</v>
      </c>
      <c r="J1067" t="s">
        <v>46</v>
      </c>
      <c r="K1067">
        <v>3</v>
      </c>
      <c r="L1067">
        <v>2</v>
      </c>
      <c r="M1067" t="s">
        <v>54</v>
      </c>
      <c r="N1067">
        <v>3</v>
      </c>
      <c r="O1067" t="s">
        <v>48</v>
      </c>
      <c r="P1067" s="1">
        <v>4035</v>
      </c>
      <c r="Q1067" t="s">
        <v>72</v>
      </c>
      <c r="R1067" t="s">
        <v>35</v>
      </c>
      <c r="S1067">
        <v>3</v>
      </c>
      <c r="T1067">
        <v>4</v>
      </c>
      <c r="U1067">
        <v>3</v>
      </c>
      <c r="V1067">
        <v>3</v>
      </c>
      <c r="W1067">
        <v>2</v>
      </c>
      <c r="X1067">
        <v>1</v>
      </c>
      <c r="Y1067">
        <v>2</v>
      </c>
      <c r="Z1067" t="s">
        <v>106</v>
      </c>
      <c r="AA1067" t="s">
        <v>78</v>
      </c>
      <c r="AB1067" t="str" cm="1">
        <f t="array" ref="AB1067">_xlfn.IFS(cleaned_data[[#This Row],[YearsAtCompany]]&lt;=5, "0-5",cleaned_data[[#This Row],[YearsAtCompany]]&lt;=10,"6-10",TRUE,"10+")</f>
        <v>0-5</v>
      </c>
    </row>
    <row r="1068" spans="1:28" x14ac:dyDescent="0.3">
      <c r="A1068" s="2">
        <v>33</v>
      </c>
      <c r="B1068" t="s">
        <v>43</v>
      </c>
      <c r="C1068">
        <v>0</v>
      </c>
      <c r="D1068" t="s">
        <v>36</v>
      </c>
      <c r="E1068" t="s">
        <v>45</v>
      </c>
      <c r="F1068">
        <v>4</v>
      </c>
      <c r="G1068" t="s">
        <v>51</v>
      </c>
      <c r="H1068" t="s">
        <v>1138</v>
      </c>
      <c r="I1068">
        <v>1</v>
      </c>
      <c r="J1068" t="s">
        <v>39</v>
      </c>
      <c r="K1068">
        <v>2</v>
      </c>
      <c r="L1068">
        <v>1</v>
      </c>
      <c r="M1068" t="s">
        <v>50</v>
      </c>
      <c r="N1068">
        <v>2</v>
      </c>
      <c r="O1068" t="s">
        <v>48</v>
      </c>
      <c r="P1068" s="1">
        <v>3838</v>
      </c>
      <c r="Q1068" t="s">
        <v>72</v>
      </c>
      <c r="R1068" t="s">
        <v>43</v>
      </c>
      <c r="S1068">
        <v>3</v>
      </c>
      <c r="T1068">
        <v>8</v>
      </c>
      <c r="U1068">
        <v>3</v>
      </c>
      <c r="V1068">
        <v>5</v>
      </c>
      <c r="W1068">
        <v>4</v>
      </c>
      <c r="X1068">
        <v>0</v>
      </c>
      <c r="Y1068">
        <v>2</v>
      </c>
      <c r="Z1068" t="s">
        <v>1551</v>
      </c>
      <c r="AA1068" t="s">
        <v>69</v>
      </c>
      <c r="AB1068" t="str" cm="1">
        <f t="array" ref="AB1068">_xlfn.IFS(cleaned_data[[#This Row],[YearsAtCompany]]&lt;=5, "0-5",cleaned_data[[#This Row],[YearsAtCompany]]&lt;=10,"6-10",TRUE,"10+")</f>
        <v>0-5</v>
      </c>
    </row>
    <row r="1069" spans="1:28" x14ac:dyDescent="0.3">
      <c r="A1069" s="2">
        <v>47</v>
      </c>
      <c r="B1069" t="s">
        <v>43</v>
      </c>
      <c r="C1069">
        <v>0</v>
      </c>
      <c r="D1069" t="s">
        <v>36</v>
      </c>
      <c r="E1069" t="s">
        <v>37</v>
      </c>
      <c r="F1069">
        <v>14</v>
      </c>
      <c r="G1069" t="s">
        <v>51</v>
      </c>
      <c r="H1069" t="s">
        <v>1139</v>
      </c>
      <c r="I1069">
        <v>3</v>
      </c>
      <c r="J1069" t="s">
        <v>39</v>
      </c>
      <c r="K1069">
        <v>3</v>
      </c>
      <c r="L1069">
        <v>2</v>
      </c>
      <c r="M1069" t="s">
        <v>40</v>
      </c>
      <c r="N1069">
        <v>3</v>
      </c>
      <c r="O1069" t="s">
        <v>48</v>
      </c>
      <c r="P1069" s="1">
        <v>4591</v>
      </c>
      <c r="Q1069" t="s">
        <v>72</v>
      </c>
      <c r="R1069" t="s">
        <v>35</v>
      </c>
      <c r="S1069">
        <v>3</v>
      </c>
      <c r="T1069">
        <v>11</v>
      </c>
      <c r="U1069">
        <v>2</v>
      </c>
      <c r="V1069">
        <v>5</v>
      </c>
      <c r="W1069">
        <v>4</v>
      </c>
      <c r="X1069">
        <v>1</v>
      </c>
      <c r="Y1069">
        <v>2</v>
      </c>
      <c r="Z1069" t="s">
        <v>106</v>
      </c>
      <c r="AA1069" t="s">
        <v>69</v>
      </c>
      <c r="AB1069" t="str" cm="1">
        <f t="array" ref="AB1069">_xlfn.IFS(cleaned_data[[#This Row],[YearsAtCompany]]&lt;=5, "0-5",cleaned_data[[#This Row],[YearsAtCompany]]&lt;=10,"6-10",TRUE,"10+")</f>
        <v>0-5</v>
      </c>
    </row>
    <row r="1070" spans="1:28" x14ac:dyDescent="0.3">
      <c r="A1070" s="2">
        <v>28</v>
      </c>
      <c r="B1070" t="s">
        <v>35</v>
      </c>
      <c r="C1070">
        <v>1</v>
      </c>
      <c r="D1070" t="s">
        <v>44</v>
      </c>
      <c r="E1070" t="s">
        <v>45</v>
      </c>
      <c r="F1070">
        <v>2</v>
      </c>
      <c r="G1070" t="s">
        <v>51</v>
      </c>
      <c r="H1070" t="s">
        <v>1140</v>
      </c>
      <c r="I1070">
        <v>3</v>
      </c>
      <c r="J1070" t="s">
        <v>46</v>
      </c>
      <c r="K1070">
        <v>2</v>
      </c>
      <c r="L1070">
        <v>1</v>
      </c>
      <c r="M1070" t="s">
        <v>50</v>
      </c>
      <c r="N1070">
        <v>1</v>
      </c>
      <c r="O1070" t="s">
        <v>41</v>
      </c>
      <c r="P1070" s="6">
        <v>2561</v>
      </c>
      <c r="Q1070" t="s">
        <v>72</v>
      </c>
      <c r="R1070" t="s">
        <v>43</v>
      </c>
      <c r="S1070">
        <v>3</v>
      </c>
      <c r="T1070">
        <v>8</v>
      </c>
      <c r="U1070">
        <v>2</v>
      </c>
      <c r="V1070">
        <v>0</v>
      </c>
      <c r="W1070">
        <v>0</v>
      </c>
      <c r="X1070">
        <v>0</v>
      </c>
      <c r="Y1070">
        <v>0</v>
      </c>
      <c r="Z1070" t="s">
        <v>1551</v>
      </c>
      <c r="AA1070" t="s">
        <v>69</v>
      </c>
      <c r="AB1070" t="str" cm="1">
        <f t="array" ref="AB1070">_xlfn.IFS(cleaned_data[[#This Row],[YearsAtCompany]]&lt;=5, "0-5",cleaned_data[[#This Row],[YearsAtCompany]]&lt;=10,"6-10",TRUE,"10+")</f>
        <v>0-5</v>
      </c>
    </row>
    <row r="1071" spans="1:28" x14ac:dyDescent="0.3">
      <c r="A1071" s="2">
        <v>28</v>
      </c>
      <c r="B1071" t="s">
        <v>43</v>
      </c>
      <c r="C1071">
        <v>0</v>
      </c>
      <c r="D1071" t="s">
        <v>36</v>
      </c>
      <c r="E1071" t="s">
        <v>45</v>
      </c>
      <c r="F1071">
        <v>1</v>
      </c>
      <c r="G1071" t="s">
        <v>38</v>
      </c>
      <c r="H1071" t="s">
        <v>1141</v>
      </c>
      <c r="I1071">
        <v>1</v>
      </c>
      <c r="J1071" t="s">
        <v>46</v>
      </c>
      <c r="K1071">
        <v>2</v>
      </c>
      <c r="L1071">
        <v>1</v>
      </c>
      <c r="M1071" t="s">
        <v>47</v>
      </c>
      <c r="N1071">
        <v>3</v>
      </c>
      <c r="O1071" t="s">
        <v>52</v>
      </c>
      <c r="P1071" s="1">
        <v>1563</v>
      </c>
      <c r="Q1071" t="s">
        <v>72</v>
      </c>
      <c r="R1071" t="s">
        <v>43</v>
      </c>
      <c r="S1071">
        <v>3</v>
      </c>
      <c r="T1071">
        <v>1</v>
      </c>
      <c r="U1071">
        <v>1</v>
      </c>
      <c r="V1071">
        <v>1</v>
      </c>
      <c r="W1071">
        <v>0</v>
      </c>
      <c r="X1071">
        <v>0</v>
      </c>
      <c r="Y1071">
        <v>0</v>
      </c>
      <c r="Z1071" t="s">
        <v>1551</v>
      </c>
      <c r="AA1071" t="s">
        <v>78</v>
      </c>
      <c r="AB1071" t="str" cm="1">
        <f t="array" ref="AB1071">_xlfn.IFS(cleaned_data[[#This Row],[YearsAtCompany]]&lt;=5, "0-5",cleaned_data[[#This Row],[YearsAtCompany]]&lt;=10,"6-10",TRUE,"10+")</f>
        <v>0-5</v>
      </c>
    </row>
    <row r="1072" spans="1:28" x14ac:dyDescent="0.3">
      <c r="A1072" s="2">
        <v>28</v>
      </c>
      <c r="B1072" t="s">
        <v>43</v>
      </c>
      <c r="C1072">
        <v>0</v>
      </c>
      <c r="D1072" t="s">
        <v>44</v>
      </c>
      <c r="E1072" t="s">
        <v>37</v>
      </c>
      <c r="F1072">
        <v>7</v>
      </c>
      <c r="G1072" t="s">
        <v>38</v>
      </c>
      <c r="H1072" t="s">
        <v>1142</v>
      </c>
      <c r="I1072">
        <v>3</v>
      </c>
      <c r="J1072" t="s">
        <v>46</v>
      </c>
      <c r="K1072">
        <v>3</v>
      </c>
      <c r="L1072">
        <v>2</v>
      </c>
      <c r="M1072" t="s">
        <v>40</v>
      </c>
      <c r="N1072">
        <v>1</v>
      </c>
      <c r="O1072" t="s">
        <v>41</v>
      </c>
      <c r="P1072" s="6">
        <v>4898</v>
      </c>
      <c r="Q1072" t="s">
        <v>72</v>
      </c>
      <c r="R1072" t="s">
        <v>43</v>
      </c>
      <c r="S1072">
        <v>3</v>
      </c>
      <c r="T1072">
        <v>5</v>
      </c>
      <c r="U1072">
        <v>3</v>
      </c>
      <c r="V1072">
        <v>4</v>
      </c>
      <c r="W1072">
        <v>2</v>
      </c>
      <c r="X1072">
        <v>1</v>
      </c>
      <c r="Y1072">
        <v>3</v>
      </c>
      <c r="Z1072" t="s">
        <v>1551</v>
      </c>
      <c r="AA1072" t="s">
        <v>78</v>
      </c>
      <c r="AB1072" t="str" cm="1">
        <f t="array" ref="AB1072">_xlfn.IFS(cleaned_data[[#This Row],[YearsAtCompany]]&lt;=5, "0-5",cleaned_data[[#This Row],[YearsAtCompany]]&lt;=10,"6-10",TRUE,"10+")</f>
        <v>0-5</v>
      </c>
    </row>
    <row r="1073" spans="1:28" x14ac:dyDescent="0.3">
      <c r="A1073" s="2">
        <v>49</v>
      </c>
      <c r="B1073" t="s">
        <v>43</v>
      </c>
      <c r="C1073">
        <v>0</v>
      </c>
      <c r="D1073" t="s">
        <v>36</v>
      </c>
      <c r="E1073" t="s">
        <v>45</v>
      </c>
      <c r="F1073">
        <v>3</v>
      </c>
      <c r="G1073" t="s">
        <v>51</v>
      </c>
      <c r="H1073" t="s">
        <v>1143</v>
      </c>
      <c r="I1073">
        <v>3</v>
      </c>
      <c r="J1073" t="s">
        <v>39</v>
      </c>
      <c r="K1073">
        <v>2</v>
      </c>
      <c r="L1073">
        <v>2</v>
      </c>
      <c r="M1073" t="s">
        <v>50</v>
      </c>
      <c r="N1073">
        <v>1</v>
      </c>
      <c r="O1073" t="s">
        <v>48</v>
      </c>
      <c r="P1073" s="6">
        <v>4789</v>
      </c>
      <c r="Q1073" t="s">
        <v>72</v>
      </c>
      <c r="R1073" t="s">
        <v>43</v>
      </c>
      <c r="S1073">
        <v>4</v>
      </c>
      <c r="T1073">
        <v>10</v>
      </c>
      <c r="U1073">
        <v>3</v>
      </c>
      <c r="V1073">
        <v>3</v>
      </c>
      <c r="W1073">
        <v>2</v>
      </c>
      <c r="X1073">
        <v>1</v>
      </c>
      <c r="Y1073">
        <v>2</v>
      </c>
      <c r="Z1073" t="s">
        <v>106</v>
      </c>
      <c r="AA1073" t="s">
        <v>69</v>
      </c>
      <c r="AB1073" t="str" cm="1">
        <f t="array" ref="AB1073">_xlfn.IFS(cleaned_data[[#This Row],[YearsAtCompany]]&lt;=5, "0-5",cleaned_data[[#This Row],[YearsAtCompany]]&lt;=10,"6-10",TRUE,"10+")</f>
        <v>0-5</v>
      </c>
    </row>
    <row r="1074" spans="1:28" x14ac:dyDescent="0.3">
      <c r="A1074" s="2">
        <v>29</v>
      </c>
      <c r="B1074" t="s">
        <v>43</v>
      </c>
      <c r="C1074">
        <v>0</v>
      </c>
      <c r="D1074" t="s">
        <v>44</v>
      </c>
      <c r="E1074" t="s">
        <v>45</v>
      </c>
      <c r="F1074">
        <v>2</v>
      </c>
      <c r="G1074" t="s">
        <v>38</v>
      </c>
      <c r="H1074" t="s">
        <v>1144</v>
      </c>
      <c r="I1074">
        <v>4</v>
      </c>
      <c r="J1074" t="s">
        <v>39</v>
      </c>
      <c r="K1074">
        <v>3</v>
      </c>
      <c r="L1074">
        <v>1</v>
      </c>
      <c r="M1074" t="s">
        <v>50</v>
      </c>
      <c r="N1074">
        <v>2</v>
      </c>
      <c r="O1074" t="s">
        <v>48</v>
      </c>
      <c r="P1074" s="1">
        <v>3180</v>
      </c>
      <c r="Q1074" t="s">
        <v>72</v>
      </c>
      <c r="R1074" t="s">
        <v>43</v>
      </c>
      <c r="S1074">
        <v>3</v>
      </c>
      <c r="T1074">
        <v>4</v>
      </c>
      <c r="U1074">
        <v>3</v>
      </c>
      <c r="V1074">
        <v>3</v>
      </c>
      <c r="W1074">
        <v>2</v>
      </c>
      <c r="X1074">
        <v>0</v>
      </c>
      <c r="Y1074">
        <v>2</v>
      </c>
      <c r="Z1074" t="s">
        <v>1551</v>
      </c>
      <c r="AA1074" t="s">
        <v>78</v>
      </c>
      <c r="AB1074" t="str" cm="1">
        <f t="array" ref="AB1074">_xlfn.IFS(cleaned_data[[#This Row],[YearsAtCompany]]&lt;=5, "0-5",cleaned_data[[#This Row],[YearsAtCompany]]&lt;=10,"6-10",TRUE,"10+")</f>
        <v>0-5</v>
      </c>
    </row>
    <row r="1075" spans="1:28" x14ac:dyDescent="0.3">
      <c r="A1075" s="2">
        <v>28</v>
      </c>
      <c r="B1075" t="s">
        <v>43</v>
      </c>
      <c r="C1075">
        <v>0</v>
      </c>
      <c r="D1075" t="s">
        <v>36</v>
      </c>
      <c r="E1075" t="s">
        <v>45</v>
      </c>
      <c r="F1075">
        <v>29</v>
      </c>
      <c r="G1075" t="s">
        <v>38</v>
      </c>
      <c r="H1075" t="s">
        <v>1145</v>
      </c>
      <c r="I1075">
        <v>3</v>
      </c>
      <c r="J1075" t="s">
        <v>46</v>
      </c>
      <c r="K1075">
        <v>1</v>
      </c>
      <c r="L1075">
        <v>2</v>
      </c>
      <c r="M1075" t="s">
        <v>53</v>
      </c>
      <c r="N1075">
        <v>2</v>
      </c>
      <c r="O1075" t="s">
        <v>48</v>
      </c>
      <c r="P1075" s="1">
        <v>6549</v>
      </c>
      <c r="Q1075" t="s">
        <v>67</v>
      </c>
      <c r="R1075" t="s">
        <v>43</v>
      </c>
      <c r="S1075">
        <v>3</v>
      </c>
      <c r="T1075">
        <v>8</v>
      </c>
      <c r="U1075">
        <v>2</v>
      </c>
      <c r="V1075">
        <v>8</v>
      </c>
      <c r="W1075">
        <v>6</v>
      </c>
      <c r="X1075">
        <v>1</v>
      </c>
      <c r="Y1075">
        <v>7</v>
      </c>
      <c r="Z1075" t="s">
        <v>1551</v>
      </c>
      <c r="AA1075" t="s">
        <v>69</v>
      </c>
      <c r="AB1075" t="str" cm="1">
        <f t="array" ref="AB1075">_xlfn.IFS(cleaned_data[[#This Row],[YearsAtCompany]]&lt;=5, "0-5",cleaned_data[[#This Row],[YearsAtCompany]]&lt;=10,"6-10",TRUE,"10+")</f>
        <v>6-10</v>
      </c>
    </row>
    <row r="1076" spans="1:28" x14ac:dyDescent="0.3">
      <c r="A1076" s="2">
        <v>33</v>
      </c>
      <c r="B1076" t="s">
        <v>43</v>
      </c>
      <c r="C1076">
        <v>0</v>
      </c>
      <c r="D1076" t="s">
        <v>36</v>
      </c>
      <c r="E1076" t="s">
        <v>45</v>
      </c>
      <c r="F1076">
        <v>8</v>
      </c>
      <c r="G1076" t="s">
        <v>38</v>
      </c>
      <c r="H1076" t="s">
        <v>1146</v>
      </c>
      <c r="I1076">
        <v>4</v>
      </c>
      <c r="J1076" t="s">
        <v>46</v>
      </c>
      <c r="K1076">
        <v>3</v>
      </c>
      <c r="L1076">
        <v>2</v>
      </c>
      <c r="M1076" t="s">
        <v>54</v>
      </c>
      <c r="N1076">
        <v>3</v>
      </c>
      <c r="O1076" t="s">
        <v>41</v>
      </c>
      <c r="P1076" s="1">
        <v>6388</v>
      </c>
      <c r="Q1076" t="s">
        <v>67</v>
      </c>
      <c r="R1076" t="s">
        <v>35</v>
      </c>
      <c r="S1076">
        <v>3</v>
      </c>
      <c r="T1076">
        <v>14</v>
      </c>
      <c r="U1076">
        <v>3</v>
      </c>
      <c r="V1076">
        <v>0</v>
      </c>
      <c r="W1076">
        <v>0</v>
      </c>
      <c r="X1076">
        <v>0</v>
      </c>
      <c r="Y1076">
        <v>0</v>
      </c>
      <c r="Z1076" t="s">
        <v>1551</v>
      </c>
      <c r="AA1076" t="s">
        <v>69</v>
      </c>
      <c r="AB1076" t="str" cm="1">
        <f t="array" ref="AB1076">_xlfn.IFS(cleaned_data[[#This Row],[YearsAtCompany]]&lt;=5, "0-5",cleaned_data[[#This Row],[YearsAtCompany]]&lt;=10,"6-10",TRUE,"10+")</f>
        <v>0-5</v>
      </c>
    </row>
    <row r="1077" spans="1:28" x14ac:dyDescent="0.3">
      <c r="A1077" s="2">
        <v>32</v>
      </c>
      <c r="B1077" t="s">
        <v>43</v>
      </c>
      <c r="C1077">
        <v>0</v>
      </c>
      <c r="D1077" t="s">
        <v>36</v>
      </c>
      <c r="E1077" t="s">
        <v>45</v>
      </c>
      <c r="F1077">
        <v>10</v>
      </c>
      <c r="G1077" t="s">
        <v>51</v>
      </c>
      <c r="H1077" t="s">
        <v>1147</v>
      </c>
      <c r="I1077">
        <v>3</v>
      </c>
      <c r="J1077" t="s">
        <v>46</v>
      </c>
      <c r="K1077">
        <v>3</v>
      </c>
      <c r="L1077">
        <v>3</v>
      </c>
      <c r="M1077" t="s">
        <v>56</v>
      </c>
      <c r="N1077">
        <v>4</v>
      </c>
      <c r="O1077" t="s">
        <v>41</v>
      </c>
      <c r="P1077" s="1">
        <v>11244</v>
      </c>
      <c r="Q1077" t="s">
        <v>67</v>
      </c>
      <c r="R1077" t="s">
        <v>43</v>
      </c>
      <c r="S1077">
        <v>4</v>
      </c>
      <c r="T1077">
        <v>10</v>
      </c>
      <c r="U1077">
        <v>4</v>
      </c>
      <c r="V1077">
        <v>5</v>
      </c>
      <c r="W1077">
        <v>2</v>
      </c>
      <c r="X1077">
        <v>0</v>
      </c>
      <c r="Y1077">
        <v>0</v>
      </c>
      <c r="Z1077" t="s">
        <v>1551</v>
      </c>
      <c r="AA1077" t="s">
        <v>69</v>
      </c>
      <c r="AB1077" t="str" cm="1">
        <f t="array" ref="AB1077">_xlfn.IFS(cleaned_data[[#This Row],[YearsAtCompany]]&lt;=5, "0-5",cleaned_data[[#This Row],[YearsAtCompany]]&lt;=10,"6-10",TRUE,"10+")</f>
        <v>0-5</v>
      </c>
    </row>
    <row r="1078" spans="1:28" x14ac:dyDescent="0.3">
      <c r="A1078" s="2">
        <v>54</v>
      </c>
      <c r="B1078" t="s">
        <v>43</v>
      </c>
      <c r="C1078">
        <v>0</v>
      </c>
      <c r="D1078" t="s">
        <v>44</v>
      </c>
      <c r="E1078" t="s">
        <v>45</v>
      </c>
      <c r="F1078">
        <v>11</v>
      </c>
      <c r="G1078" t="s">
        <v>51</v>
      </c>
      <c r="H1078" t="s">
        <v>1148</v>
      </c>
      <c r="I1078">
        <v>2</v>
      </c>
      <c r="J1078" t="s">
        <v>39</v>
      </c>
      <c r="K1078">
        <v>3</v>
      </c>
      <c r="L1078">
        <v>4</v>
      </c>
      <c r="M1078" t="s">
        <v>56</v>
      </c>
      <c r="N1078">
        <v>4</v>
      </c>
      <c r="O1078" t="s">
        <v>52</v>
      </c>
      <c r="P1078" s="1">
        <v>16032</v>
      </c>
      <c r="Q1078" t="s">
        <v>90</v>
      </c>
      <c r="R1078" t="s">
        <v>43</v>
      </c>
      <c r="S1078">
        <v>4</v>
      </c>
      <c r="T1078">
        <v>26</v>
      </c>
      <c r="U1078">
        <v>3</v>
      </c>
      <c r="V1078">
        <v>14</v>
      </c>
      <c r="W1078">
        <v>9</v>
      </c>
      <c r="X1078">
        <v>1</v>
      </c>
      <c r="Y1078">
        <v>12</v>
      </c>
      <c r="Z1078" t="s">
        <v>106</v>
      </c>
      <c r="AA1078" t="s">
        <v>82</v>
      </c>
      <c r="AB1078" t="str" cm="1">
        <f t="array" ref="AB1078">_xlfn.IFS(cleaned_data[[#This Row],[YearsAtCompany]]&lt;=5, "0-5",cleaned_data[[#This Row],[YearsAtCompany]]&lt;=10,"6-10",TRUE,"10+")</f>
        <v>10+</v>
      </c>
    </row>
    <row r="1079" spans="1:28" x14ac:dyDescent="0.3">
      <c r="A1079" s="2">
        <v>29</v>
      </c>
      <c r="B1079" t="s">
        <v>35</v>
      </c>
      <c r="C1079">
        <v>1</v>
      </c>
      <c r="D1079" t="s">
        <v>36</v>
      </c>
      <c r="E1079" t="s">
        <v>45</v>
      </c>
      <c r="F1079">
        <v>1</v>
      </c>
      <c r="G1079" t="s">
        <v>60</v>
      </c>
      <c r="H1079" t="s">
        <v>1149</v>
      </c>
      <c r="I1079">
        <v>1</v>
      </c>
      <c r="J1079" t="s">
        <v>46</v>
      </c>
      <c r="K1079">
        <v>2</v>
      </c>
      <c r="L1079">
        <v>1</v>
      </c>
      <c r="M1079" t="s">
        <v>47</v>
      </c>
      <c r="N1079">
        <v>1</v>
      </c>
      <c r="O1079" t="s">
        <v>41</v>
      </c>
      <c r="P1079" s="6">
        <v>2362</v>
      </c>
      <c r="Q1079" t="s">
        <v>72</v>
      </c>
      <c r="R1079" t="s">
        <v>43</v>
      </c>
      <c r="S1079">
        <v>3</v>
      </c>
      <c r="T1079">
        <v>11</v>
      </c>
      <c r="U1079">
        <v>1</v>
      </c>
      <c r="V1079">
        <v>9</v>
      </c>
      <c r="W1079">
        <v>7</v>
      </c>
      <c r="X1079">
        <v>0</v>
      </c>
      <c r="Y1079">
        <v>7</v>
      </c>
      <c r="Z1079" t="s">
        <v>1551</v>
      </c>
      <c r="AA1079" t="s">
        <v>69</v>
      </c>
      <c r="AB1079" t="str" cm="1">
        <f t="array" ref="AB1079">_xlfn.IFS(cleaned_data[[#This Row],[YearsAtCompany]]&lt;=5, "0-5",cleaned_data[[#This Row],[YearsAtCompany]]&lt;=10,"6-10",TRUE,"10+")</f>
        <v>6-10</v>
      </c>
    </row>
    <row r="1080" spans="1:28" x14ac:dyDescent="0.3">
      <c r="A1080" s="2">
        <v>44</v>
      </c>
      <c r="B1080" t="s">
        <v>43</v>
      </c>
      <c r="C1080">
        <v>0</v>
      </c>
      <c r="D1080" t="s">
        <v>36</v>
      </c>
      <c r="E1080" t="s">
        <v>45</v>
      </c>
      <c r="F1080">
        <v>28</v>
      </c>
      <c r="G1080" t="s">
        <v>38</v>
      </c>
      <c r="H1080" t="s">
        <v>1150</v>
      </c>
      <c r="I1080">
        <v>4</v>
      </c>
      <c r="J1080" t="s">
        <v>46</v>
      </c>
      <c r="K1080">
        <v>3</v>
      </c>
      <c r="L1080">
        <v>4</v>
      </c>
      <c r="M1080" t="s">
        <v>58</v>
      </c>
      <c r="N1080">
        <v>1</v>
      </c>
      <c r="O1080" t="s">
        <v>48</v>
      </c>
      <c r="P1080" s="6">
        <v>16328</v>
      </c>
      <c r="Q1080" t="s">
        <v>90</v>
      </c>
      <c r="R1080" t="s">
        <v>43</v>
      </c>
      <c r="S1080">
        <v>3</v>
      </c>
      <c r="T1080">
        <v>24</v>
      </c>
      <c r="U1080">
        <v>4</v>
      </c>
      <c r="V1080">
        <v>20</v>
      </c>
      <c r="W1080">
        <v>6</v>
      </c>
      <c r="X1080">
        <v>14</v>
      </c>
      <c r="Y1080">
        <v>17</v>
      </c>
      <c r="Z1080" t="s">
        <v>1550</v>
      </c>
      <c r="AA1080" t="s">
        <v>82</v>
      </c>
      <c r="AB1080" t="str" cm="1">
        <f t="array" ref="AB1080">_xlfn.IFS(cleaned_data[[#This Row],[YearsAtCompany]]&lt;=5, "0-5",cleaned_data[[#This Row],[YearsAtCompany]]&lt;=10,"6-10",TRUE,"10+")</f>
        <v>10+</v>
      </c>
    </row>
    <row r="1081" spans="1:28" x14ac:dyDescent="0.3">
      <c r="A1081" s="2">
        <v>39</v>
      </c>
      <c r="B1081" t="s">
        <v>43</v>
      </c>
      <c r="C1081">
        <v>0</v>
      </c>
      <c r="D1081" t="s">
        <v>36</v>
      </c>
      <c r="E1081" t="s">
        <v>45</v>
      </c>
      <c r="F1081">
        <v>6</v>
      </c>
      <c r="G1081" t="s">
        <v>38</v>
      </c>
      <c r="H1081" t="s">
        <v>1151</v>
      </c>
      <c r="I1081">
        <v>2</v>
      </c>
      <c r="J1081" t="s">
        <v>39</v>
      </c>
      <c r="K1081">
        <v>3</v>
      </c>
      <c r="L1081">
        <v>3</v>
      </c>
      <c r="M1081" t="s">
        <v>53</v>
      </c>
      <c r="N1081">
        <v>2</v>
      </c>
      <c r="O1081" t="s">
        <v>41</v>
      </c>
      <c r="P1081" s="1">
        <v>8376</v>
      </c>
      <c r="Q1081" t="s">
        <v>67</v>
      </c>
      <c r="R1081" t="s">
        <v>43</v>
      </c>
      <c r="S1081">
        <v>3</v>
      </c>
      <c r="T1081">
        <v>9</v>
      </c>
      <c r="U1081">
        <v>3</v>
      </c>
      <c r="V1081">
        <v>2</v>
      </c>
      <c r="W1081">
        <v>0</v>
      </c>
      <c r="X1081">
        <v>2</v>
      </c>
      <c r="Y1081">
        <v>2</v>
      </c>
      <c r="Z1081" t="s">
        <v>1550</v>
      </c>
      <c r="AA1081" t="s">
        <v>69</v>
      </c>
      <c r="AB1081" t="str" cm="1">
        <f t="array" ref="AB1081">_xlfn.IFS(cleaned_data[[#This Row],[YearsAtCompany]]&lt;=5, "0-5",cleaned_data[[#This Row],[YearsAtCompany]]&lt;=10,"6-10",TRUE,"10+")</f>
        <v>0-5</v>
      </c>
    </row>
    <row r="1082" spans="1:28" x14ac:dyDescent="0.3">
      <c r="A1082" s="2">
        <v>46</v>
      </c>
      <c r="B1082" t="s">
        <v>43</v>
      </c>
      <c r="C1082">
        <v>0</v>
      </c>
      <c r="D1082" t="s">
        <v>36</v>
      </c>
      <c r="E1082" t="s">
        <v>37</v>
      </c>
      <c r="F1082">
        <v>3</v>
      </c>
      <c r="G1082" t="s">
        <v>38</v>
      </c>
      <c r="H1082" t="s">
        <v>1152</v>
      </c>
      <c r="I1082">
        <v>3</v>
      </c>
      <c r="J1082" t="s">
        <v>39</v>
      </c>
      <c r="K1082">
        <v>3</v>
      </c>
      <c r="L1082">
        <v>4</v>
      </c>
      <c r="M1082" t="s">
        <v>56</v>
      </c>
      <c r="N1082">
        <v>2</v>
      </c>
      <c r="O1082" t="s">
        <v>48</v>
      </c>
      <c r="P1082" s="1">
        <v>16606</v>
      </c>
      <c r="Q1082" t="s">
        <v>90</v>
      </c>
      <c r="R1082" t="s">
        <v>43</v>
      </c>
      <c r="S1082">
        <v>3</v>
      </c>
      <c r="T1082">
        <v>23</v>
      </c>
      <c r="U1082">
        <v>4</v>
      </c>
      <c r="V1082">
        <v>13</v>
      </c>
      <c r="W1082">
        <v>12</v>
      </c>
      <c r="X1082">
        <v>5</v>
      </c>
      <c r="Y1082">
        <v>1</v>
      </c>
      <c r="Z1082" t="s">
        <v>106</v>
      </c>
      <c r="AA1082" t="s">
        <v>82</v>
      </c>
      <c r="AB1082" t="str" cm="1">
        <f t="array" ref="AB1082">_xlfn.IFS(cleaned_data[[#This Row],[YearsAtCompany]]&lt;=5, "0-5",cleaned_data[[#This Row],[YearsAtCompany]]&lt;=10,"6-10",TRUE,"10+")</f>
        <v>10+</v>
      </c>
    </row>
    <row r="1083" spans="1:28" x14ac:dyDescent="0.3">
      <c r="A1083" s="2">
        <v>35</v>
      </c>
      <c r="B1083" t="s">
        <v>43</v>
      </c>
      <c r="C1083">
        <v>0</v>
      </c>
      <c r="D1083" t="s">
        <v>36</v>
      </c>
      <c r="E1083" t="s">
        <v>45</v>
      </c>
      <c r="F1083">
        <v>16</v>
      </c>
      <c r="G1083" t="s">
        <v>38</v>
      </c>
      <c r="H1083" t="s">
        <v>1153</v>
      </c>
      <c r="I1083">
        <v>4</v>
      </c>
      <c r="J1083" t="s">
        <v>39</v>
      </c>
      <c r="K1083">
        <v>2</v>
      </c>
      <c r="L1083">
        <v>3</v>
      </c>
      <c r="M1083" t="s">
        <v>54</v>
      </c>
      <c r="N1083">
        <v>2</v>
      </c>
      <c r="O1083" t="s">
        <v>41</v>
      </c>
      <c r="P1083" s="1">
        <v>8606</v>
      </c>
      <c r="Q1083" t="s">
        <v>67</v>
      </c>
      <c r="R1083" t="s">
        <v>43</v>
      </c>
      <c r="S1083">
        <v>3</v>
      </c>
      <c r="T1083">
        <v>11</v>
      </c>
      <c r="U1083">
        <v>1</v>
      </c>
      <c r="V1083">
        <v>11</v>
      </c>
      <c r="W1083">
        <v>8</v>
      </c>
      <c r="X1083">
        <v>3</v>
      </c>
      <c r="Y1083">
        <v>3</v>
      </c>
      <c r="Z1083" t="s">
        <v>1551</v>
      </c>
      <c r="AA1083" t="s">
        <v>69</v>
      </c>
      <c r="AB1083" t="str" cm="1">
        <f t="array" ref="AB1083">_xlfn.IFS(cleaned_data[[#This Row],[YearsAtCompany]]&lt;=5, "0-5",cleaned_data[[#This Row],[YearsAtCompany]]&lt;=10,"6-10",TRUE,"10+")</f>
        <v>10+</v>
      </c>
    </row>
    <row r="1084" spans="1:28" x14ac:dyDescent="0.3">
      <c r="A1084" s="2">
        <v>23</v>
      </c>
      <c r="B1084" t="s">
        <v>43</v>
      </c>
      <c r="C1084">
        <v>0</v>
      </c>
      <c r="D1084" t="s">
        <v>36</v>
      </c>
      <c r="E1084" t="s">
        <v>45</v>
      </c>
      <c r="F1084">
        <v>20</v>
      </c>
      <c r="G1084" t="s">
        <v>38</v>
      </c>
      <c r="H1084" t="s">
        <v>1154</v>
      </c>
      <c r="I1084">
        <v>1</v>
      </c>
      <c r="J1084" t="s">
        <v>46</v>
      </c>
      <c r="K1084">
        <v>3</v>
      </c>
      <c r="L1084">
        <v>2</v>
      </c>
      <c r="M1084" t="s">
        <v>50</v>
      </c>
      <c r="N1084">
        <v>3</v>
      </c>
      <c r="O1084" t="s">
        <v>41</v>
      </c>
      <c r="P1084" s="1">
        <v>2272</v>
      </c>
      <c r="Q1084" t="s">
        <v>72</v>
      </c>
      <c r="R1084" t="s">
        <v>43</v>
      </c>
      <c r="S1084">
        <v>3</v>
      </c>
      <c r="T1084">
        <v>5</v>
      </c>
      <c r="U1084">
        <v>3</v>
      </c>
      <c r="V1084">
        <v>4</v>
      </c>
      <c r="W1084">
        <v>3</v>
      </c>
      <c r="X1084">
        <v>1</v>
      </c>
      <c r="Y1084">
        <v>2</v>
      </c>
      <c r="Z1084" t="s">
        <v>68</v>
      </c>
      <c r="AA1084" t="s">
        <v>78</v>
      </c>
      <c r="AB1084" t="str" cm="1">
        <f t="array" ref="AB1084">_xlfn.IFS(cleaned_data[[#This Row],[YearsAtCompany]]&lt;=5, "0-5",cleaned_data[[#This Row],[YearsAtCompany]]&lt;=10,"6-10",TRUE,"10+")</f>
        <v>0-5</v>
      </c>
    </row>
    <row r="1085" spans="1:28" x14ac:dyDescent="0.3">
      <c r="A1085" s="2">
        <v>40</v>
      </c>
      <c r="B1085" t="s">
        <v>35</v>
      </c>
      <c r="C1085">
        <v>1</v>
      </c>
      <c r="D1085" t="s">
        <v>36</v>
      </c>
      <c r="E1085" t="s">
        <v>45</v>
      </c>
      <c r="F1085">
        <v>9</v>
      </c>
      <c r="G1085" t="s">
        <v>38</v>
      </c>
      <c r="H1085" t="s">
        <v>1155</v>
      </c>
      <c r="I1085">
        <v>4</v>
      </c>
      <c r="J1085" t="s">
        <v>46</v>
      </c>
      <c r="K1085">
        <v>3</v>
      </c>
      <c r="L1085">
        <v>1</v>
      </c>
      <c r="M1085" t="s">
        <v>50</v>
      </c>
      <c r="N1085">
        <v>1</v>
      </c>
      <c r="O1085" t="s">
        <v>41</v>
      </c>
      <c r="P1085" s="6">
        <v>2018</v>
      </c>
      <c r="Q1085" t="s">
        <v>72</v>
      </c>
      <c r="R1085" t="s">
        <v>43</v>
      </c>
      <c r="S1085">
        <v>3</v>
      </c>
      <c r="T1085">
        <v>15</v>
      </c>
      <c r="U1085">
        <v>1</v>
      </c>
      <c r="V1085">
        <v>5</v>
      </c>
      <c r="W1085">
        <v>4</v>
      </c>
      <c r="X1085">
        <v>1</v>
      </c>
      <c r="Y1085">
        <v>0</v>
      </c>
      <c r="Z1085" t="s">
        <v>1550</v>
      </c>
      <c r="AA1085" t="s">
        <v>69</v>
      </c>
      <c r="AB1085" t="str" cm="1">
        <f t="array" ref="AB1085">_xlfn.IFS(cleaned_data[[#This Row],[YearsAtCompany]]&lt;=5, "0-5",cleaned_data[[#This Row],[YearsAtCompany]]&lt;=10,"6-10",TRUE,"10+")</f>
        <v>0-5</v>
      </c>
    </row>
    <row r="1086" spans="1:28" x14ac:dyDescent="0.3">
      <c r="A1086" s="2">
        <v>34</v>
      </c>
      <c r="B1086" t="s">
        <v>43</v>
      </c>
      <c r="C1086">
        <v>0</v>
      </c>
      <c r="D1086" t="s">
        <v>36</v>
      </c>
      <c r="E1086" t="s">
        <v>37</v>
      </c>
      <c r="F1086">
        <v>1</v>
      </c>
      <c r="G1086" t="s">
        <v>60</v>
      </c>
      <c r="H1086" t="s">
        <v>1156</v>
      </c>
      <c r="I1086">
        <v>4</v>
      </c>
      <c r="J1086" t="s">
        <v>46</v>
      </c>
      <c r="K1086">
        <v>2</v>
      </c>
      <c r="L1086">
        <v>3</v>
      </c>
      <c r="M1086" t="s">
        <v>40</v>
      </c>
      <c r="N1086">
        <v>3</v>
      </c>
      <c r="O1086" t="s">
        <v>48</v>
      </c>
      <c r="P1086" s="1">
        <v>7083</v>
      </c>
      <c r="Q1086" t="s">
        <v>67</v>
      </c>
      <c r="R1086" t="s">
        <v>35</v>
      </c>
      <c r="S1086">
        <v>3</v>
      </c>
      <c r="T1086">
        <v>10</v>
      </c>
      <c r="U1086">
        <v>3</v>
      </c>
      <c r="V1086">
        <v>10</v>
      </c>
      <c r="W1086">
        <v>9</v>
      </c>
      <c r="X1086">
        <v>8</v>
      </c>
      <c r="Y1086">
        <v>6</v>
      </c>
      <c r="Z1086" t="s">
        <v>1551</v>
      </c>
      <c r="AA1086" t="s">
        <v>69</v>
      </c>
      <c r="AB1086" t="str" cm="1">
        <f t="array" ref="AB1086">_xlfn.IFS(cleaned_data[[#This Row],[YearsAtCompany]]&lt;=5, "0-5",cleaned_data[[#This Row],[YearsAtCompany]]&lt;=10,"6-10",TRUE,"10+")</f>
        <v>6-10</v>
      </c>
    </row>
    <row r="1087" spans="1:28" x14ac:dyDescent="0.3">
      <c r="A1087" s="2">
        <v>31</v>
      </c>
      <c r="B1087" t="s">
        <v>35</v>
      </c>
      <c r="C1087">
        <v>1</v>
      </c>
      <c r="D1087" t="s">
        <v>44</v>
      </c>
      <c r="E1087" t="s">
        <v>45</v>
      </c>
      <c r="F1087">
        <v>3</v>
      </c>
      <c r="G1087" t="s">
        <v>38</v>
      </c>
      <c r="H1087" t="s">
        <v>1157</v>
      </c>
      <c r="I1087">
        <v>4</v>
      </c>
      <c r="J1087" t="s">
        <v>39</v>
      </c>
      <c r="K1087">
        <v>3</v>
      </c>
      <c r="L1087">
        <v>1</v>
      </c>
      <c r="M1087" t="s">
        <v>47</v>
      </c>
      <c r="N1087">
        <v>3</v>
      </c>
      <c r="O1087" t="s">
        <v>41</v>
      </c>
      <c r="P1087" s="1">
        <v>4084</v>
      </c>
      <c r="Q1087" t="s">
        <v>72</v>
      </c>
      <c r="R1087" t="s">
        <v>43</v>
      </c>
      <c r="S1087">
        <v>3</v>
      </c>
      <c r="T1087">
        <v>7</v>
      </c>
      <c r="U1087">
        <v>1</v>
      </c>
      <c r="V1087">
        <v>7</v>
      </c>
      <c r="W1087">
        <v>2</v>
      </c>
      <c r="X1087">
        <v>7</v>
      </c>
      <c r="Y1087">
        <v>7</v>
      </c>
      <c r="Z1087" t="s">
        <v>1551</v>
      </c>
      <c r="AA1087" t="s">
        <v>69</v>
      </c>
      <c r="AB1087" t="str" cm="1">
        <f t="array" ref="AB1087">_xlfn.IFS(cleaned_data[[#This Row],[YearsAtCompany]]&lt;=5, "0-5",cleaned_data[[#This Row],[YearsAtCompany]]&lt;=10,"6-10",TRUE,"10+")</f>
        <v>6-10</v>
      </c>
    </row>
    <row r="1088" spans="1:28" x14ac:dyDescent="0.3">
      <c r="A1088" s="2">
        <v>50</v>
      </c>
      <c r="B1088" t="s">
        <v>43</v>
      </c>
      <c r="C1088">
        <v>0</v>
      </c>
      <c r="D1088" t="s">
        <v>44</v>
      </c>
      <c r="E1088" t="s">
        <v>45</v>
      </c>
      <c r="F1088">
        <v>22</v>
      </c>
      <c r="G1088" t="s">
        <v>51</v>
      </c>
      <c r="H1088" t="s">
        <v>1158</v>
      </c>
      <c r="I1088">
        <v>3</v>
      </c>
      <c r="J1088" t="s">
        <v>46</v>
      </c>
      <c r="K1088">
        <v>1</v>
      </c>
      <c r="L1088">
        <v>4</v>
      </c>
      <c r="M1088" t="s">
        <v>58</v>
      </c>
      <c r="N1088">
        <v>4</v>
      </c>
      <c r="O1088" t="s">
        <v>41</v>
      </c>
      <c r="P1088" s="1">
        <v>14411</v>
      </c>
      <c r="Q1088" t="s">
        <v>90</v>
      </c>
      <c r="R1088" t="s">
        <v>35</v>
      </c>
      <c r="S1088">
        <v>3</v>
      </c>
      <c r="T1088">
        <v>32</v>
      </c>
      <c r="U1088">
        <v>3</v>
      </c>
      <c r="V1088">
        <v>32</v>
      </c>
      <c r="W1088">
        <v>6</v>
      </c>
      <c r="X1088">
        <v>13</v>
      </c>
      <c r="Y1088">
        <v>9</v>
      </c>
      <c r="Z1088" t="s">
        <v>106</v>
      </c>
      <c r="AA1088" t="s">
        <v>82</v>
      </c>
      <c r="AB1088" t="str" cm="1">
        <f t="array" ref="AB1088">_xlfn.IFS(cleaned_data[[#This Row],[YearsAtCompany]]&lt;=5, "0-5",cleaned_data[[#This Row],[YearsAtCompany]]&lt;=10,"6-10",TRUE,"10+")</f>
        <v>10+</v>
      </c>
    </row>
    <row r="1089" spans="1:28" x14ac:dyDescent="0.3">
      <c r="A1089" s="2">
        <v>34</v>
      </c>
      <c r="B1089" t="s">
        <v>43</v>
      </c>
      <c r="C1089">
        <v>0</v>
      </c>
      <c r="D1089" t="s">
        <v>36</v>
      </c>
      <c r="E1089" t="s">
        <v>37</v>
      </c>
      <c r="F1089">
        <v>7</v>
      </c>
      <c r="G1089" t="s">
        <v>60</v>
      </c>
      <c r="H1089" t="s">
        <v>1159</v>
      </c>
      <c r="I1089">
        <v>2</v>
      </c>
      <c r="J1089" t="s">
        <v>46</v>
      </c>
      <c r="K1089">
        <v>3</v>
      </c>
      <c r="L1089">
        <v>1</v>
      </c>
      <c r="M1089" t="s">
        <v>57</v>
      </c>
      <c r="N1089">
        <v>3</v>
      </c>
      <c r="O1089" t="s">
        <v>48</v>
      </c>
      <c r="P1089" s="1">
        <v>2308</v>
      </c>
      <c r="Q1089" t="s">
        <v>72</v>
      </c>
      <c r="R1089" t="s">
        <v>35</v>
      </c>
      <c r="S1089">
        <v>4</v>
      </c>
      <c r="T1089">
        <v>12</v>
      </c>
      <c r="U1089">
        <v>3</v>
      </c>
      <c r="V1089">
        <v>11</v>
      </c>
      <c r="W1089">
        <v>10</v>
      </c>
      <c r="X1089">
        <v>5</v>
      </c>
      <c r="Y1089">
        <v>7</v>
      </c>
      <c r="Z1089" t="s">
        <v>1551</v>
      </c>
      <c r="AA1089" t="s">
        <v>69</v>
      </c>
      <c r="AB1089" t="str" cm="1">
        <f t="array" ref="AB1089">_xlfn.IFS(cleaned_data[[#This Row],[YearsAtCompany]]&lt;=5, "0-5",cleaned_data[[#This Row],[YearsAtCompany]]&lt;=10,"6-10",TRUE,"10+")</f>
        <v>10+</v>
      </c>
    </row>
    <row r="1090" spans="1:28" x14ac:dyDescent="0.3">
      <c r="A1090" s="2">
        <v>42</v>
      </c>
      <c r="B1090" t="s">
        <v>43</v>
      </c>
      <c r="C1090">
        <v>0</v>
      </c>
      <c r="D1090" t="s">
        <v>36</v>
      </c>
      <c r="E1090" t="s">
        <v>45</v>
      </c>
      <c r="F1090">
        <v>2</v>
      </c>
      <c r="G1090" t="s">
        <v>51</v>
      </c>
      <c r="H1090" t="s">
        <v>1160</v>
      </c>
      <c r="I1090">
        <v>3</v>
      </c>
      <c r="J1090" t="s">
        <v>46</v>
      </c>
      <c r="K1090">
        <v>2</v>
      </c>
      <c r="L1090">
        <v>1</v>
      </c>
      <c r="M1090" t="s">
        <v>50</v>
      </c>
      <c r="N1090">
        <v>2</v>
      </c>
      <c r="O1090" t="s">
        <v>48</v>
      </c>
      <c r="P1090" s="1">
        <v>4841</v>
      </c>
      <c r="Q1090" t="s">
        <v>72</v>
      </c>
      <c r="R1090" t="s">
        <v>43</v>
      </c>
      <c r="S1090">
        <v>3</v>
      </c>
      <c r="T1090">
        <v>4</v>
      </c>
      <c r="U1090">
        <v>3</v>
      </c>
      <c r="V1090">
        <v>1</v>
      </c>
      <c r="W1090">
        <v>0</v>
      </c>
      <c r="X1090">
        <v>0</v>
      </c>
      <c r="Y1090">
        <v>0</v>
      </c>
      <c r="Z1090" t="s">
        <v>1550</v>
      </c>
      <c r="AA1090" t="s">
        <v>78</v>
      </c>
      <c r="AB1090" t="str" cm="1">
        <f t="array" ref="AB1090">_xlfn.IFS(cleaned_data[[#This Row],[YearsAtCompany]]&lt;=5, "0-5",cleaned_data[[#This Row],[YearsAtCompany]]&lt;=10,"6-10",TRUE,"10+")</f>
        <v>0-5</v>
      </c>
    </row>
    <row r="1091" spans="1:28" x14ac:dyDescent="0.3">
      <c r="A1091" s="2">
        <v>37</v>
      </c>
      <c r="B1091" t="s">
        <v>43</v>
      </c>
      <c r="C1091">
        <v>0</v>
      </c>
      <c r="D1091" t="s">
        <v>36</v>
      </c>
      <c r="E1091" t="s">
        <v>45</v>
      </c>
      <c r="F1091">
        <v>13</v>
      </c>
      <c r="G1091" t="s">
        <v>51</v>
      </c>
      <c r="H1091" t="s">
        <v>1161</v>
      </c>
      <c r="I1091">
        <v>1</v>
      </c>
      <c r="J1091" t="s">
        <v>46</v>
      </c>
      <c r="K1091">
        <v>3</v>
      </c>
      <c r="L1091">
        <v>2</v>
      </c>
      <c r="M1091" t="s">
        <v>47</v>
      </c>
      <c r="N1091">
        <v>4</v>
      </c>
      <c r="O1091" t="s">
        <v>48</v>
      </c>
      <c r="P1091" s="1">
        <v>4285</v>
      </c>
      <c r="Q1091" t="s">
        <v>72</v>
      </c>
      <c r="R1091" t="s">
        <v>43</v>
      </c>
      <c r="S1091">
        <v>3</v>
      </c>
      <c r="T1091">
        <v>10</v>
      </c>
      <c r="U1091">
        <v>3</v>
      </c>
      <c r="V1091">
        <v>10</v>
      </c>
      <c r="W1091">
        <v>8</v>
      </c>
      <c r="X1091">
        <v>3</v>
      </c>
      <c r="Y1091">
        <v>7</v>
      </c>
      <c r="Z1091" t="s">
        <v>1550</v>
      </c>
      <c r="AA1091" t="s">
        <v>69</v>
      </c>
      <c r="AB1091" t="str" cm="1">
        <f t="array" ref="AB1091">_xlfn.IFS(cleaned_data[[#This Row],[YearsAtCompany]]&lt;=5, "0-5",cleaned_data[[#This Row],[YearsAtCompany]]&lt;=10,"6-10",TRUE,"10+")</f>
        <v>6-10</v>
      </c>
    </row>
    <row r="1092" spans="1:28" x14ac:dyDescent="0.3">
      <c r="A1092" s="2">
        <v>29</v>
      </c>
      <c r="B1092" t="s">
        <v>43</v>
      </c>
      <c r="C1092">
        <v>0</v>
      </c>
      <c r="D1092" t="s">
        <v>36</v>
      </c>
      <c r="E1092" t="s">
        <v>45</v>
      </c>
      <c r="F1092">
        <v>8</v>
      </c>
      <c r="G1092" t="s">
        <v>49</v>
      </c>
      <c r="H1092" t="s">
        <v>1162</v>
      </c>
      <c r="I1092">
        <v>3</v>
      </c>
      <c r="J1092" t="s">
        <v>39</v>
      </c>
      <c r="K1092">
        <v>1</v>
      </c>
      <c r="L1092">
        <v>2</v>
      </c>
      <c r="M1092" t="s">
        <v>54</v>
      </c>
      <c r="N1092">
        <v>1</v>
      </c>
      <c r="O1092" t="s">
        <v>48</v>
      </c>
      <c r="P1092" s="6">
        <v>9715</v>
      </c>
      <c r="Q1092" t="s">
        <v>67</v>
      </c>
      <c r="R1092" t="s">
        <v>43</v>
      </c>
      <c r="S1092">
        <v>3</v>
      </c>
      <c r="T1092">
        <v>9</v>
      </c>
      <c r="U1092">
        <v>3</v>
      </c>
      <c r="V1092">
        <v>7</v>
      </c>
      <c r="W1092">
        <v>7</v>
      </c>
      <c r="X1092">
        <v>0</v>
      </c>
      <c r="Y1092">
        <v>7</v>
      </c>
      <c r="Z1092" t="s">
        <v>1551</v>
      </c>
      <c r="AA1092" t="s">
        <v>69</v>
      </c>
      <c r="AB1092" t="str" cm="1">
        <f t="array" ref="AB1092">_xlfn.IFS(cleaned_data[[#This Row],[YearsAtCompany]]&lt;=5, "0-5",cleaned_data[[#This Row],[YearsAtCompany]]&lt;=10,"6-10",TRUE,"10+")</f>
        <v>6-10</v>
      </c>
    </row>
    <row r="1093" spans="1:28" x14ac:dyDescent="0.3">
      <c r="A1093" s="2">
        <v>33</v>
      </c>
      <c r="B1093" t="s">
        <v>43</v>
      </c>
      <c r="C1093">
        <v>0</v>
      </c>
      <c r="D1093" t="s">
        <v>36</v>
      </c>
      <c r="E1093" t="s">
        <v>45</v>
      </c>
      <c r="F1093">
        <v>25</v>
      </c>
      <c r="G1093" t="s">
        <v>38</v>
      </c>
      <c r="H1093" t="s">
        <v>1163</v>
      </c>
      <c r="I1093">
        <v>4</v>
      </c>
      <c r="J1093" t="s">
        <v>46</v>
      </c>
      <c r="K1093">
        <v>2</v>
      </c>
      <c r="L1093">
        <v>2</v>
      </c>
      <c r="M1093" t="s">
        <v>53</v>
      </c>
      <c r="N1093">
        <v>2</v>
      </c>
      <c r="O1093" t="s">
        <v>41</v>
      </c>
      <c r="P1093" s="1">
        <v>4320</v>
      </c>
      <c r="Q1093" t="s">
        <v>72</v>
      </c>
      <c r="R1093" t="s">
        <v>43</v>
      </c>
      <c r="S1093">
        <v>3</v>
      </c>
      <c r="T1093">
        <v>5</v>
      </c>
      <c r="U1093">
        <v>3</v>
      </c>
      <c r="V1093">
        <v>5</v>
      </c>
      <c r="W1093">
        <v>3</v>
      </c>
      <c r="X1093">
        <v>0</v>
      </c>
      <c r="Y1093">
        <v>2</v>
      </c>
      <c r="Z1093" t="s">
        <v>1551</v>
      </c>
      <c r="AA1093" t="s">
        <v>78</v>
      </c>
      <c r="AB1093" t="str" cm="1">
        <f t="array" ref="AB1093">_xlfn.IFS(cleaned_data[[#This Row],[YearsAtCompany]]&lt;=5, "0-5",cleaned_data[[#This Row],[YearsAtCompany]]&lt;=10,"6-10",TRUE,"10+")</f>
        <v>0-5</v>
      </c>
    </row>
    <row r="1094" spans="1:28" x14ac:dyDescent="0.3">
      <c r="A1094" s="2">
        <v>45</v>
      </c>
      <c r="B1094" t="s">
        <v>43</v>
      </c>
      <c r="C1094">
        <v>0</v>
      </c>
      <c r="D1094" t="s">
        <v>36</v>
      </c>
      <c r="E1094" t="s">
        <v>45</v>
      </c>
      <c r="F1094">
        <v>28</v>
      </c>
      <c r="G1094" t="s">
        <v>60</v>
      </c>
      <c r="H1094" t="s">
        <v>1164</v>
      </c>
      <c r="I1094">
        <v>4</v>
      </c>
      <c r="J1094" t="s">
        <v>46</v>
      </c>
      <c r="K1094">
        <v>3</v>
      </c>
      <c r="L1094">
        <v>1</v>
      </c>
      <c r="M1094" t="s">
        <v>47</v>
      </c>
      <c r="N1094">
        <v>4</v>
      </c>
      <c r="O1094" t="s">
        <v>48</v>
      </c>
      <c r="P1094" s="1">
        <v>2132</v>
      </c>
      <c r="Q1094" t="s">
        <v>72</v>
      </c>
      <c r="R1094" t="s">
        <v>43</v>
      </c>
      <c r="S1094">
        <v>4</v>
      </c>
      <c r="T1094">
        <v>8</v>
      </c>
      <c r="U1094">
        <v>3</v>
      </c>
      <c r="V1094">
        <v>5</v>
      </c>
      <c r="W1094">
        <v>4</v>
      </c>
      <c r="X1094">
        <v>0</v>
      </c>
      <c r="Y1094">
        <v>3</v>
      </c>
      <c r="Z1094" t="s">
        <v>1550</v>
      </c>
      <c r="AA1094" t="s">
        <v>69</v>
      </c>
      <c r="AB1094" t="str" cm="1">
        <f t="array" ref="AB1094">_xlfn.IFS(cleaned_data[[#This Row],[YearsAtCompany]]&lt;=5, "0-5",cleaned_data[[#This Row],[YearsAtCompany]]&lt;=10,"6-10",TRUE,"10+")</f>
        <v>0-5</v>
      </c>
    </row>
    <row r="1095" spans="1:28" x14ac:dyDescent="0.3">
      <c r="A1095" s="2">
        <v>42</v>
      </c>
      <c r="B1095" t="s">
        <v>43</v>
      </c>
      <c r="C1095">
        <v>0</v>
      </c>
      <c r="D1095" t="s">
        <v>44</v>
      </c>
      <c r="E1095" t="s">
        <v>45</v>
      </c>
      <c r="F1095">
        <v>2</v>
      </c>
      <c r="G1095" t="s">
        <v>38</v>
      </c>
      <c r="H1095" t="s">
        <v>1165</v>
      </c>
      <c r="I1095">
        <v>4</v>
      </c>
      <c r="J1095" t="s">
        <v>46</v>
      </c>
      <c r="K1095">
        <v>3</v>
      </c>
      <c r="L1095">
        <v>3</v>
      </c>
      <c r="M1095" t="s">
        <v>54</v>
      </c>
      <c r="N1095">
        <v>4</v>
      </c>
      <c r="O1095" t="s">
        <v>48</v>
      </c>
      <c r="P1095" s="1">
        <v>10124</v>
      </c>
      <c r="Q1095" t="s">
        <v>67</v>
      </c>
      <c r="R1095" t="s">
        <v>35</v>
      </c>
      <c r="S1095">
        <v>3</v>
      </c>
      <c r="T1095">
        <v>24</v>
      </c>
      <c r="U1095">
        <v>1</v>
      </c>
      <c r="V1095">
        <v>20</v>
      </c>
      <c r="W1095">
        <v>8</v>
      </c>
      <c r="X1095">
        <v>13</v>
      </c>
      <c r="Y1095">
        <v>9</v>
      </c>
      <c r="Z1095" t="s">
        <v>1550</v>
      </c>
      <c r="AA1095" t="s">
        <v>82</v>
      </c>
      <c r="AB1095" t="str" cm="1">
        <f t="array" ref="AB1095">_xlfn.IFS(cleaned_data[[#This Row],[YearsAtCompany]]&lt;=5, "0-5",cleaned_data[[#This Row],[YearsAtCompany]]&lt;=10,"6-10",TRUE,"10+")</f>
        <v>10+</v>
      </c>
    </row>
    <row r="1096" spans="1:28" x14ac:dyDescent="0.3">
      <c r="A1096" s="2">
        <v>40</v>
      </c>
      <c r="B1096" t="s">
        <v>43</v>
      </c>
      <c r="C1096">
        <v>0</v>
      </c>
      <c r="D1096" t="s">
        <v>36</v>
      </c>
      <c r="E1096" t="s">
        <v>37</v>
      </c>
      <c r="F1096">
        <v>9</v>
      </c>
      <c r="G1096" t="s">
        <v>51</v>
      </c>
      <c r="H1096" t="s">
        <v>1166</v>
      </c>
      <c r="I1096">
        <v>1</v>
      </c>
      <c r="J1096" t="s">
        <v>46</v>
      </c>
      <c r="K1096">
        <v>3</v>
      </c>
      <c r="L1096">
        <v>2</v>
      </c>
      <c r="M1096" t="s">
        <v>40</v>
      </c>
      <c r="N1096">
        <v>1</v>
      </c>
      <c r="O1096" t="s">
        <v>48</v>
      </c>
      <c r="P1096" s="6">
        <v>5473</v>
      </c>
      <c r="Q1096" t="s">
        <v>67</v>
      </c>
      <c r="R1096" t="s">
        <v>43</v>
      </c>
      <c r="S1096">
        <v>3</v>
      </c>
      <c r="T1096">
        <v>9</v>
      </c>
      <c r="U1096">
        <v>4</v>
      </c>
      <c r="V1096">
        <v>8</v>
      </c>
      <c r="W1096">
        <v>4</v>
      </c>
      <c r="X1096">
        <v>7</v>
      </c>
      <c r="Y1096">
        <v>1</v>
      </c>
      <c r="Z1096" t="s">
        <v>1550</v>
      </c>
      <c r="AA1096" t="s">
        <v>69</v>
      </c>
      <c r="AB1096" t="str" cm="1">
        <f t="array" ref="AB1096">_xlfn.IFS(cleaned_data[[#This Row],[YearsAtCompany]]&lt;=5, "0-5",cleaned_data[[#This Row],[YearsAtCompany]]&lt;=10,"6-10",TRUE,"10+")</f>
        <v>6-10</v>
      </c>
    </row>
    <row r="1097" spans="1:28" x14ac:dyDescent="0.3">
      <c r="A1097" s="2">
        <v>33</v>
      </c>
      <c r="B1097" t="s">
        <v>43</v>
      </c>
      <c r="C1097">
        <v>0</v>
      </c>
      <c r="D1097" t="s">
        <v>36</v>
      </c>
      <c r="E1097" t="s">
        <v>45</v>
      </c>
      <c r="F1097">
        <v>28</v>
      </c>
      <c r="G1097" t="s">
        <v>38</v>
      </c>
      <c r="H1097" t="s">
        <v>1167</v>
      </c>
      <c r="I1097">
        <v>2</v>
      </c>
      <c r="J1097" t="s">
        <v>46</v>
      </c>
      <c r="K1097">
        <v>3</v>
      </c>
      <c r="L1097">
        <v>2</v>
      </c>
      <c r="M1097" t="s">
        <v>50</v>
      </c>
      <c r="N1097">
        <v>3</v>
      </c>
      <c r="O1097" t="s">
        <v>48</v>
      </c>
      <c r="P1097" s="1">
        <v>5207</v>
      </c>
      <c r="Q1097" t="s">
        <v>67</v>
      </c>
      <c r="R1097" t="s">
        <v>35</v>
      </c>
      <c r="S1097">
        <v>3</v>
      </c>
      <c r="T1097">
        <v>15</v>
      </c>
      <c r="U1097">
        <v>3</v>
      </c>
      <c r="V1097">
        <v>15</v>
      </c>
      <c r="W1097">
        <v>14</v>
      </c>
      <c r="X1097">
        <v>5</v>
      </c>
      <c r="Y1097">
        <v>7</v>
      </c>
      <c r="Z1097" t="s">
        <v>1551</v>
      </c>
      <c r="AA1097" t="s">
        <v>69</v>
      </c>
      <c r="AB1097" t="str" cm="1">
        <f t="array" ref="AB1097">_xlfn.IFS(cleaned_data[[#This Row],[YearsAtCompany]]&lt;=5, "0-5",cleaned_data[[#This Row],[YearsAtCompany]]&lt;=10,"6-10",TRUE,"10+")</f>
        <v>10+</v>
      </c>
    </row>
    <row r="1098" spans="1:28" x14ac:dyDescent="0.3">
      <c r="A1098" s="2">
        <v>40</v>
      </c>
      <c r="B1098" t="s">
        <v>43</v>
      </c>
      <c r="C1098">
        <v>0</v>
      </c>
      <c r="D1098" t="s">
        <v>36</v>
      </c>
      <c r="E1098" t="s">
        <v>61</v>
      </c>
      <c r="F1098">
        <v>6</v>
      </c>
      <c r="G1098" t="s">
        <v>51</v>
      </c>
      <c r="H1098" t="s">
        <v>1168</v>
      </c>
      <c r="I1098">
        <v>3</v>
      </c>
      <c r="J1098" t="s">
        <v>46</v>
      </c>
      <c r="K1098">
        <v>3</v>
      </c>
      <c r="L1098">
        <v>4</v>
      </c>
      <c r="M1098" t="s">
        <v>56</v>
      </c>
      <c r="N1098">
        <v>4</v>
      </c>
      <c r="O1098" t="s">
        <v>41</v>
      </c>
      <c r="P1098" s="1">
        <v>16437</v>
      </c>
      <c r="Q1098" t="s">
        <v>90</v>
      </c>
      <c r="R1098" t="s">
        <v>35</v>
      </c>
      <c r="S1098">
        <v>4</v>
      </c>
      <c r="T1098">
        <v>21</v>
      </c>
      <c r="U1098">
        <v>3</v>
      </c>
      <c r="V1098">
        <v>21</v>
      </c>
      <c r="W1098">
        <v>7</v>
      </c>
      <c r="X1098">
        <v>7</v>
      </c>
      <c r="Y1098">
        <v>7</v>
      </c>
      <c r="Z1098" t="s">
        <v>1550</v>
      </c>
      <c r="AA1098" t="s">
        <v>82</v>
      </c>
      <c r="AB1098" t="str" cm="1">
        <f t="array" ref="AB1098">_xlfn.IFS(cleaned_data[[#This Row],[YearsAtCompany]]&lt;=5, "0-5",cleaned_data[[#This Row],[YearsAtCompany]]&lt;=10,"6-10",TRUE,"10+")</f>
        <v>10+</v>
      </c>
    </row>
    <row r="1099" spans="1:28" x14ac:dyDescent="0.3">
      <c r="A1099" s="2">
        <v>24</v>
      </c>
      <c r="B1099" t="s">
        <v>43</v>
      </c>
      <c r="C1099">
        <v>0</v>
      </c>
      <c r="D1099" t="s">
        <v>36</v>
      </c>
      <c r="E1099" t="s">
        <v>45</v>
      </c>
      <c r="F1099">
        <v>21</v>
      </c>
      <c r="G1099" t="s">
        <v>60</v>
      </c>
      <c r="H1099" t="s">
        <v>1169</v>
      </c>
      <c r="I1099">
        <v>3</v>
      </c>
      <c r="J1099" t="s">
        <v>46</v>
      </c>
      <c r="K1099">
        <v>2</v>
      </c>
      <c r="L1099">
        <v>1</v>
      </c>
      <c r="M1099" t="s">
        <v>50</v>
      </c>
      <c r="N1099">
        <v>1</v>
      </c>
      <c r="O1099" t="s">
        <v>52</v>
      </c>
      <c r="P1099" s="6">
        <v>2296</v>
      </c>
      <c r="Q1099" t="s">
        <v>72</v>
      </c>
      <c r="R1099" t="s">
        <v>43</v>
      </c>
      <c r="S1099">
        <v>3</v>
      </c>
      <c r="T1099">
        <v>2</v>
      </c>
      <c r="U1099">
        <v>3</v>
      </c>
      <c r="V1099">
        <v>1</v>
      </c>
      <c r="W1099">
        <v>1</v>
      </c>
      <c r="X1099">
        <v>0</v>
      </c>
      <c r="Y1099">
        <v>0</v>
      </c>
      <c r="Z1099" t="s">
        <v>68</v>
      </c>
      <c r="AA1099" t="s">
        <v>78</v>
      </c>
      <c r="AB1099" t="str" cm="1">
        <f t="array" ref="AB1099">_xlfn.IFS(cleaned_data[[#This Row],[YearsAtCompany]]&lt;=5, "0-5",cleaned_data[[#This Row],[YearsAtCompany]]&lt;=10,"6-10",TRUE,"10+")</f>
        <v>0-5</v>
      </c>
    </row>
    <row r="1100" spans="1:28" x14ac:dyDescent="0.3">
      <c r="A1100" s="2">
        <v>40</v>
      </c>
      <c r="B1100" t="s">
        <v>43</v>
      </c>
      <c r="C1100">
        <v>0</v>
      </c>
      <c r="D1100" t="s">
        <v>55</v>
      </c>
      <c r="E1100" t="s">
        <v>45</v>
      </c>
      <c r="F1100">
        <v>8</v>
      </c>
      <c r="G1100" t="s">
        <v>38</v>
      </c>
      <c r="H1100" t="s">
        <v>1170</v>
      </c>
      <c r="I1100">
        <v>4</v>
      </c>
      <c r="J1100" t="s">
        <v>46</v>
      </c>
      <c r="K1100">
        <v>3</v>
      </c>
      <c r="L1100">
        <v>2</v>
      </c>
      <c r="M1100" t="s">
        <v>54</v>
      </c>
      <c r="N1100">
        <v>4</v>
      </c>
      <c r="O1100" t="s">
        <v>52</v>
      </c>
      <c r="P1100" s="1">
        <v>4069</v>
      </c>
      <c r="Q1100" t="s">
        <v>72</v>
      </c>
      <c r="R1100" t="s">
        <v>35</v>
      </c>
      <c r="S1100">
        <v>3</v>
      </c>
      <c r="T1100">
        <v>8</v>
      </c>
      <c r="U1100">
        <v>3</v>
      </c>
      <c r="V1100">
        <v>2</v>
      </c>
      <c r="W1100">
        <v>2</v>
      </c>
      <c r="X1100">
        <v>2</v>
      </c>
      <c r="Y1100">
        <v>2</v>
      </c>
      <c r="Z1100" t="s">
        <v>1550</v>
      </c>
      <c r="AA1100" t="s">
        <v>69</v>
      </c>
      <c r="AB1100" t="str" cm="1">
        <f t="array" ref="AB1100">_xlfn.IFS(cleaned_data[[#This Row],[YearsAtCompany]]&lt;=5, "0-5",cleaned_data[[#This Row],[YearsAtCompany]]&lt;=10,"6-10",TRUE,"10+")</f>
        <v>0-5</v>
      </c>
    </row>
    <row r="1101" spans="1:28" x14ac:dyDescent="0.3">
      <c r="A1101" s="2">
        <v>45</v>
      </c>
      <c r="B1101" t="s">
        <v>43</v>
      </c>
      <c r="C1101">
        <v>0</v>
      </c>
      <c r="D1101" t="s">
        <v>36</v>
      </c>
      <c r="E1101" t="s">
        <v>45</v>
      </c>
      <c r="F1101">
        <v>1</v>
      </c>
      <c r="G1101" t="s">
        <v>60</v>
      </c>
      <c r="H1101" t="s">
        <v>1171</v>
      </c>
      <c r="I1101">
        <v>1</v>
      </c>
      <c r="J1101" t="s">
        <v>46</v>
      </c>
      <c r="K1101">
        <v>3</v>
      </c>
      <c r="L1101">
        <v>3</v>
      </c>
      <c r="M1101" t="s">
        <v>54</v>
      </c>
      <c r="N1101">
        <v>2</v>
      </c>
      <c r="O1101" t="s">
        <v>52</v>
      </c>
      <c r="P1101" s="1">
        <v>7441</v>
      </c>
      <c r="Q1101" t="s">
        <v>67</v>
      </c>
      <c r="R1101" t="s">
        <v>43</v>
      </c>
      <c r="S1101">
        <v>3</v>
      </c>
      <c r="T1101">
        <v>10</v>
      </c>
      <c r="U1101">
        <v>3</v>
      </c>
      <c r="V1101">
        <v>10</v>
      </c>
      <c r="W1101">
        <v>8</v>
      </c>
      <c r="X1101">
        <v>7</v>
      </c>
      <c r="Y1101">
        <v>7</v>
      </c>
      <c r="Z1101" t="s">
        <v>1550</v>
      </c>
      <c r="AA1101" t="s">
        <v>69</v>
      </c>
      <c r="AB1101" t="str" cm="1">
        <f t="array" ref="AB1101">_xlfn.IFS(cleaned_data[[#This Row],[YearsAtCompany]]&lt;=5, "0-5",cleaned_data[[#This Row],[YearsAtCompany]]&lt;=10,"6-10",TRUE,"10+")</f>
        <v>6-10</v>
      </c>
    </row>
    <row r="1102" spans="1:28" x14ac:dyDescent="0.3">
      <c r="A1102" s="2">
        <v>35</v>
      </c>
      <c r="B1102" t="s">
        <v>43</v>
      </c>
      <c r="C1102">
        <v>0</v>
      </c>
      <c r="D1102" t="s">
        <v>36</v>
      </c>
      <c r="E1102" t="s">
        <v>37</v>
      </c>
      <c r="F1102">
        <v>28</v>
      </c>
      <c r="G1102" t="s">
        <v>38</v>
      </c>
      <c r="H1102" t="s">
        <v>1172</v>
      </c>
      <c r="I1102">
        <v>2</v>
      </c>
      <c r="J1102" t="s">
        <v>39</v>
      </c>
      <c r="K1102">
        <v>2</v>
      </c>
      <c r="L1102">
        <v>1</v>
      </c>
      <c r="M1102" t="s">
        <v>57</v>
      </c>
      <c r="N1102">
        <v>3</v>
      </c>
      <c r="O1102" t="s">
        <v>48</v>
      </c>
      <c r="P1102" s="1">
        <v>2430</v>
      </c>
      <c r="Q1102" t="s">
        <v>72</v>
      </c>
      <c r="R1102" t="s">
        <v>43</v>
      </c>
      <c r="S1102">
        <v>4</v>
      </c>
      <c r="T1102">
        <v>6</v>
      </c>
      <c r="U1102">
        <v>3</v>
      </c>
      <c r="V1102">
        <v>5</v>
      </c>
      <c r="W1102">
        <v>3</v>
      </c>
      <c r="X1102">
        <v>4</v>
      </c>
      <c r="Y1102">
        <v>2</v>
      </c>
      <c r="Z1102" t="s">
        <v>1551</v>
      </c>
      <c r="AA1102" t="s">
        <v>69</v>
      </c>
      <c r="AB1102" t="str" cm="1">
        <f t="array" ref="AB1102">_xlfn.IFS(cleaned_data[[#This Row],[YearsAtCompany]]&lt;=5, "0-5",cleaned_data[[#This Row],[YearsAtCompany]]&lt;=10,"6-10",TRUE,"10+")</f>
        <v>0-5</v>
      </c>
    </row>
    <row r="1103" spans="1:28" x14ac:dyDescent="0.3">
      <c r="A1103" s="2">
        <v>32</v>
      </c>
      <c r="B1103" t="s">
        <v>43</v>
      </c>
      <c r="C1103">
        <v>0</v>
      </c>
      <c r="D1103" t="s">
        <v>36</v>
      </c>
      <c r="E1103" t="s">
        <v>45</v>
      </c>
      <c r="F1103">
        <v>5</v>
      </c>
      <c r="G1103" t="s">
        <v>38</v>
      </c>
      <c r="H1103" t="s">
        <v>1173</v>
      </c>
      <c r="I1103">
        <v>4</v>
      </c>
      <c r="J1103" t="s">
        <v>39</v>
      </c>
      <c r="K1103">
        <v>2</v>
      </c>
      <c r="L1103">
        <v>2</v>
      </c>
      <c r="M1103" t="s">
        <v>47</v>
      </c>
      <c r="N1103">
        <v>2</v>
      </c>
      <c r="O1103" t="s">
        <v>48</v>
      </c>
      <c r="P1103" s="1">
        <v>5878</v>
      </c>
      <c r="Q1103" t="s">
        <v>67</v>
      </c>
      <c r="R1103" t="s">
        <v>43</v>
      </c>
      <c r="S1103">
        <v>3</v>
      </c>
      <c r="T1103">
        <v>12</v>
      </c>
      <c r="U1103">
        <v>3</v>
      </c>
      <c r="V1103">
        <v>7</v>
      </c>
      <c r="W1103">
        <v>1</v>
      </c>
      <c r="X1103">
        <v>2</v>
      </c>
      <c r="Y1103">
        <v>5</v>
      </c>
      <c r="Z1103" t="s">
        <v>1551</v>
      </c>
      <c r="AA1103" t="s">
        <v>69</v>
      </c>
      <c r="AB1103" t="str" cm="1">
        <f t="array" ref="AB1103">_xlfn.IFS(cleaned_data[[#This Row],[YearsAtCompany]]&lt;=5, "0-5",cleaned_data[[#This Row],[YearsAtCompany]]&lt;=10,"6-10",TRUE,"10+")</f>
        <v>6-10</v>
      </c>
    </row>
    <row r="1104" spans="1:28" x14ac:dyDescent="0.3">
      <c r="A1104" s="2">
        <v>36</v>
      </c>
      <c r="B1104" t="s">
        <v>43</v>
      </c>
      <c r="C1104">
        <v>0</v>
      </c>
      <c r="D1104" t="s">
        <v>36</v>
      </c>
      <c r="E1104" t="s">
        <v>37</v>
      </c>
      <c r="F1104">
        <v>2</v>
      </c>
      <c r="G1104" t="s">
        <v>38</v>
      </c>
      <c r="H1104" t="s">
        <v>1174</v>
      </c>
      <c r="I1104">
        <v>3</v>
      </c>
      <c r="J1104" t="s">
        <v>46</v>
      </c>
      <c r="K1104">
        <v>3</v>
      </c>
      <c r="L1104">
        <v>1</v>
      </c>
      <c r="M1104" t="s">
        <v>57</v>
      </c>
      <c r="N1104">
        <v>4</v>
      </c>
      <c r="O1104" t="s">
        <v>41</v>
      </c>
      <c r="P1104" s="1">
        <v>2644</v>
      </c>
      <c r="Q1104" t="s">
        <v>72</v>
      </c>
      <c r="R1104" t="s">
        <v>35</v>
      </c>
      <c r="S1104">
        <v>4</v>
      </c>
      <c r="T1104">
        <v>7</v>
      </c>
      <c r="U1104">
        <v>2</v>
      </c>
      <c r="V1104">
        <v>3</v>
      </c>
      <c r="W1104">
        <v>2</v>
      </c>
      <c r="X1104">
        <v>1</v>
      </c>
      <c r="Y1104">
        <v>2</v>
      </c>
      <c r="Z1104" t="s">
        <v>1550</v>
      </c>
      <c r="AA1104" t="s">
        <v>69</v>
      </c>
      <c r="AB1104" t="str" cm="1">
        <f t="array" ref="AB1104">_xlfn.IFS(cleaned_data[[#This Row],[YearsAtCompany]]&lt;=5, "0-5",cleaned_data[[#This Row],[YearsAtCompany]]&lt;=10,"6-10",TRUE,"10+")</f>
        <v>0-5</v>
      </c>
    </row>
    <row r="1105" spans="1:28" x14ac:dyDescent="0.3">
      <c r="A1105" s="2">
        <v>48</v>
      </c>
      <c r="B1105" t="s">
        <v>43</v>
      </c>
      <c r="C1105">
        <v>0</v>
      </c>
      <c r="D1105" t="s">
        <v>36</v>
      </c>
      <c r="E1105" t="s">
        <v>37</v>
      </c>
      <c r="F1105">
        <v>16</v>
      </c>
      <c r="G1105" t="s">
        <v>38</v>
      </c>
      <c r="H1105" t="s">
        <v>1175</v>
      </c>
      <c r="I1105">
        <v>3</v>
      </c>
      <c r="J1105" t="s">
        <v>39</v>
      </c>
      <c r="K1105">
        <v>3</v>
      </c>
      <c r="L1105">
        <v>2</v>
      </c>
      <c r="M1105" t="s">
        <v>40</v>
      </c>
      <c r="N1105">
        <v>3</v>
      </c>
      <c r="O1105" t="s">
        <v>52</v>
      </c>
      <c r="P1105" s="1">
        <v>6439</v>
      </c>
      <c r="Q1105" t="s">
        <v>67</v>
      </c>
      <c r="R1105" t="s">
        <v>43</v>
      </c>
      <c r="S1105">
        <v>3</v>
      </c>
      <c r="T1105">
        <v>18</v>
      </c>
      <c r="U1105">
        <v>3</v>
      </c>
      <c r="V1105">
        <v>8</v>
      </c>
      <c r="W1105">
        <v>7</v>
      </c>
      <c r="X1105">
        <v>7</v>
      </c>
      <c r="Y1105">
        <v>7</v>
      </c>
      <c r="Z1105" t="s">
        <v>106</v>
      </c>
      <c r="AA1105" t="s">
        <v>82</v>
      </c>
      <c r="AB1105" t="str" cm="1">
        <f t="array" ref="AB1105">_xlfn.IFS(cleaned_data[[#This Row],[YearsAtCompany]]&lt;=5, "0-5",cleaned_data[[#This Row],[YearsAtCompany]]&lt;=10,"6-10",TRUE,"10+")</f>
        <v>6-10</v>
      </c>
    </row>
    <row r="1106" spans="1:28" x14ac:dyDescent="0.3">
      <c r="A1106" s="2">
        <v>29</v>
      </c>
      <c r="B1106" t="s">
        <v>43</v>
      </c>
      <c r="C1106">
        <v>0</v>
      </c>
      <c r="D1106" t="s">
        <v>36</v>
      </c>
      <c r="E1106" t="s">
        <v>45</v>
      </c>
      <c r="F1106">
        <v>9</v>
      </c>
      <c r="G1106" t="s">
        <v>38</v>
      </c>
      <c r="H1106" t="s">
        <v>1176</v>
      </c>
      <c r="I1106">
        <v>3</v>
      </c>
      <c r="J1106" t="s">
        <v>46</v>
      </c>
      <c r="K1106">
        <v>4</v>
      </c>
      <c r="L1106">
        <v>1</v>
      </c>
      <c r="M1106" t="s">
        <v>47</v>
      </c>
      <c r="N1106">
        <v>3</v>
      </c>
      <c r="O1106" t="s">
        <v>48</v>
      </c>
      <c r="P1106" s="1">
        <v>2451</v>
      </c>
      <c r="Q1106" t="s">
        <v>72</v>
      </c>
      <c r="R1106" t="s">
        <v>43</v>
      </c>
      <c r="S1106">
        <v>3</v>
      </c>
      <c r="T1106">
        <v>5</v>
      </c>
      <c r="U1106">
        <v>2</v>
      </c>
      <c r="V1106">
        <v>1</v>
      </c>
      <c r="W1106">
        <v>0</v>
      </c>
      <c r="X1106">
        <v>0</v>
      </c>
      <c r="Y1106">
        <v>0</v>
      </c>
      <c r="Z1106" t="s">
        <v>1551</v>
      </c>
      <c r="AA1106" t="s">
        <v>78</v>
      </c>
      <c r="AB1106" t="str" cm="1">
        <f t="array" ref="AB1106">_xlfn.IFS(cleaned_data[[#This Row],[YearsAtCompany]]&lt;=5, "0-5",cleaned_data[[#This Row],[YearsAtCompany]]&lt;=10,"6-10",TRUE,"10+")</f>
        <v>0-5</v>
      </c>
    </row>
    <row r="1107" spans="1:28" x14ac:dyDescent="0.3">
      <c r="A1107" s="2">
        <v>33</v>
      </c>
      <c r="B1107" t="s">
        <v>43</v>
      </c>
      <c r="C1107">
        <v>0</v>
      </c>
      <c r="D1107" t="s">
        <v>36</v>
      </c>
      <c r="E1107" t="s">
        <v>37</v>
      </c>
      <c r="F1107">
        <v>8</v>
      </c>
      <c r="G1107" t="s">
        <v>38</v>
      </c>
      <c r="H1107" t="s">
        <v>1177</v>
      </c>
      <c r="I1107">
        <v>1</v>
      </c>
      <c r="J1107" t="s">
        <v>46</v>
      </c>
      <c r="K1107">
        <v>3</v>
      </c>
      <c r="L1107">
        <v>2</v>
      </c>
      <c r="M1107" t="s">
        <v>40</v>
      </c>
      <c r="N1107">
        <v>1</v>
      </c>
      <c r="O1107" t="s">
        <v>48</v>
      </c>
      <c r="P1107" s="6">
        <v>6392</v>
      </c>
      <c r="Q1107" t="s">
        <v>67</v>
      </c>
      <c r="R1107" t="s">
        <v>43</v>
      </c>
      <c r="S1107">
        <v>3</v>
      </c>
      <c r="T1107">
        <v>8</v>
      </c>
      <c r="U1107">
        <v>1</v>
      </c>
      <c r="V1107">
        <v>2</v>
      </c>
      <c r="W1107">
        <v>2</v>
      </c>
      <c r="X1107">
        <v>2</v>
      </c>
      <c r="Y1107">
        <v>2</v>
      </c>
      <c r="Z1107" t="s">
        <v>1551</v>
      </c>
      <c r="AA1107" t="s">
        <v>69</v>
      </c>
      <c r="AB1107" t="str" cm="1">
        <f t="array" ref="AB1107">_xlfn.IFS(cleaned_data[[#This Row],[YearsAtCompany]]&lt;=5, "0-5",cleaned_data[[#This Row],[YearsAtCompany]]&lt;=10,"6-10",TRUE,"10+")</f>
        <v>0-5</v>
      </c>
    </row>
    <row r="1108" spans="1:28" x14ac:dyDescent="0.3">
      <c r="A1108" s="2">
        <v>30</v>
      </c>
      <c r="B1108" t="s">
        <v>35</v>
      </c>
      <c r="C1108">
        <v>1</v>
      </c>
      <c r="D1108" t="s">
        <v>36</v>
      </c>
      <c r="E1108" t="s">
        <v>37</v>
      </c>
      <c r="F1108">
        <v>1</v>
      </c>
      <c r="G1108" t="s">
        <v>38</v>
      </c>
      <c r="H1108" t="s">
        <v>1178</v>
      </c>
      <c r="I1108">
        <v>2</v>
      </c>
      <c r="J1108" t="s">
        <v>46</v>
      </c>
      <c r="K1108">
        <v>2</v>
      </c>
      <c r="L1108">
        <v>2</v>
      </c>
      <c r="M1108" t="s">
        <v>40</v>
      </c>
      <c r="N1108">
        <v>1</v>
      </c>
      <c r="O1108" t="s">
        <v>48</v>
      </c>
      <c r="P1108" s="6">
        <v>9714</v>
      </c>
      <c r="Q1108" t="s">
        <v>67</v>
      </c>
      <c r="R1108" t="s">
        <v>43</v>
      </c>
      <c r="S1108">
        <v>3</v>
      </c>
      <c r="T1108">
        <v>10</v>
      </c>
      <c r="U1108">
        <v>3</v>
      </c>
      <c r="V1108">
        <v>10</v>
      </c>
      <c r="W1108">
        <v>8</v>
      </c>
      <c r="X1108">
        <v>6</v>
      </c>
      <c r="Y1108">
        <v>7</v>
      </c>
      <c r="Z1108" t="s">
        <v>1551</v>
      </c>
      <c r="AA1108" t="s">
        <v>69</v>
      </c>
      <c r="AB1108" t="str" cm="1">
        <f t="array" ref="AB1108">_xlfn.IFS(cleaned_data[[#This Row],[YearsAtCompany]]&lt;=5, "0-5",cleaned_data[[#This Row],[YearsAtCompany]]&lt;=10,"6-10",TRUE,"10+")</f>
        <v>6-10</v>
      </c>
    </row>
    <row r="1109" spans="1:28" x14ac:dyDescent="0.3">
      <c r="A1109" s="2">
        <v>38</v>
      </c>
      <c r="B1109" t="s">
        <v>43</v>
      </c>
      <c r="C1109">
        <v>0</v>
      </c>
      <c r="D1109" t="s">
        <v>44</v>
      </c>
      <c r="E1109" t="s">
        <v>61</v>
      </c>
      <c r="F1109">
        <v>10</v>
      </c>
      <c r="G1109" t="s">
        <v>61</v>
      </c>
      <c r="H1109" t="s">
        <v>1179</v>
      </c>
      <c r="I1109">
        <v>3</v>
      </c>
      <c r="J1109" t="s">
        <v>46</v>
      </c>
      <c r="K1109">
        <v>3</v>
      </c>
      <c r="L1109">
        <v>2</v>
      </c>
      <c r="M1109" t="s">
        <v>61</v>
      </c>
      <c r="N1109">
        <v>3</v>
      </c>
      <c r="O1109" t="s">
        <v>48</v>
      </c>
      <c r="P1109" s="1">
        <v>6077</v>
      </c>
      <c r="Q1109" t="s">
        <v>67</v>
      </c>
      <c r="R1109" t="s">
        <v>43</v>
      </c>
      <c r="S1109">
        <v>3</v>
      </c>
      <c r="T1109">
        <v>10</v>
      </c>
      <c r="U1109">
        <v>3</v>
      </c>
      <c r="V1109">
        <v>6</v>
      </c>
      <c r="W1109">
        <v>3</v>
      </c>
      <c r="X1109">
        <v>1</v>
      </c>
      <c r="Y1109">
        <v>2</v>
      </c>
      <c r="Z1109" t="s">
        <v>1550</v>
      </c>
      <c r="AA1109" t="s">
        <v>69</v>
      </c>
      <c r="AB1109" t="str" cm="1">
        <f t="array" ref="AB1109">_xlfn.IFS(cleaned_data[[#This Row],[YearsAtCompany]]&lt;=5, "0-5",cleaned_data[[#This Row],[YearsAtCompany]]&lt;=10,"6-10",TRUE,"10+")</f>
        <v>6-10</v>
      </c>
    </row>
    <row r="1110" spans="1:28" x14ac:dyDescent="0.3">
      <c r="A1110" s="2">
        <v>35</v>
      </c>
      <c r="B1110" t="s">
        <v>43</v>
      </c>
      <c r="C1110">
        <v>0</v>
      </c>
      <c r="D1110" t="s">
        <v>36</v>
      </c>
      <c r="E1110" t="s">
        <v>45</v>
      </c>
      <c r="F1110">
        <v>1</v>
      </c>
      <c r="G1110" t="s">
        <v>51</v>
      </c>
      <c r="H1110" t="s">
        <v>1180</v>
      </c>
      <c r="I1110">
        <v>4</v>
      </c>
      <c r="J1110" t="s">
        <v>46</v>
      </c>
      <c r="K1110">
        <v>2</v>
      </c>
      <c r="L1110">
        <v>1</v>
      </c>
      <c r="M1110" t="s">
        <v>50</v>
      </c>
      <c r="N1110">
        <v>1</v>
      </c>
      <c r="O1110" t="s">
        <v>41</v>
      </c>
      <c r="P1110" s="6">
        <v>2450</v>
      </c>
      <c r="Q1110" t="s">
        <v>72</v>
      </c>
      <c r="R1110" t="s">
        <v>43</v>
      </c>
      <c r="S1110">
        <v>3</v>
      </c>
      <c r="T1110">
        <v>3</v>
      </c>
      <c r="U1110">
        <v>3</v>
      </c>
      <c r="V1110">
        <v>3</v>
      </c>
      <c r="W1110">
        <v>0</v>
      </c>
      <c r="X1110">
        <v>1</v>
      </c>
      <c r="Y1110">
        <v>2</v>
      </c>
      <c r="Z1110" t="s">
        <v>1551</v>
      </c>
      <c r="AA1110" t="s">
        <v>78</v>
      </c>
      <c r="AB1110" t="str" cm="1">
        <f t="array" ref="AB1110">_xlfn.IFS(cleaned_data[[#This Row],[YearsAtCompany]]&lt;=5, "0-5",cleaned_data[[#This Row],[YearsAtCompany]]&lt;=10,"6-10",TRUE,"10+")</f>
        <v>0-5</v>
      </c>
    </row>
    <row r="1111" spans="1:28" x14ac:dyDescent="0.3">
      <c r="A1111" s="2">
        <v>30</v>
      </c>
      <c r="B1111" t="s">
        <v>43</v>
      </c>
      <c r="C1111">
        <v>0</v>
      </c>
      <c r="D1111" t="s">
        <v>36</v>
      </c>
      <c r="E1111" t="s">
        <v>37</v>
      </c>
      <c r="F1111">
        <v>29</v>
      </c>
      <c r="G1111" t="s">
        <v>60</v>
      </c>
      <c r="H1111" t="s">
        <v>1181</v>
      </c>
      <c r="I1111">
        <v>3</v>
      </c>
      <c r="J1111" t="s">
        <v>46</v>
      </c>
      <c r="K1111">
        <v>3</v>
      </c>
      <c r="L1111">
        <v>3</v>
      </c>
      <c r="M1111" t="s">
        <v>40</v>
      </c>
      <c r="N1111">
        <v>2</v>
      </c>
      <c r="O1111" t="s">
        <v>48</v>
      </c>
      <c r="P1111" s="1">
        <v>9250</v>
      </c>
      <c r="Q1111" t="s">
        <v>67</v>
      </c>
      <c r="R1111" t="s">
        <v>43</v>
      </c>
      <c r="S1111">
        <v>3</v>
      </c>
      <c r="T1111">
        <v>9</v>
      </c>
      <c r="U1111">
        <v>3</v>
      </c>
      <c r="V1111">
        <v>4</v>
      </c>
      <c r="W1111">
        <v>2</v>
      </c>
      <c r="X1111">
        <v>1</v>
      </c>
      <c r="Y1111">
        <v>3</v>
      </c>
      <c r="Z1111" t="s">
        <v>1551</v>
      </c>
      <c r="AA1111" t="s">
        <v>69</v>
      </c>
      <c r="AB1111" t="str" cm="1">
        <f t="array" ref="AB1111">_xlfn.IFS(cleaned_data[[#This Row],[YearsAtCompany]]&lt;=5, "0-5",cleaned_data[[#This Row],[YearsAtCompany]]&lt;=10,"6-10",TRUE,"10+")</f>
        <v>0-5</v>
      </c>
    </row>
    <row r="1112" spans="1:28" x14ac:dyDescent="0.3">
      <c r="A1112" s="2">
        <v>35</v>
      </c>
      <c r="B1112" t="s">
        <v>35</v>
      </c>
      <c r="C1112">
        <v>1</v>
      </c>
      <c r="D1112" t="s">
        <v>36</v>
      </c>
      <c r="E1112" t="s">
        <v>45</v>
      </c>
      <c r="F1112">
        <v>2</v>
      </c>
      <c r="G1112" t="s">
        <v>38</v>
      </c>
      <c r="H1112" t="s">
        <v>1182</v>
      </c>
      <c r="I1112">
        <v>1</v>
      </c>
      <c r="J1112" t="s">
        <v>39</v>
      </c>
      <c r="K1112">
        <v>3</v>
      </c>
      <c r="L1112">
        <v>1</v>
      </c>
      <c r="M1112" t="s">
        <v>50</v>
      </c>
      <c r="N1112">
        <v>1</v>
      </c>
      <c r="O1112" t="s">
        <v>52</v>
      </c>
      <c r="P1112" s="6">
        <v>2074</v>
      </c>
      <c r="Q1112" t="s">
        <v>72</v>
      </c>
      <c r="R1112" t="s">
        <v>35</v>
      </c>
      <c r="S1112">
        <v>3</v>
      </c>
      <c r="T1112">
        <v>1</v>
      </c>
      <c r="U1112">
        <v>3</v>
      </c>
      <c r="V1112">
        <v>1</v>
      </c>
      <c r="W1112">
        <v>0</v>
      </c>
      <c r="X1112">
        <v>0</v>
      </c>
      <c r="Y1112">
        <v>0</v>
      </c>
      <c r="Z1112" t="s">
        <v>1551</v>
      </c>
      <c r="AA1112" t="s">
        <v>78</v>
      </c>
      <c r="AB1112" t="str" cm="1">
        <f t="array" ref="AB1112">_xlfn.IFS(cleaned_data[[#This Row],[YearsAtCompany]]&lt;=5, "0-5",cleaned_data[[#This Row],[YearsAtCompany]]&lt;=10,"6-10",TRUE,"10+")</f>
        <v>0-5</v>
      </c>
    </row>
    <row r="1113" spans="1:28" x14ac:dyDescent="0.3">
      <c r="A1113" s="2">
        <v>53</v>
      </c>
      <c r="B1113" t="s">
        <v>35</v>
      </c>
      <c r="C1113">
        <v>1</v>
      </c>
      <c r="D1113" t="s">
        <v>36</v>
      </c>
      <c r="E1113" t="s">
        <v>45</v>
      </c>
      <c r="F1113">
        <v>2</v>
      </c>
      <c r="G1113" t="s">
        <v>60</v>
      </c>
      <c r="H1113" t="s">
        <v>1183</v>
      </c>
      <c r="I1113">
        <v>3</v>
      </c>
      <c r="J1113" t="s">
        <v>39</v>
      </c>
      <c r="K1113">
        <v>2</v>
      </c>
      <c r="L1113">
        <v>3</v>
      </c>
      <c r="M1113" t="s">
        <v>53</v>
      </c>
      <c r="N1113">
        <v>4</v>
      </c>
      <c r="O1113" t="s">
        <v>48</v>
      </c>
      <c r="P1113" s="1">
        <v>10169</v>
      </c>
      <c r="Q1113" t="s">
        <v>67</v>
      </c>
      <c r="R1113" t="s">
        <v>43</v>
      </c>
      <c r="S1113">
        <v>3</v>
      </c>
      <c r="T1113">
        <v>34</v>
      </c>
      <c r="U1113">
        <v>3</v>
      </c>
      <c r="V1113">
        <v>33</v>
      </c>
      <c r="W1113">
        <v>7</v>
      </c>
      <c r="X1113">
        <v>1</v>
      </c>
      <c r="Y1113">
        <v>9</v>
      </c>
      <c r="Z1113" t="s">
        <v>106</v>
      </c>
      <c r="AA1113" t="s">
        <v>82</v>
      </c>
      <c r="AB1113" t="str" cm="1">
        <f t="array" ref="AB1113">_xlfn.IFS(cleaned_data[[#This Row],[YearsAtCompany]]&lt;=5, "0-5",cleaned_data[[#This Row],[YearsAtCompany]]&lt;=10,"6-10",TRUE,"10+")</f>
        <v>10+</v>
      </c>
    </row>
    <row r="1114" spans="1:28" x14ac:dyDescent="0.3">
      <c r="A1114" s="2">
        <v>38</v>
      </c>
      <c r="B1114" t="s">
        <v>35</v>
      </c>
      <c r="C1114">
        <v>1</v>
      </c>
      <c r="D1114" t="s">
        <v>36</v>
      </c>
      <c r="E1114" t="s">
        <v>45</v>
      </c>
      <c r="F1114">
        <v>2</v>
      </c>
      <c r="G1114" t="s">
        <v>51</v>
      </c>
      <c r="H1114" t="s">
        <v>1184</v>
      </c>
      <c r="I1114">
        <v>3</v>
      </c>
      <c r="J1114" t="s">
        <v>46</v>
      </c>
      <c r="K1114">
        <v>3</v>
      </c>
      <c r="L1114">
        <v>2</v>
      </c>
      <c r="M1114" t="s">
        <v>53</v>
      </c>
      <c r="N1114">
        <v>2</v>
      </c>
      <c r="O1114" t="s">
        <v>48</v>
      </c>
      <c r="P1114" s="1">
        <v>4855</v>
      </c>
      <c r="Q1114" t="s">
        <v>72</v>
      </c>
      <c r="R1114" t="s">
        <v>43</v>
      </c>
      <c r="S1114">
        <v>3</v>
      </c>
      <c r="T1114">
        <v>7</v>
      </c>
      <c r="U1114">
        <v>3</v>
      </c>
      <c r="V1114">
        <v>5</v>
      </c>
      <c r="W1114">
        <v>2</v>
      </c>
      <c r="X1114">
        <v>1</v>
      </c>
      <c r="Y1114">
        <v>4</v>
      </c>
      <c r="Z1114" t="s">
        <v>1550</v>
      </c>
      <c r="AA1114" t="s">
        <v>69</v>
      </c>
      <c r="AB1114" t="str" cm="1">
        <f t="array" ref="AB1114">_xlfn.IFS(cleaned_data[[#This Row],[YearsAtCompany]]&lt;=5, "0-5",cleaned_data[[#This Row],[YearsAtCompany]]&lt;=10,"6-10",TRUE,"10+")</f>
        <v>0-5</v>
      </c>
    </row>
    <row r="1115" spans="1:28" x14ac:dyDescent="0.3">
      <c r="A1115" s="2">
        <v>32</v>
      </c>
      <c r="B1115" t="s">
        <v>43</v>
      </c>
      <c r="C1115">
        <v>0</v>
      </c>
      <c r="D1115" t="s">
        <v>55</v>
      </c>
      <c r="E1115" t="s">
        <v>45</v>
      </c>
      <c r="F1115">
        <v>1</v>
      </c>
      <c r="G1115" t="s">
        <v>60</v>
      </c>
      <c r="H1115" t="s">
        <v>1185</v>
      </c>
      <c r="I1115">
        <v>4</v>
      </c>
      <c r="J1115" t="s">
        <v>46</v>
      </c>
      <c r="K1115">
        <v>3</v>
      </c>
      <c r="L1115">
        <v>2</v>
      </c>
      <c r="M1115" t="s">
        <v>47</v>
      </c>
      <c r="N1115">
        <v>1</v>
      </c>
      <c r="O1115" t="s">
        <v>48</v>
      </c>
      <c r="P1115" s="6">
        <v>4087</v>
      </c>
      <c r="Q1115" t="s">
        <v>72</v>
      </c>
      <c r="R1115" t="s">
        <v>43</v>
      </c>
      <c r="S1115">
        <v>3</v>
      </c>
      <c r="T1115">
        <v>9</v>
      </c>
      <c r="U1115">
        <v>2</v>
      </c>
      <c r="V1115">
        <v>6</v>
      </c>
      <c r="W1115">
        <v>5</v>
      </c>
      <c r="X1115">
        <v>1</v>
      </c>
      <c r="Y1115">
        <v>2</v>
      </c>
      <c r="Z1115" t="s">
        <v>1551</v>
      </c>
      <c r="AA1115" t="s">
        <v>69</v>
      </c>
      <c r="AB1115" t="str" cm="1">
        <f t="array" ref="AB1115">_xlfn.IFS(cleaned_data[[#This Row],[YearsAtCompany]]&lt;=5, "0-5",cleaned_data[[#This Row],[YearsAtCompany]]&lt;=10,"6-10",TRUE,"10+")</f>
        <v>6-10</v>
      </c>
    </row>
    <row r="1116" spans="1:28" x14ac:dyDescent="0.3">
      <c r="A1116" s="2">
        <v>48</v>
      </c>
      <c r="B1116" t="s">
        <v>43</v>
      </c>
      <c r="C1116">
        <v>0</v>
      </c>
      <c r="D1116" t="s">
        <v>36</v>
      </c>
      <c r="E1116" t="s">
        <v>45</v>
      </c>
      <c r="F1116">
        <v>15</v>
      </c>
      <c r="G1116" t="s">
        <v>49</v>
      </c>
      <c r="H1116" t="s">
        <v>1186</v>
      </c>
      <c r="I1116">
        <v>3</v>
      </c>
      <c r="J1116" t="s">
        <v>39</v>
      </c>
      <c r="K1116">
        <v>3</v>
      </c>
      <c r="L1116">
        <v>1</v>
      </c>
      <c r="M1116" t="s">
        <v>47</v>
      </c>
      <c r="N1116">
        <v>1</v>
      </c>
      <c r="O1116" t="s">
        <v>48</v>
      </c>
      <c r="P1116" s="6">
        <v>2367</v>
      </c>
      <c r="Q1116" t="s">
        <v>72</v>
      </c>
      <c r="R1116" t="s">
        <v>43</v>
      </c>
      <c r="S1116">
        <v>3</v>
      </c>
      <c r="T1116">
        <v>10</v>
      </c>
      <c r="U1116">
        <v>2</v>
      </c>
      <c r="V1116">
        <v>8</v>
      </c>
      <c r="W1116">
        <v>2</v>
      </c>
      <c r="X1116">
        <v>7</v>
      </c>
      <c r="Y1116">
        <v>6</v>
      </c>
      <c r="Z1116" t="s">
        <v>106</v>
      </c>
      <c r="AA1116" t="s">
        <v>69</v>
      </c>
      <c r="AB1116" t="str" cm="1">
        <f t="array" ref="AB1116">_xlfn.IFS(cleaned_data[[#This Row],[YearsAtCompany]]&lt;=5, "0-5",cleaned_data[[#This Row],[YearsAtCompany]]&lt;=10,"6-10",TRUE,"10+")</f>
        <v>6-10</v>
      </c>
    </row>
    <row r="1117" spans="1:28" x14ac:dyDescent="0.3">
      <c r="A1117" s="2">
        <v>34</v>
      </c>
      <c r="B1117" t="s">
        <v>43</v>
      </c>
      <c r="C1117">
        <v>0</v>
      </c>
      <c r="D1117" t="s">
        <v>36</v>
      </c>
      <c r="E1117" t="s">
        <v>45</v>
      </c>
      <c r="F1117">
        <v>7</v>
      </c>
      <c r="G1117" t="s">
        <v>51</v>
      </c>
      <c r="H1117" t="s">
        <v>1187</v>
      </c>
      <c r="I1117">
        <v>1</v>
      </c>
      <c r="J1117" t="s">
        <v>46</v>
      </c>
      <c r="K1117">
        <v>3</v>
      </c>
      <c r="L1117">
        <v>1</v>
      </c>
      <c r="M1117" t="s">
        <v>47</v>
      </c>
      <c r="N1117">
        <v>4</v>
      </c>
      <c r="O1117" t="s">
        <v>41</v>
      </c>
      <c r="P1117" s="1">
        <v>2972</v>
      </c>
      <c r="Q1117" t="s">
        <v>72</v>
      </c>
      <c r="R1117" t="s">
        <v>43</v>
      </c>
      <c r="S1117">
        <v>3</v>
      </c>
      <c r="T1117">
        <v>1</v>
      </c>
      <c r="U1117">
        <v>1</v>
      </c>
      <c r="V1117">
        <v>1</v>
      </c>
      <c r="W1117">
        <v>0</v>
      </c>
      <c r="X1117">
        <v>0</v>
      </c>
      <c r="Y1117">
        <v>0</v>
      </c>
      <c r="Z1117" t="s">
        <v>1551</v>
      </c>
      <c r="AA1117" t="s">
        <v>78</v>
      </c>
      <c r="AB1117" t="str" cm="1">
        <f t="array" ref="AB1117">_xlfn.IFS(cleaned_data[[#This Row],[YearsAtCompany]]&lt;=5, "0-5",cleaned_data[[#This Row],[YearsAtCompany]]&lt;=10,"6-10",TRUE,"10+")</f>
        <v>0-5</v>
      </c>
    </row>
    <row r="1118" spans="1:28" x14ac:dyDescent="0.3">
      <c r="A1118" s="2">
        <v>55</v>
      </c>
      <c r="B1118" t="s">
        <v>43</v>
      </c>
      <c r="C1118">
        <v>0</v>
      </c>
      <c r="D1118" t="s">
        <v>36</v>
      </c>
      <c r="E1118" t="s">
        <v>37</v>
      </c>
      <c r="F1118">
        <v>26</v>
      </c>
      <c r="G1118" t="s">
        <v>59</v>
      </c>
      <c r="H1118" t="s">
        <v>1188</v>
      </c>
      <c r="I1118">
        <v>3</v>
      </c>
      <c r="J1118" t="s">
        <v>46</v>
      </c>
      <c r="K1118">
        <v>2</v>
      </c>
      <c r="L1118">
        <v>5</v>
      </c>
      <c r="M1118" t="s">
        <v>56</v>
      </c>
      <c r="N1118">
        <v>4</v>
      </c>
      <c r="O1118" t="s">
        <v>48</v>
      </c>
      <c r="P1118" s="1">
        <v>19586</v>
      </c>
      <c r="Q1118" t="s">
        <v>90</v>
      </c>
      <c r="R1118" t="s">
        <v>43</v>
      </c>
      <c r="S1118">
        <v>4</v>
      </c>
      <c r="T1118">
        <v>36</v>
      </c>
      <c r="U1118">
        <v>3</v>
      </c>
      <c r="V1118">
        <v>36</v>
      </c>
      <c r="W1118">
        <v>6</v>
      </c>
      <c r="X1118">
        <v>2</v>
      </c>
      <c r="Y1118">
        <v>13</v>
      </c>
      <c r="Z1118" t="s">
        <v>106</v>
      </c>
      <c r="AA1118" t="s">
        <v>82</v>
      </c>
      <c r="AB1118" t="str" cm="1">
        <f t="array" ref="AB1118">_xlfn.IFS(cleaned_data[[#This Row],[YearsAtCompany]]&lt;=5, "0-5",cleaned_data[[#This Row],[YearsAtCompany]]&lt;=10,"6-10",TRUE,"10+")</f>
        <v>10+</v>
      </c>
    </row>
    <row r="1119" spans="1:28" x14ac:dyDescent="0.3">
      <c r="A1119" s="2">
        <v>34</v>
      </c>
      <c r="B1119" t="s">
        <v>43</v>
      </c>
      <c r="C1119">
        <v>0</v>
      </c>
      <c r="D1119" t="s">
        <v>36</v>
      </c>
      <c r="E1119" t="s">
        <v>45</v>
      </c>
      <c r="F1119">
        <v>1</v>
      </c>
      <c r="G1119" t="s">
        <v>38</v>
      </c>
      <c r="H1119" t="s">
        <v>1189</v>
      </c>
      <c r="I1119">
        <v>2</v>
      </c>
      <c r="J1119" t="s">
        <v>46</v>
      </c>
      <c r="K1119">
        <v>3</v>
      </c>
      <c r="L1119">
        <v>2</v>
      </c>
      <c r="M1119" t="s">
        <v>47</v>
      </c>
      <c r="N1119">
        <v>4</v>
      </c>
      <c r="O1119" t="s">
        <v>48</v>
      </c>
      <c r="P1119" s="1">
        <v>5484</v>
      </c>
      <c r="Q1119" t="s">
        <v>67</v>
      </c>
      <c r="R1119" t="s">
        <v>43</v>
      </c>
      <c r="S1119">
        <v>3</v>
      </c>
      <c r="T1119">
        <v>9</v>
      </c>
      <c r="U1119">
        <v>2</v>
      </c>
      <c r="V1119">
        <v>2</v>
      </c>
      <c r="W1119">
        <v>2</v>
      </c>
      <c r="X1119">
        <v>2</v>
      </c>
      <c r="Y1119">
        <v>1</v>
      </c>
      <c r="Z1119" t="s">
        <v>1551</v>
      </c>
      <c r="AA1119" t="s">
        <v>69</v>
      </c>
      <c r="AB1119" t="str" cm="1">
        <f t="array" ref="AB1119">_xlfn.IFS(cleaned_data[[#This Row],[YearsAtCompany]]&lt;=5, "0-5",cleaned_data[[#This Row],[YearsAtCompany]]&lt;=10,"6-10",TRUE,"10+")</f>
        <v>0-5</v>
      </c>
    </row>
    <row r="1120" spans="1:28" x14ac:dyDescent="0.3">
      <c r="A1120" s="2">
        <v>26</v>
      </c>
      <c r="B1120" t="s">
        <v>43</v>
      </c>
      <c r="C1120">
        <v>0</v>
      </c>
      <c r="D1120" t="s">
        <v>36</v>
      </c>
      <c r="E1120" t="s">
        <v>45</v>
      </c>
      <c r="F1120">
        <v>3</v>
      </c>
      <c r="G1120" t="s">
        <v>38</v>
      </c>
      <c r="H1120" t="s">
        <v>1190</v>
      </c>
      <c r="I1120">
        <v>1</v>
      </c>
      <c r="J1120" t="s">
        <v>39</v>
      </c>
      <c r="K1120">
        <v>3</v>
      </c>
      <c r="L1120">
        <v>1</v>
      </c>
      <c r="M1120" t="s">
        <v>47</v>
      </c>
      <c r="N1120">
        <v>4</v>
      </c>
      <c r="O1120" t="s">
        <v>48</v>
      </c>
      <c r="P1120" s="1">
        <v>2061</v>
      </c>
      <c r="Q1120" t="s">
        <v>72</v>
      </c>
      <c r="R1120" t="s">
        <v>43</v>
      </c>
      <c r="S1120">
        <v>4</v>
      </c>
      <c r="T1120">
        <v>1</v>
      </c>
      <c r="U1120">
        <v>3</v>
      </c>
      <c r="V1120">
        <v>1</v>
      </c>
      <c r="W1120">
        <v>0</v>
      </c>
      <c r="X1120">
        <v>0</v>
      </c>
      <c r="Y1120">
        <v>0</v>
      </c>
      <c r="Z1120" t="s">
        <v>1551</v>
      </c>
      <c r="AA1120" t="s">
        <v>78</v>
      </c>
      <c r="AB1120" t="str" cm="1">
        <f t="array" ref="AB1120">_xlfn.IFS(cleaned_data[[#This Row],[YearsAtCompany]]&lt;=5, "0-5",cleaned_data[[#This Row],[YearsAtCompany]]&lt;=10,"6-10",TRUE,"10+")</f>
        <v>0-5</v>
      </c>
    </row>
    <row r="1121" spans="1:28" x14ac:dyDescent="0.3">
      <c r="A1121" s="2">
        <v>38</v>
      </c>
      <c r="B1121" t="s">
        <v>43</v>
      </c>
      <c r="C1121">
        <v>0</v>
      </c>
      <c r="D1121" t="s">
        <v>36</v>
      </c>
      <c r="E1121" t="s">
        <v>37</v>
      </c>
      <c r="F1121">
        <v>14</v>
      </c>
      <c r="G1121" t="s">
        <v>38</v>
      </c>
      <c r="H1121" t="s">
        <v>1191</v>
      </c>
      <c r="I1121">
        <v>3</v>
      </c>
      <c r="J1121" t="s">
        <v>46</v>
      </c>
      <c r="K1121">
        <v>3</v>
      </c>
      <c r="L1121">
        <v>2</v>
      </c>
      <c r="M1121" t="s">
        <v>40</v>
      </c>
      <c r="N1121">
        <v>2</v>
      </c>
      <c r="O1121" t="s">
        <v>48</v>
      </c>
      <c r="P1121" s="1">
        <v>9924</v>
      </c>
      <c r="Q1121" t="s">
        <v>67</v>
      </c>
      <c r="R1121" t="s">
        <v>43</v>
      </c>
      <c r="S1121">
        <v>3</v>
      </c>
      <c r="T1121">
        <v>10</v>
      </c>
      <c r="U1121">
        <v>3</v>
      </c>
      <c r="V1121">
        <v>9</v>
      </c>
      <c r="W1121">
        <v>8</v>
      </c>
      <c r="X1121">
        <v>7</v>
      </c>
      <c r="Y1121">
        <v>7</v>
      </c>
      <c r="Z1121" t="s">
        <v>1550</v>
      </c>
      <c r="AA1121" t="s">
        <v>69</v>
      </c>
      <c r="AB1121" t="str" cm="1">
        <f t="array" ref="AB1121">_xlfn.IFS(cleaned_data[[#This Row],[YearsAtCompany]]&lt;=5, "0-5",cleaned_data[[#This Row],[YearsAtCompany]]&lt;=10,"6-10",TRUE,"10+")</f>
        <v>6-10</v>
      </c>
    </row>
    <row r="1122" spans="1:28" x14ac:dyDescent="0.3">
      <c r="A1122" s="2">
        <v>38</v>
      </c>
      <c r="B1122" t="s">
        <v>43</v>
      </c>
      <c r="C1122">
        <v>0</v>
      </c>
      <c r="D1122" t="s">
        <v>36</v>
      </c>
      <c r="E1122" t="s">
        <v>37</v>
      </c>
      <c r="F1122">
        <v>16</v>
      </c>
      <c r="G1122" t="s">
        <v>38</v>
      </c>
      <c r="H1122" t="s">
        <v>1192</v>
      </c>
      <c r="I1122">
        <v>2</v>
      </c>
      <c r="J1122" t="s">
        <v>39</v>
      </c>
      <c r="K1122">
        <v>3</v>
      </c>
      <c r="L1122">
        <v>2</v>
      </c>
      <c r="M1122" t="s">
        <v>40</v>
      </c>
      <c r="N1122">
        <v>2</v>
      </c>
      <c r="O1122" t="s">
        <v>41</v>
      </c>
      <c r="P1122" s="1">
        <v>4198</v>
      </c>
      <c r="Q1122" t="s">
        <v>72</v>
      </c>
      <c r="R1122" t="s">
        <v>43</v>
      </c>
      <c r="S1122">
        <v>3</v>
      </c>
      <c r="T1122">
        <v>8</v>
      </c>
      <c r="U1122">
        <v>4</v>
      </c>
      <c r="V1122">
        <v>3</v>
      </c>
      <c r="W1122">
        <v>2</v>
      </c>
      <c r="X1122">
        <v>1</v>
      </c>
      <c r="Y1122">
        <v>2</v>
      </c>
      <c r="Z1122" t="s">
        <v>1550</v>
      </c>
      <c r="AA1122" t="s">
        <v>69</v>
      </c>
      <c r="AB1122" t="str" cm="1">
        <f t="array" ref="AB1122">_xlfn.IFS(cleaned_data[[#This Row],[YearsAtCompany]]&lt;=5, "0-5",cleaned_data[[#This Row],[YearsAtCompany]]&lt;=10,"6-10",TRUE,"10+")</f>
        <v>0-5</v>
      </c>
    </row>
    <row r="1123" spans="1:28" x14ac:dyDescent="0.3">
      <c r="A1123" s="2">
        <v>36</v>
      </c>
      <c r="B1123" t="s">
        <v>43</v>
      </c>
      <c r="C1123">
        <v>0</v>
      </c>
      <c r="D1123" t="s">
        <v>36</v>
      </c>
      <c r="E1123" t="s">
        <v>37</v>
      </c>
      <c r="F1123">
        <v>1</v>
      </c>
      <c r="G1123" t="s">
        <v>38</v>
      </c>
      <c r="H1123" t="s">
        <v>1193</v>
      </c>
      <c r="I1123">
        <v>2</v>
      </c>
      <c r="J1123" t="s">
        <v>39</v>
      </c>
      <c r="K1123">
        <v>3</v>
      </c>
      <c r="L1123">
        <v>2</v>
      </c>
      <c r="M1123" t="s">
        <v>40</v>
      </c>
      <c r="N1123">
        <v>3</v>
      </c>
      <c r="O1123" t="s">
        <v>41</v>
      </c>
      <c r="P1123" s="1">
        <v>6815</v>
      </c>
      <c r="Q1123" t="s">
        <v>67</v>
      </c>
      <c r="R1123" t="s">
        <v>43</v>
      </c>
      <c r="S1123">
        <v>3</v>
      </c>
      <c r="T1123">
        <v>15</v>
      </c>
      <c r="U1123">
        <v>3</v>
      </c>
      <c r="V1123">
        <v>1</v>
      </c>
      <c r="W1123">
        <v>0</v>
      </c>
      <c r="X1123">
        <v>0</v>
      </c>
      <c r="Y1123">
        <v>0</v>
      </c>
      <c r="Z1123" t="s">
        <v>1550</v>
      </c>
      <c r="AA1123" t="s">
        <v>69</v>
      </c>
      <c r="AB1123" t="str" cm="1">
        <f t="array" ref="AB1123">_xlfn.IFS(cleaned_data[[#This Row],[YearsAtCompany]]&lt;=5, "0-5",cleaned_data[[#This Row],[YearsAtCompany]]&lt;=10,"6-10",TRUE,"10+")</f>
        <v>0-5</v>
      </c>
    </row>
    <row r="1124" spans="1:28" x14ac:dyDescent="0.3">
      <c r="A1124" s="2">
        <v>29</v>
      </c>
      <c r="B1124" t="s">
        <v>43</v>
      </c>
      <c r="C1124">
        <v>0</v>
      </c>
      <c r="D1124" t="s">
        <v>36</v>
      </c>
      <c r="E1124" t="s">
        <v>45</v>
      </c>
      <c r="F1124">
        <v>3</v>
      </c>
      <c r="G1124" t="s">
        <v>51</v>
      </c>
      <c r="H1124" t="s">
        <v>1194</v>
      </c>
      <c r="I1124">
        <v>2</v>
      </c>
      <c r="J1124" t="s">
        <v>46</v>
      </c>
      <c r="K1124">
        <v>3</v>
      </c>
      <c r="L1124">
        <v>1</v>
      </c>
      <c r="M1124" t="s">
        <v>50</v>
      </c>
      <c r="N1124">
        <v>1</v>
      </c>
      <c r="O1124" t="s">
        <v>41</v>
      </c>
      <c r="P1124" s="6">
        <v>4723</v>
      </c>
      <c r="Q1124" t="s">
        <v>72</v>
      </c>
      <c r="R1124" t="s">
        <v>35</v>
      </c>
      <c r="S1124">
        <v>3</v>
      </c>
      <c r="T1124">
        <v>10</v>
      </c>
      <c r="U1124">
        <v>3</v>
      </c>
      <c r="V1124">
        <v>10</v>
      </c>
      <c r="W1124">
        <v>9</v>
      </c>
      <c r="X1124">
        <v>1</v>
      </c>
      <c r="Y1124">
        <v>5</v>
      </c>
      <c r="Z1124" t="s">
        <v>1551</v>
      </c>
      <c r="AA1124" t="s">
        <v>69</v>
      </c>
      <c r="AB1124" t="str" cm="1">
        <f t="array" ref="AB1124">_xlfn.IFS(cleaned_data[[#This Row],[YearsAtCompany]]&lt;=5, "0-5",cleaned_data[[#This Row],[YearsAtCompany]]&lt;=10,"6-10",TRUE,"10+")</f>
        <v>6-10</v>
      </c>
    </row>
    <row r="1125" spans="1:28" x14ac:dyDescent="0.3">
      <c r="A1125" s="2">
        <v>35</v>
      </c>
      <c r="B1125" t="s">
        <v>43</v>
      </c>
      <c r="C1125">
        <v>0</v>
      </c>
      <c r="D1125" t="s">
        <v>36</v>
      </c>
      <c r="E1125" t="s">
        <v>45</v>
      </c>
      <c r="F1125">
        <v>10</v>
      </c>
      <c r="G1125" t="s">
        <v>51</v>
      </c>
      <c r="H1125" t="s">
        <v>1195</v>
      </c>
      <c r="I1125">
        <v>1</v>
      </c>
      <c r="J1125" t="s">
        <v>39</v>
      </c>
      <c r="K1125">
        <v>3</v>
      </c>
      <c r="L1125">
        <v>2</v>
      </c>
      <c r="M1125" t="s">
        <v>54</v>
      </c>
      <c r="N1125">
        <v>3</v>
      </c>
      <c r="O1125" t="s">
        <v>41</v>
      </c>
      <c r="P1125" s="1">
        <v>6142</v>
      </c>
      <c r="Q1125" t="s">
        <v>67</v>
      </c>
      <c r="R1125" t="s">
        <v>35</v>
      </c>
      <c r="S1125">
        <v>3</v>
      </c>
      <c r="T1125">
        <v>10</v>
      </c>
      <c r="U1125">
        <v>3</v>
      </c>
      <c r="V1125">
        <v>5</v>
      </c>
      <c r="W1125">
        <v>2</v>
      </c>
      <c r="X1125">
        <v>0</v>
      </c>
      <c r="Y1125">
        <v>4</v>
      </c>
      <c r="Z1125" t="s">
        <v>1551</v>
      </c>
      <c r="AA1125" t="s">
        <v>69</v>
      </c>
      <c r="AB1125" t="str" cm="1">
        <f t="array" ref="AB1125">_xlfn.IFS(cleaned_data[[#This Row],[YearsAtCompany]]&lt;=5, "0-5",cleaned_data[[#This Row],[YearsAtCompany]]&lt;=10,"6-10",TRUE,"10+")</f>
        <v>0-5</v>
      </c>
    </row>
    <row r="1126" spans="1:28" x14ac:dyDescent="0.3">
      <c r="A1126" s="2">
        <v>39</v>
      </c>
      <c r="B1126" t="s">
        <v>43</v>
      </c>
      <c r="C1126">
        <v>0</v>
      </c>
      <c r="D1126" t="s">
        <v>36</v>
      </c>
      <c r="E1126" t="s">
        <v>37</v>
      </c>
      <c r="F1126">
        <v>6</v>
      </c>
      <c r="G1126" t="s">
        <v>51</v>
      </c>
      <c r="H1126" t="s">
        <v>1196</v>
      </c>
      <c r="I1126">
        <v>4</v>
      </c>
      <c r="J1126" t="s">
        <v>46</v>
      </c>
      <c r="K1126">
        <v>4</v>
      </c>
      <c r="L1126">
        <v>3</v>
      </c>
      <c r="M1126" t="s">
        <v>40</v>
      </c>
      <c r="N1126">
        <v>3</v>
      </c>
      <c r="O1126" t="s">
        <v>48</v>
      </c>
      <c r="P1126" s="1">
        <v>8237</v>
      </c>
      <c r="Q1126" t="s">
        <v>67</v>
      </c>
      <c r="R1126" t="s">
        <v>43</v>
      </c>
      <c r="S1126">
        <v>3</v>
      </c>
      <c r="T1126">
        <v>11</v>
      </c>
      <c r="U1126">
        <v>3</v>
      </c>
      <c r="V1126">
        <v>7</v>
      </c>
      <c r="W1126">
        <v>6</v>
      </c>
      <c r="X1126">
        <v>7</v>
      </c>
      <c r="Y1126">
        <v>6</v>
      </c>
      <c r="Z1126" t="s">
        <v>1550</v>
      </c>
      <c r="AA1126" t="s">
        <v>69</v>
      </c>
      <c r="AB1126" t="str" cm="1">
        <f t="array" ref="AB1126">_xlfn.IFS(cleaned_data[[#This Row],[YearsAtCompany]]&lt;=5, "0-5",cleaned_data[[#This Row],[YearsAtCompany]]&lt;=10,"6-10",TRUE,"10+")</f>
        <v>6-10</v>
      </c>
    </row>
    <row r="1127" spans="1:28" x14ac:dyDescent="0.3">
      <c r="A1127" s="2">
        <v>29</v>
      </c>
      <c r="B1127" t="s">
        <v>43</v>
      </c>
      <c r="C1127">
        <v>0</v>
      </c>
      <c r="D1127" t="s">
        <v>44</v>
      </c>
      <c r="E1127" t="s">
        <v>45</v>
      </c>
      <c r="F1127">
        <v>2</v>
      </c>
      <c r="G1127" t="s">
        <v>38</v>
      </c>
      <c r="H1127" t="s">
        <v>1197</v>
      </c>
      <c r="I1127">
        <v>1</v>
      </c>
      <c r="J1127" t="s">
        <v>46</v>
      </c>
      <c r="K1127">
        <v>3</v>
      </c>
      <c r="L1127">
        <v>2</v>
      </c>
      <c r="M1127" t="s">
        <v>54</v>
      </c>
      <c r="N1127">
        <v>4</v>
      </c>
      <c r="O1127" t="s">
        <v>52</v>
      </c>
      <c r="P1127" s="1">
        <v>8853</v>
      </c>
      <c r="Q1127" t="s">
        <v>67</v>
      </c>
      <c r="R1127" t="s">
        <v>43</v>
      </c>
      <c r="S1127">
        <v>3</v>
      </c>
      <c r="T1127">
        <v>6</v>
      </c>
      <c r="U1127">
        <v>4</v>
      </c>
      <c r="V1127">
        <v>6</v>
      </c>
      <c r="W1127">
        <v>4</v>
      </c>
      <c r="X1127">
        <v>1</v>
      </c>
      <c r="Y1127">
        <v>3</v>
      </c>
      <c r="Z1127" t="s">
        <v>1551</v>
      </c>
      <c r="AA1127" t="s">
        <v>69</v>
      </c>
      <c r="AB1127" t="str" cm="1">
        <f t="array" ref="AB1127">_xlfn.IFS(cleaned_data[[#This Row],[YearsAtCompany]]&lt;=5, "0-5",cleaned_data[[#This Row],[YearsAtCompany]]&lt;=10,"6-10",TRUE,"10+")</f>
        <v>6-10</v>
      </c>
    </row>
    <row r="1128" spans="1:28" x14ac:dyDescent="0.3">
      <c r="A1128" s="2">
        <v>50</v>
      </c>
      <c r="B1128" t="s">
        <v>43</v>
      </c>
      <c r="C1128">
        <v>0</v>
      </c>
      <c r="D1128" t="s">
        <v>36</v>
      </c>
      <c r="E1128" t="s">
        <v>37</v>
      </c>
      <c r="F1128">
        <v>9</v>
      </c>
      <c r="G1128" t="s">
        <v>59</v>
      </c>
      <c r="H1128" t="s">
        <v>1198</v>
      </c>
      <c r="I1128">
        <v>3</v>
      </c>
      <c r="J1128" t="s">
        <v>46</v>
      </c>
      <c r="K1128">
        <v>3</v>
      </c>
      <c r="L1128">
        <v>5</v>
      </c>
      <c r="M1128" t="s">
        <v>56</v>
      </c>
      <c r="N1128">
        <v>3</v>
      </c>
      <c r="O1128" t="s">
        <v>48</v>
      </c>
      <c r="P1128" s="1">
        <v>19331</v>
      </c>
      <c r="Q1128" t="s">
        <v>90</v>
      </c>
      <c r="R1128" t="s">
        <v>35</v>
      </c>
      <c r="S1128">
        <v>3</v>
      </c>
      <c r="T1128">
        <v>27</v>
      </c>
      <c r="U1128">
        <v>3</v>
      </c>
      <c r="V1128">
        <v>1</v>
      </c>
      <c r="W1128">
        <v>0</v>
      </c>
      <c r="X1128">
        <v>0</v>
      </c>
      <c r="Y1128">
        <v>0</v>
      </c>
      <c r="Z1128" t="s">
        <v>106</v>
      </c>
      <c r="AA1128" t="s">
        <v>82</v>
      </c>
      <c r="AB1128" t="str" cm="1">
        <f t="array" ref="AB1128">_xlfn.IFS(cleaned_data[[#This Row],[YearsAtCompany]]&lt;=5, "0-5",cleaned_data[[#This Row],[YearsAtCompany]]&lt;=10,"6-10",TRUE,"10+")</f>
        <v>0-5</v>
      </c>
    </row>
    <row r="1129" spans="1:28" x14ac:dyDescent="0.3">
      <c r="A1129" s="2">
        <v>23</v>
      </c>
      <c r="B1129" t="s">
        <v>43</v>
      </c>
      <c r="C1129">
        <v>0</v>
      </c>
      <c r="D1129" t="s">
        <v>36</v>
      </c>
      <c r="E1129" t="s">
        <v>45</v>
      </c>
      <c r="F1129">
        <v>10</v>
      </c>
      <c r="G1129" t="s">
        <v>60</v>
      </c>
      <c r="H1129" t="s">
        <v>1199</v>
      </c>
      <c r="I1129">
        <v>4</v>
      </c>
      <c r="J1129" t="s">
        <v>46</v>
      </c>
      <c r="K1129">
        <v>4</v>
      </c>
      <c r="L1129">
        <v>1</v>
      </c>
      <c r="M1129" t="s">
        <v>47</v>
      </c>
      <c r="N1129">
        <v>3</v>
      </c>
      <c r="O1129" t="s">
        <v>48</v>
      </c>
      <c r="P1129" s="1">
        <v>2073</v>
      </c>
      <c r="Q1129" t="s">
        <v>72</v>
      </c>
      <c r="R1129" t="s">
        <v>43</v>
      </c>
      <c r="S1129">
        <v>3</v>
      </c>
      <c r="T1129">
        <v>4</v>
      </c>
      <c r="U1129">
        <v>3</v>
      </c>
      <c r="V1129">
        <v>2</v>
      </c>
      <c r="W1129">
        <v>2</v>
      </c>
      <c r="X1129">
        <v>2</v>
      </c>
      <c r="Y1129">
        <v>2</v>
      </c>
      <c r="Z1129" t="s">
        <v>68</v>
      </c>
      <c r="AA1129" t="s">
        <v>78</v>
      </c>
      <c r="AB1129" t="str" cm="1">
        <f t="array" ref="AB1129">_xlfn.IFS(cleaned_data[[#This Row],[YearsAtCompany]]&lt;=5, "0-5",cleaned_data[[#This Row],[YearsAtCompany]]&lt;=10,"6-10",TRUE,"10+")</f>
        <v>0-5</v>
      </c>
    </row>
    <row r="1130" spans="1:28" x14ac:dyDescent="0.3">
      <c r="A1130" s="2">
        <v>36</v>
      </c>
      <c r="B1130" t="s">
        <v>43</v>
      </c>
      <c r="C1130">
        <v>0</v>
      </c>
      <c r="D1130" t="s">
        <v>44</v>
      </c>
      <c r="E1130" t="s">
        <v>45</v>
      </c>
      <c r="F1130">
        <v>6</v>
      </c>
      <c r="G1130" t="s">
        <v>38</v>
      </c>
      <c r="H1130" t="s">
        <v>1200</v>
      </c>
      <c r="I1130">
        <v>1</v>
      </c>
      <c r="J1130" t="s">
        <v>46</v>
      </c>
      <c r="K1130">
        <v>4</v>
      </c>
      <c r="L1130">
        <v>2</v>
      </c>
      <c r="M1130" t="s">
        <v>50</v>
      </c>
      <c r="N1130">
        <v>1</v>
      </c>
      <c r="O1130" t="s">
        <v>48</v>
      </c>
      <c r="P1130" s="6">
        <v>5562</v>
      </c>
      <c r="Q1130" t="s">
        <v>67</v>
      </c>
      <c r="R1130" t="s">
        <v>35</v>
      </c>
      <c r="S1130">
        <v>3</v>
      </c>
      <c r="T1130">
        <v>9</v>
      </c>
      <c r="U1130">
        <v>3</v>
      </c>
      <c r="V1130">
        <v>3</v>
      </c>
      <c r="W1130">
        <v>2</v>
      </c>
      <c r="X1130">
        <v>0</v>
      </c>
      <c r="Y1130">
        <v>2</v>
      </c>
      <c r="Z1130" t="s">
        <v>1550</v>
      </c>
      <c r="AA1130" t="s">
        <v>69</v>
      </c>
      <c r="AB1130" t="str" cm="1">
        <f t="array" ref="AB1130">_xlfn.IFS(cleaned_data[[#This Row],[YearsAtCompany]]&lt;=5, "0-5",cleaned_data[[#This Row],[YearsAtCompany]]&lt;=10,"6-10",TRUE,"10+")</f>
        <v>0-5</v>
      </c>
    </row>
    <row r="1131" spans="1:28" x14ac:dyDescent="0.3">
      <c r="A1131" s="2">
        <v>42</v>
      </c>
      <c r="B1131" t="s">
        <v>43</v>
      </c>
      <c r="C1131">
        <v>0</v>
      </c>
      <c r="D1131" t="s">
        <v>36</v>
      </c>
      <c r="E1131" t="s">
        <v>45</v>
      </c>
      <c r="F1131">
        <v>9</v>
      </c>
      <c r="G1131" t="s">
        <v>49</v>
      </c>
      <c r="H1131" t="s">
        <v>1201</v>
      </c>
      <c r="I1131">
        <v>4</v>
      </c>
      <c r="J1131" t="s">
        <v>46</v>
      </c>
      <c r="K1131">
        <v>2</v>
      </c>
      <c r="L1131">
        <v>5</v>
      </c>
      <c r="M1131" t="s">
        <v>56</v>
      </c>
      <c r="N1131">
        <v>4</v>
      </c>
      <c r="O1131" t="s">
        <v>41</v>
      </c>
      <c r="P1131" s="1">
        <v>19613</v>
      </c>
      <c r="Q1131" t="s">
        <v>90</v>
      </c>
      <c r="R1131" t="s">
        <v>43</v>
      </c>
      <c r="S1131">
        <v>4</v>
      </c>
      <c r="T1131">
        <v>24</v>
      </c>
      <c r="U1131">
        <v>3</v>
      </c>
      <c r="V1131">
        <v>1</v>
      </c>
      <c r="W1131">
        <v>0</v>
      </c>
      <c r="X1131">
        <v>0</v>
      </c>
      <c r="Y1131">
        <v>1</v>
      </c>
      <c r="Z1131" t="s">
        <v>1550</v>
      </c>
      <c r="AA1131" t="s">
        <v>82</v>
      </c>
      <c r="AB1131" t="str" cm="1">
        <f t="array" ref="AB1131">_xlfn.IFS(cleaned_data[[#This Row],[YearsAtCompany]]&lt;=5, "0-5",cleaned_data[[#This Row],[YearsAtCompany]]&lt;=10,"6-10",TRUE,"10+")</f>
        <v>0-5</v>
      </c>
    </row>
    <row r="1132" spans="1:28" x14ac:dyDescent="0.3">
      <c r="A1132" s="2">
        <v>35</v>
      </c>
      <c r="B1132" t="s">
        <v>43</v>
      </c>
      <c r="C1132">
        <v>0</v>
      </c>
      <c r="D1132" t="s">
        <v>36</v>
      </c>
      <c r="E1132" t="s">
        <v>45</v>
      </c>
      <c r="F1132">
        <v>28</v>
      </c>
      <c r="G1132" t="s">
        <v>38</v>
      </c>
      <c r="H1132" t="s">
        <v>1202</v>
      </c>
      <c r="I1132">
        <v>2</v>
      </c>
      <c r="J1132" t="s">
        <v>46</v>
      </c>
      <c r="K1132">
        <v>4</v>
      </c>
      <c r="L1132">
        <v>2</v>
      </c>
      <c r="M1132" t="s">
        <v>50</v>
      </c>
      <c r="N1132">
        <v>3</v>
      </c>
      <c r="O1132" t="s">
        <v>48</v>
      </c>
      <c r="P1132" s="1">
        <v>3407</v>
      </c>
      <c r="Q1132" t="s">
        <v>72</v>
      </c>
      <c r="R1132" t="s">
        <v>43</v>
      </c>
      <c r="S1132">
        <v>3</v>
      </c>
      <c r="T1132">
        <v>10</v>
      </c>
      <c r="U1132">
        <v>2</v>
      </c>
      <c r="V1132">
        <v>10</v>
      </c>
      <c r="W1132">
        <v>9</v>
      </c>
      <c r="X1132">
        <v>6</v>
      </c>
      <c r="Y1132">
        <v>8</v>
      </c>
      <c r="Z1132" t="s">
        <v>1551</v>
      </c>
      <c r="AA1132" t="s">
        <v>69</v>
      </c>
      <c r="AB1132" t="str" cm="1">
        <f t="array" ref="AB1132">_xlfn.IFS(cleaned_data[[#This Row],[YearsAtCompany]]&lt;=5, "0-5",cleaned_data[[#This Row],[YearsAtCompany]]&lt;=10,"6-10",TRUE,"10+")</f>
        <v>6-10</v>
      </c>
    </row>
    <row r="1133" spans="1:28" x14ac:dyDescent="0.3">
      <c r="A1133" s="2">
        <v>34</v>
      </c>
      <c r="B1133" t="s">
        <v>43</v>
      </c>
      <c r="C1133">
        <v>0</v>
      </c>
      <c r="D1133" t="s">
        <v>44</v>
      </c>
      <c r="E1133" t="s">
        <v>45</v>
      </c>
      <c r="F1133">
        <v>10</v>
      </c>
      <c r="G1133" t="s">
        <v>60</v>
      </c>
      <c r="H1133" t="s">
        <v>1203</v>
      </c>
      <c r="I1133">
        <v>4</v>
      </c>
      <c r="J1133" t="s">
        <v>46</v>
      </c>
      <c r="K1133">
        <v>2</v>
      </c>
      <c r="L1133">
        <v>2</v>
      </c>
      <c r="M1133" t="s">
        <v>54</v>
      </c>
      <c r="N1133">
        <v>3</v>
      </c>
      <c r="O1133" t="s">
        <v>48</v>
      </c>
      <c r="P1133" s="1">
        <v>5063</v>
      </c>
      <c r="Q1133" t="s">
        <v>67</v>
      </c>
      <c r="R1133" t="s">
        <v>43</v>
      </c>
      <c r="S1133">
        <v>3</v>
      </c>
      <c r="T1133">
        <v>8</v>
      </c>
      <c r="U1133">
        <v>2</v>
      </c>
      <c r="V1133">
        <v>8</v>
      </c>
      <c r="W1133">
        <v>2</v>
      </c>
      <c r="X1133">
        <v>7</v>
      </c>
      <c r="Y1133">
        <v>7</v>
      </c>
      <c r="Z1133" t="s">
        <v>1551</v>
      </c>
      <c r="AA1133" t="s">
        <v>69</v>
      </c>
      <c r="AB1133" t="str" cm="1">
        <f t="array" ref="AB1133">_xlfn.IFS(cleaned_data[[#This Row],[YearsAtCompany]]&lt;=5, "0-5",cleaned_data[[#This Row],[YearsAtCompany]]&lt;=10,"6-10",TRUE,"10+")</f>
        <v>6-10</v>
      </c>
    </row>
    <row r="1134" spans="1:28" x14ac:dyDescent="0.3">
      <c r="A1134" s="2">
        <v>40</v>
      </c>
      <c r="B1134" t="s">
        <v>43</v>
      </c>
      <c r="C1134">
        <v>0</v>
      </c>
      <c r="D1134" t="s">
        <v>36</v>
      </c>
      <c r="E1134" t="s">
        <v>37</v>
      </c>
      <c r="F1134">
        <v>14</v>
      </c>
      <c r="G1134" t="s">
        <v>38</v>
      </c>
      <c r="H1134" t="s">
        <v>1204</v>
      </c>
      <c r="I1134">
        <v>4</v>
      </c>
      <c r="J1134" t="s">
        <v>39</v>
      </c>
      <c r="K1134">
        <v>3</v>
      </c>
      <c r="L1134">
        <v>2</v>
      </c>
      <c r="M1134" t="s">
        <v>40</v>
      </c>
      <c r="N1134">
        <v>1</v>
      </c>
      <c r="O1134" t="s">
        <v>48</v>
      </c>
      <c r="P1134" s="6">
        <v>4639</v>
      </c>
      <c r="Q1134" t="s">
        <v>72</v>
      </c>
      <c r="R1134" t="s">
        <v>43</v>
      </c>
      <c r="S1134">
        <v>3</v>
      </c>
      <c r="T1134">
        <v>5</v>
      </c>
      <c r="U1134">
        <v>3</v>
      </c>
      <c r="V1134">
        <v>5</v>
      </c>
      <c r="W1134">
        <v>4</v>
      </c>
      <c r="X1134">
        <v>1</v>
      </c>
      <c r="Y1134">
        <v>2</v>
      </c>
      <c r="Z1134" t="s">
        <v>1550</v>
      </c>
      <c r="AA1134" t="s">
        <v>78</v>
      </c>
      <c r="AB1134" t="str" cm="1">
        <f t="array" ref="AB1134">_xlfn.IFS(cleaned_data[[#This Row],[YearsAtCompany]]&lt;=5, "0-5",cleaned_data[[#This Row],[YearsAtCompany]]&lt;=10,"6-10",TRUE,"10+")</f>
        <v>0-5</v>
      </c>
    </row>
    <row r="1135" spans="1:28" x14ac:dyDescent="0.3">
      <c r="A1135" s="2">
        <v>43</v>
      </c>
      <c r="B1135" t="s">
        <v>43</v>
      </c>
      <c r="C1135">
        <v>0</v>
      </c>
      <c r="D1135" t="s">
        <v>36</v>
      </c>
      <c r="E1135" t="s">
        <v>45</v>
      </c>
      <c r="F1135">
        <v>27</v>
      </c>
      <c r="G1135" t="s">
        <v>60</v>
      </c>
      <c r="H1135" t="s">
        <v>1205</v>
      </c>
      <c r="I1135">
        <v>4</v>
      </c>
      <c r="J1135" t="s">
        <v>46</v>
      </c>
      <c r="K1135">
        <v>4</v>
      </c>
      <c r="L1135">
        <v>1</v>
      </c>
      <c r="M1135" t="s">
        <v>50</v>
      </c>
      <c r="N1135">
        <v>2</v>
      </c>
      <c r="O1135" t="s">
        <v>52</v>
      </c>
      <c r="P1135" s="1">
        <v>4876</v>
      </c>
      <c r="Q1135" t="s">
        <v>72</v>
      </c>
      <c r="R1135" t="s">
        <v>43</v>
      </c>
      <c r="S1135">
        <v>3</v>
      </c>
      <c r="T1135">
        <v>8</v>
      </c>
      <c r="U1135">
        <v>3</v>
      </c>
      <c r="V1135">
        <v>6</v>
      </c>
      <c r="W1135">
        <v>4</v>
      </c>
      <c r="X1135">
        <v>0</v>
      </c>
      <c r="Y1135">
        <v>2</v>
      </c>
      <c r="Z1135" t="s">
        <v>1550</v>
      </c>
      <c r="AA1135" t="s">
        <v>69</v>
      </c>
      <c r="AB1135" t="str" cm="1">
        <f t="array" ref="AB1135">_xlfn.IFS(cleaned_data[[#This Row],[YearsAtCompany]]&lt;=5, "0-5",cleaned_data[[#This Row],[YearsAtCompany]]&lt;=10,"6-10",TRUE,"10+")</f>
        <v>6-10</v>
      </c>
    </row>
    <row r="1136" spans="1:28" x14ac:dyDescent="0.3">
      <c r="A1136" s="2">
        <v>35</v>
      </c>
      <c r="B1136" t="s">
        <v>43</v>
      </c>
      <c r="C1136">
        <v>0</v>
      </c>
      <c r="D1136" t="s">
        <v>36</v>
      </c>
      <c r="E1136" t="s">
        <v>45</v>
      </c>
      <c r="F1136">
        <v>7</v>
      </c>
      <c r="G1136" t="s">
        <v>38</v>
      </c>
      <c r="H1136" t="s">
        <v>1206</v>
      </c>
      <c r="I1136">
        <v>3</v>
      </c>
      <c r="J1136" t="s">
        <v>46</v>
      </c>
      <c r="K1136">
        <v>2</v>
      </c>
      <c r="L1136">
        <v>1</v>
      </c>
      <c r="M1136" t="s">
        <v>50</v>
      </c>
      <c r="N1136">
        <v>4</v>
      </c>
      <c r="O1136" t="s">
        <v>48</v>
      </c>
      <c r="P1136" s="1">
        <v>2690</v>
      </c>
      <c r="Q1136" t="s">
        <v>72</v>
      </c>
      <c r="R1136" t="s">
        <v>43</v>
      </c>
      <c r="S1136">
        <v>3</v>
      </c>
      <c r="T1136">
        <v>1</v>
      </c>
      <c r="U1136">
        <v>2</v>
      </c>
      <c r="V1136">
        <v>1</v>
      </c>
      <c r="W1136">
        <v>0</v>
      </c>
      <c r="X1136">
        <v>0</v>
      </c>
      <c r="Y1136">
        <v>1</v>
      </c>
      <c r="Z1136" t="s">
        <v>1551</v>
      </c>
      <c r="AA1136" t="s">
        <v>78</v>
      </c>
      <c r="AB1136" t="str" cm="1">
        <f t="array" ref="AB1136">_xlfn.IFS(cleaned_data[[#This Row],[YearsAtCompany]]&lt;=5, "0-5",cleaned_data[[#This Row],[YearsAtCompany]]&lt;=10,"6-10",TRUE,"10+")</f>
        <v>0-5</v>
      </c>
    </row>
    <row r="1137" spans="1:28" x14ac:dyDescent="0.3">
      <c r="A1137" s="2">
        <v>46</v>
      </c>
      <c r="B1137" t="s">
        <v>43</v>
      </c>
      <c r="C1137">
        <v>0</v>
      </c>
      <c r="D1137" t="s">
        <v>36</v>
      </c>
      <c r="E1137" t="s">
        <v>37</v>
      </c>
      <c r="F1137">
        <v>1</v>
      </c>
      <c r="G1137" t="s">
        <v>38</v>
      </c>
      <c r="H1137" t="s">
        <v>1207</v>
      </c>
      <c r="I1137">
        <v>4</v>
      </c>
      <c r="J1137" t="s">
        <v>46</v>
      </c>
      <c r="K1137">
        <v>4</v>
      </c>
      <c r="L1137">
        <v>4</v>
      </c>
      <c r="M1137" t="s">
        <v>56</v>
      </c>
      <c r="N1137">
        <v>1</v>
      </c>
      <c r="O1137" t="s">
        <v>41</v>
      </c>
      <c r="P1137" s="6">
        <v>17567</v>
      </c>
      <c r="Q1137" t="s">
        <v>90</v>
      </c>
      <c r="R1137" t="s">
        <v>43</v>
      </c>
      <c r="S1137">
        <v>3</v>
      </c>
      <c r="T1137">
        <v>27</v>
      </c>
      <c r="U1137">
        <v>1</v>
      </c>
      <c r="V1137">
        <v>26</v>
      </c>
      <c r="W1137">
        <v>0</v>
      </c>
      <c r="X1137">
        <v>0</v>
      </c>
      <c r="Y1137">
        <v>12</v>
      </c>
      <c r="Z1137" t="s">
        <v>106</v>
      </c>
      <c r="AA1137" t="s">
        <v>82</v>
      </c>
      <c r="AB1137" t="str" cm="1">
        <f t="array" ref="AB1137">_xlfn.IFS(cleaned_data[[#This Row],[YearsAtCompany]]&lt;=5, "0-5",cleaned_data[[#This Row],[YearsAtCompany]]&lt;=10,"6-10",TRUE,"10+")</f>
        <v>10+</v>
      </c>
    </row>
    <row r="1138" spans="1:28" x14ac:dyDescent="0.3">
      <c r="A1138" s="2">
        <v>28</v>
      </c>
      <c r="B1138" t="s">
        <v>35</v>
      </c>
      <c r="C1138">
        <v>1</v>
      </c>
      <c r="D1138" t="s">
        <v>36</v>
      </c>
      <c r="E1138" t="s">
        <v>45</v>
      </c>
      <c r="F1138">
        <v>24</v>
      </c>
      <c r="G1138" t="s">
        <v>51</v>
      </c>
      <c r="H1138" t="s">
        <v>1208</v>
      </c>
      <c r="I1138">
        <v>3</v>
      </c>
      <c r="J1138" t="s">
        <v>46</v>
      </c>
      <c r="K1138">
        <v>3</v>
      </c>
      <c r="L1138">
        <v>1</v>
      </c>
      <c r="M1138" t="s">
        <v>50</v>
      </c>
      <c r="N1138">
        <v>2</v>
      </c>
      <c r="O1138" t="s">
        <v>48</v>
      </c>
      <c r="P1138" s="1">
        <v>2408</v>
      </c>
      <c r="Q1138" t="s">
        <v>72</v>
      </c>
      <c r="R1138" t="s">
        <v>35</v>
      </c>
      <c r="S1138">
        <v>3</v>
      </c>
      <c r="T1138">
        <v>1</v>
      </c>
      <c r="U1138">
        <v>3</v>
      </c>
      <c r="V1138">
        <v>1</v>
      </c>
      <c r="W1138">
        <v>1</v>
      </c>
      <c r="X1138">
        <v>0</v>
      </c>
      <c r="Y1138">
        <v>0</v>
      </c>
      <c r="Z1138" t="s">
        <v>1551</v>
      </c>
      <c r="AA1138" t="s">
        <v>78</v>
      </c>
      <c r="AB1138" t="str" cm="1">
        <f t="array" ref="AB1138">_xlfn.IFS(cleaned_data[[#This Row],[YearsAtCompany]]&lt;=5, "0-5",cleaned_data[[#This Row],[YearsAtCompany]]&lt;=10,"6-10",TRUE,"10+")</f>
        <v>0-5</v>
      </c>
    </row>
    <row r="1139" spans="1:28" x14ac:dyDescent="0.3">
      <c r="A1139" s="2">
        <v>22</v>
      </c>
      <c r="B1139" t="s">
        <v>43</v>
      </c>
      <c r="C1139">
        <v>0</v>
      </c>
      <c r="D1139" t="s">
        <v>55</v>
      </c>
      <c r="E1139" t="s">
        <v>45</v>
      </c>
      <c r="F1139">
        <v>26</v>
      </c>
      <c r="G1139" t="s">
        <v>49</v>
      </c>
      <c r="H1139" t="s">
        <v>1209</v>
      </c>
      <c r="I1139">
        <v>2</v>
      </c>
      <c r="J1139" t="s">
        <v>39</v>
      </c>
      <c r="K1139">
        <v>2</v>
      </c>
      <c r="L1139">
        <v>1</v>
      </c>
      <c r="M1139" t="s">
        <v>47</v>
      </c>
      <c r="N1139">
        <v>3</v>
      </c>
      <c r="O1139" t="s">
        <v>48</v>
      </c>
      <c r="P1139" s="1">
        <v>2814</v>
      </c>
      <c r="Q1139" t="s">
        <v>72</v>
      </c>
      <c r="R1139" t="s">
        <v>35</v>
      </c>
      <c r="S1139">
        <v>3</v>
      </c>
      <c r="T1139">
        <v>4</v>
      </c>
      <c r="U1139">
        <v>2</v>
      </c>
      <c r="V1139">
        <v>4</v>
      </c>
      <c r="W1139">
        <v>2</v>
      </c>
      <c r="X1139">
        <v>1</v>
      </c>
      <c r="Y1139">
        <v>3</v>
      </c>
      <c r="Z1139" t="s">
        <v>68</v>
      </c>
      <c r="AA1139" t="s">
        <v>78</v>
      </c>
      <c r="AB1139" t="str" cm="1">
        <f t="array" ref="AB1139">_xlfn.IFS(cleaned_data[[#This Row],[YearsAtCompany]]&lt;=5, "0-5",cleaned_data[[#This Row],[YearsAtCompany]]&lt;=10,"6-10",TRUE,"10+")</f>
        <v>0-5</v>
      </c>
    </row>
    <row r="1140" spans="1:28" x14ac:dyDescent="0.3">
      <c r="A1140" s="2">
        <v>50</v>
      </c>
      <c r="B1140" t="s">
        <v>43</v>
      </c>
      <c r="C1140">
        <v>0</v>
      </c>
      <c r="D1140" t="s">
        <v>44</v>
      </c>
      <c r="E1140" t="s">
        <v>45</v>
      </c>
      <c r="F1140">
        <v>20</v>
      </c>
      <c r="G1140" t="s">
        <v>51</v>
      </c>
      <c r="H1140" t="s">
        <v>1210</v>
      </c>
      <c r="I1140">
        <v>2</v>
      </c>
      <c r="J1140" t="s">
        <v>46</v>
      </c>
      <c r="K1140">
        <v>3</v>
      </c>
      <c r="L1140">
        <v>4</v>
      </c>
      <c r="M1140" t="s">
        <v>54</v>
      </c>
      <c r="N1140">
        <v>3</v>
      </c>
      <c r="O1140" t="s">
        <v>48</v>
      </c>
      <c r="P1140" s="1">
        <v>11245</v>
      </c>
      <c r="Q1140" t="s">
        <v>67</v>
      </c>
      <c r="R1140" t="s">
        <v>35</v>
      </c>
      <c r="S1140">
        <v>3</v>
      </c>
      <c r="T1140">
        <v>32</v>
      </c>
      <c r="U1140">
        <v>3</v>
      </c>
      <c r="V1140">
        <v>30</v>
      </c>
      <c r="W1140">
        <v>8</v>
      </c>
      <c r="X1140">
        <v>12</v>
      </c>
      <c r="Y1140">
        <v>13</v>
      </c>
      <c r="Z1140" t="s">
        <v>106</v>
      </c>
      <c r="AA1140" t="s">
        <v>82</v>
      </c>
      <c r="AB1140" t="str" cm="1">
        <f t="array" ref="AB1140">_xlfn.IFS(cleaned_data[[#This Row],[YearsAtCompany]]&lt;=5, "0-5",cleaned_data[[#This Row],[YearsAtCompany]]&lt;=10,"6-10",TRUE,"10+")</f>
        <v>10+</v>
      </c>
    </row>
    <row r="1141" spans="1:28" x14ac:dyDescent="0.3">
      <c r="A1141" s="2">
        <v>32</v>
      </c>
      <c r="B1141" t="s">
        <v>43</v>
      </c>
      <c r="C1141">
        <v>0</v>
      </c>
      <c r="D1141" t="s">
        <v>36</v>
      </c>
      <c r="E1141" t="s">
        <v>45</v>
      </c>
      <c r="F1141">
        <v>5</v>
      </c>
      <c r="G1141" t="s">
        <v>49</v>
      </c>
      <c r="H1141" t="s">
        <v>1211</v>
      </c>
      <c r="I1141">
        <v>2</v>
      </c>
      <c r="J1141" t="s">
        <v>39</v>
      </c>
      <c r="K1141">
        <v>4</v>
      </c>
      <c r="L1141">
        <v>1</v>
      </c>
      <c r="M1141" t="s">
        <v>47</v>
      </c>
      <c r="N1141">
        <v>4</v>
      </c>
      <c r="O1141" t="s">
        <v>48</v>
      </c>
      <c r="P1141" s="1">
        <v>3312</v>
      </c>
      <c r="Q1141" t="s">
        <v>72</v>
      </c>
      <c r="R1141" t="s">
        <v>43</v>
      </c>
      <c r="S1141">
        <v>3</v>
      </c>
      <c r="T1141">
        <v>6</v>
      </c>
      <c r="U1141">
        <v>3</v>
      </c>
      <c r="V1141">
        <v>3</v>
      </c>
      <c r="W1141">
        <v>2</v>
      </c>
      <c r="X1141">
        <v>0</v>
      </c>
      <c r="Y1141">
        <v>2</v>
      </c>
      <c r="Z1141" t="s">
        <v>1551</v>
      </c>
      <c r="AA1141" t="s">
        <v>69</v>
      </c>
      <c r="AB1141" t="str" cm="1">
        <f t="array" ref="AB1141">_xlfn.IFS(cleaned_data[[#This Row],[YearsAtCompany]]&lt;=5, "0-5",cleaned_data[[#This Row],[YearsAtCompany]]&lt;=10,"6-10",TRUE,"10+")</f>
        <v>0-5</v>
      </c>
    </row>
    <row r="1142" spans="1:28" x14ac:dyDescent="0.3">
      <c r="A1142" s="2">
        <v>44</v>
      </c>
      <c r="B1142" t="s">
        <v>43</v>
      </c>
      <c r="C1142">
        <v>0</v>
      </c>
      <c r="D1142" t="s">
        <v>36</v>
      </c>
      <c r="E1142" t="s">
        <v>45</v>
      </c>
      <c r="F1142">
        <v>7</v>
      </c>
      <c r="G1142" t="s">
        <v>51</v>
      </c>
      <c r="H1142" t="s">
        <v>1212</v>
      </c>
      <c r="I1142">
        <v>2</v>
      </c>
      <c r="J1142" t="s">
        <v>39</v>
      </c>
      <c r="K1142">
        <v>3</v>
      </c>
      <c r="L1142">
        <v>5</v>
      </c>
      <c r="M1142" t="s">
        <v>58</v>
      </c>
      <c r="N1142">
        <v>4</v>
      </c>
      <c r="O1142" t="s">
        <v>52</v>
      </c>
      <c r="P1142" s="1">
        <v>19049</v>
      </c>
      <c r="Q1142" t="s">
        <v>90</v>
      </c>
      <c r="R1142" t="s">
        <v>35</v>
      </c>
      <c r="S1142">
        <v>3</v>
      </c>
      <c r="T1142">
        <v>23</v>
      </c>
      <c r="U1142">
        <v>2</v>
      </c>
      <c r="V1142">
        <v>22</v>
      </c>
      <c r="W1142">
        <v>7</v>
      </c>
      <c r="X1142">
        <v>1</v>
      </c>
      <c r="Y1142">
        <v>10</v>
      </c>
      <c r="Z1142" t="s">
        <v>1550</v>
      </c>
      <c r="AA1142" t="s">
        <v>82</v>
      </c>
      <c r="AB1142" t="str" cm="1">
        <f t="array" ref="AB1142">_xlfn.IFS(cleaned_data[[#This Row],[YearsAtCompany]]&lt;=5, "0-5",cleaned_data[[#This Row],[YearsAtCompany]]&lt;=10,"6-10",TRUE,"10+")</f>
        <v>10+</v>
      </c>
    </row>
    <row r="1143" spans="1:28" x14ac:dyDescent="0.3">
      <c r="A1143" s="2">
        <v>30</v>
      </c>
      <c r="B1143" t="s">
        <v>43</v>
      </c>
      <c r="C1143">
        <v>0</v>
      </c>
      <c r="D1143" t="s">
        <v>36</v>
      </c>
      <c r="E1143" t="s">
        <v>45</v>
      </c>
      <c r="F1143">
        <v>7</v>
      </c>
      <c r="G1143" t="s">
        <v>51</v>
      </c>
      <c r="H1143" t="s">
        <v>1213</v>
      </c>
      <c r="I1143">
        <v>2</v>
      </c>
      <c r="J1143" t="s">
        <v>46</v>
      </c>
      <c r="K1143">
        <v>2</v>
      </c>
      <c r="L1143">
        <v>1</v>
      </c>
      <c r="M1143" t="s">
        <v>47</v>
      </c>
      <c r="N1143">
        <v>2</v>
      </c>
      <c r="O1143" t="s">
        <v>48</v>
      </c>
      <c r="P1143" s="1">
        <v>2141</v>
      </c>
      <c r="Q1143" t="s">
        <v>72</v>
      </c>
      <c r="R1143" t="s">
        <v>43</v>
      </c>
      <c r="S1143">
        <v>3</v>
      </c>
      <c r="T1143">
        <v>6</v>
      </c>
      <c r="U1143">
        <v>2</v>
      </c>
      <c r="V1143">
        <v>6</v>
      </c>
      <c r="W1143">
        <v>4</v>
      </c>
      <c r="X1143">
        <v>1</v>
      </c>
      <c r="Y1143">
        <v>1</v>
      </c>
      <c r="Z1143" t="s">
        <v>1551</v>
      </c>
      <c r="AA1143" t="s">
        <v>69</v>
      </c>
      <c r="AB1143" t="str" cm="1">
        <f t="array" ref="AB1143">_xlfn.IFS(cleaned_data[[#This Row],[YearsAtCompany]]&lt;=5, "0-5",cleaned_data[[#This Row],[YearsAtCompany]]&lt;=10,"6-10",TRUE,"10+")</f>
        <v>6-10</v>
      </c>
    </row>
    <row r="1144" spans="1:28" x14ac:dyDescent="0.3">
      <c r="A1144" s="2">
        <v>45</v>
      </c>
      <c r="B1144" t="s">
        <v>43</v>
      </c>
      <c r="C1144">
        <v>0</v>
      </c>
      <c r="D1144" t="s">
        <v>36</v>
      </c>
      <c r="E1144" t="s">
        <v>45</v>
      </c>
      <c r="F1144">
        <v>5</v>
      </c>
      <c r="G1144" t="s">
        <v>51</v>
      </c>
      <c r="H1144" t="s">
        <v>1214</v>
      </c>
      <c r="I1144">
        <v>3</v>
      </c>
      <c r="J1144" t="s">
        <v>39</v>
      </c>
      <c r="K1144">
        <v>1</v>
      </c>
      <c r="L1144">
        <v>2</v>
      </c>
      <c r="M1144" t="s">
        <v>50</v>
      </c>
      <c r="N1144">
        <v>1</v>
      </c>
      <c r="O1144" t="s">
        <v>41</v>
      </c>
      <c r="P1144" s="6">
        <v>5769</v>
      </c>
      <c r="Q1144" t="s">
        <v>67</v>
      </c>
      <c r="R1144" t="s">
        <v>35</v>
      </c>
      <c r="S1144">
        <v>3</v>
      </c>
      <c r="T1144">
        <v>10</v>
      </c>
      <c r="U1144">
        <v>3</v>
      </c>
      <c r="V1144">
        <v>10</v>
      </c>
      <c r="W1144">
        <v>7</v>
      </c>
      <c r="X1144">
        <v>1</v>
      </c>
      <c r="Y1144">
        <v>4</v>
      </c>
      <c r="Z1144" t="s">
        <v>1550</v>
      </c>
      <c r="AA1144" t="s">
        <v>69</v>
      </c>
      <c r="AB1144" t="str" cm="1">
        <f t="array" ref="AB1144">_xlfn.IFS(cleaned_data[[#This Row],[YearsAtCompany]]&lt;=5, "0-5",cleaned_data[[#This Row],[YearsAtCompany]]&lt;=10,"6-10",TRUE,"10+")</f>
        <v>6-10</v>
      </c>
    </row>
    <row r="1145" spans="1:28" x14ac:dyDescent="0.3">
      <c r="A1145" s="2">
        <v>45</v>
      </c>
      <c r="B1145" t="s">
        <v>43</v>
      </c>
      <c r="C1145">
        <v>0</v>
      </c>
      <c r="D1145" t="s">
        <v>55</v>
      </c>
      <c r="E1145" t="s">
        <v>37</v>
      </c>
      <c r="F1145">
        <v>26</v>
      </c>
      <c r="G1145" t="s">
        <v>59</v>
      </c>
      <c r="H1145" t="s">
        <v>1215</v>
      </c>
      <c r="I1145">
        <v>1</v>
      </c>
      <c r="J1145" t="s">
        <v>46</v>
      </c>
      <c r="K1145">
        <v>2</v>
      </c>
      <c r="L1145">
        <v>2</v>
      </c>
      <c r="M1145" t="s">
        <v>40</v>
      </c>
      <c r="N1145">
        <v>1</v>
      </c>
      <c r="O1145" t="s">
        <v>48</v>
      </c>
      <c r="P1145" s="6">
        <v>4385</v>
      </c>
      <c r="Q1145" t="s">
        <v>72</v>
      </c>
      <c r="R1145" t="s">
        <v>43</v>
      </c>
      <c r="S1145">
        <v>3</v>
      </c>
      <c r="T1145">
        <v>10</v>
      </c>
      <c r="U1145">
        <v>3</v>
      </c>
      <c r="V1145">
        <v>10</v>
      </c>
      <c r="W1145">
        <v>7</v>
      </c>
      <c r="X1145">
        <v>4</v>
      </c>
      <c r="Y1145">
        <v>5</v>
      </c>
      <c r="Z1145" t="s">
        <v>1550</v>
      </c>
      <c r="AA1145" t="s">
        <v>69</v>
      </c>
      <c r="AB1145" t="str" cm="1">
        <f t="array" ref="AB1145">_xlfn.IFS(cleaned_data[[#This Row],[YearsAtCompany]]&lt;=5, "0-5",cleaned_data[[#This Row],[YearsAtCompany]]&lt;=10,"6-10",TRUE,"10+")</f>
        <v>6-10</v>
      </c>
    </row>
    <row r="1146" spans="1:28" x14ac:dyDescent="0.3">
      <c r="A1146" s="2">
        <v>31</v>
      </c>
      <c r="B1146" t="s">
        <v>43</v>
      </c>
      <c r="C1146">
        <v>0</v>
      </c>
      <c r="D1146" t="s">
        <v>44</v>
      </c>
      <c r="E1146" t="s">
        <v>37</v>
      </c>
      <c r="F1146">
        <v>2</v>
      </c>
      <c r="G1146" t="s">
        <v>49</v>
      </c>
      <c r="H1146" t="s">
        <v>1216</v>
      </c>
      <c r="I1146">
        <v>4</v>
      </c>
      <c r="J1146" t="s">
        <v>46</v>
      </c>
      <c r="K1146">
        <v>3</v>
      </c>
      <c r="L1146">
        <v>2</v>
      </c>
      <c r="M1146" t="s">
        <v>40</v>
      </c>
      <c r="N1146">
        <v>1</v>
      </c>
      <c r="O1146" t="s">
        <v>41</v>
      </c>
      <c r="P1146" s="6">
        <v>5332</v>
      </c>
      <c r="Q1146" t="s">
        <v>67</v>
      </c>
      <c r="R1146" t="s">
        <v>43</v>
      </c>
      <c r="S1146">
        <v>3</v>
      </c>
      <c r="T1146">
        <v>10</v>
      </c>
      <c r="U1146">
        <v>3</v>
      </c>
      <c r="V1146">
        <v>5</v>
      </c>
      <c r="W1146">
        <v>2</v>
      </c>
      <c r="X1146">
        <v>0</v>
      </c>
      <c r="Y1146">
        <v>3</v>
      </c>
      <c r="Z1146" t="s">
        <v>1551</v>
      </c>
      <c r="AA1146" t="s">
        <v>69</v>
      </c>
      <c r="AB1146" t="str" cm="1">
        <f t="array" ref="AB1146">_xlfn.IFS(cleaned_data[[#This Row],[YearsAtCompany]]&lt;=5, "0-5",cleaned_data[[#This Row],[YearsAtCompany]]&lt;=10,"6-10",TRUE,"10+")</f>
        <v>0-5</v>
      </c>
    </row>
    <row r="1147" spans="1:28" x14ac:dyDescent="0.3">
      <c r="A1147" s="2">
        <v>36</v>
      </c>
      <c r="B1147" t="s">
        <v>43</v>
      </c>
      <c r="C1147">
        <v>0</v>
      </c>
      <c r="D1147" t="s">
        <v>36</v>
      </c>
      <c r="E1147" t="s">
        <v>45</v>
      </c>
      <c r="F1147">
        <v>12</v>
      </c>
      <c r="G1147" t="s">
        <v>38</v>
      </c>
      <c r="H1147" t="s">
        <v>1217</v>
      </c>
      <c r="I1147">
        <v>3</v>
      </c>
      <c r="J1147" t="s">
        <v>39</v>
      </c>
      <c r="K1147">
        <v>3</v>
      </c>
      <c r="L1147">
        <v>2</v>
      </c>
      <c r="M1147" t="s">
        <v>53</v>
      </c>
      <c r="N1147">
        <v>3</v>
      </c>
      <c r="O1147" t="s">
        <v>48</v>
      </c>
      <c r="P1147" s="1">
        <v>4663</v>
      </c>
      <c r="Q1147" t="s">
        <v>72</v>
      </c>
      <c r="R1147" t="s">
        <v>35</v>
      </c>
      <c r="S1147">
        <v>3</v>
      </c>
      <c r="T1147">
        <v>7</v>
      </c>
      <c r="U1147">
        <v>3</v>
      </c>
      <c r="V1147">
        <v>3</v>
      </c>
      <c r="W1147">
        <v>2</v>
      </c>
      <c r="X1147">
        <v>1</v>
      </c>
      <c r="Y1147">
        <v>1</v>
      </c>
      <c r="Z1147" t="s">
        <v>1550</v>
      </c>
      <c r="AA1147" t="s">
        <v>69</v>
      </c>
      <c r="AB1147" t="str" cm="1">
        <f t="array" ref="AB1147">_xlfn.IFS(cleaned_data[[#This Row],[YearsAtCompany]]&lt;=5, "0-5",cleaned_data[[#This Row],[YearsAtCompany]]&lt;=10,"6-10",TRUE,"10+")</f>
        <v>0-5</v>
      </c>
    </row>
    <row r="1148" spans="1:28" x14ac:dyDescent="0.3">
      <c r="A1148" s="2">
        <v>34</v>
      </c>
      <c r="B1148" t="s">
        <v>43</v>
      </c>
      <c r="C1148">
        <v>0</v>
      </c>
      <c r="D1148" t="s">
        <v>44</v>
      </c>
      <c r="E1148" t="s">
        <v>45</v>
      </c>
      <c r="F1148">
        <v>10</v>
      </c>
      <c r="G1148" t="s">
        <v>38</v>
      </c>
      <c r="H1148" t="s">
        <v>1218</v>
      </c>
      <c r="I1148">
        <v>3</v>
      </c>
      <c r="J1148" t="s">
        <v>46</v>
      </c>
      <c r="K1148">
        <v>4</v>
      </c>
      <c r="L1148">
        <v>2</v>
      </c>
      <c r="M1148" t="s">
        <v>53</v>
      </c>
      <c r="N1148">
        <v>4</v>
      </c>
      <c r="O1148" t="s">
        <v>52</v>
      </c>
      <c r="P1148" s="1">
        <v>4724</v>
      </c>
      <c r="Q1148" t="s">
        <v>72</v>
      </c>
      <c r="R1148" t="s">
        <v>43</v>
      </c>
      <c r="S1148">
        <v>3</v>
      </c>
      <c r="T1148">
        <v>9</v>
      </c>
      <c r="U1148">
        <v>3</v>
      </c>
      <c r="V1148">
        <v>9</v>
      </c>
      <c r="W1148">
        <v>7</v>
      </c>
      <c r="X1148">
        <v>7</v>
      </c>
      <c r="Y1148">
        <v>2</v>
      </c>
      <c r="Z1148" t="s">
        <v>1551</v>
      </c>
      <c r="AA1148" t="s">
        <v>69</v>
      </c>
      <c r="AB1148" t="str" cm="1">
        <f t="array" ref="AB1148">_xlfn.IFS(cleaned_data[[#This Row],[YearsAtCompany]]&lt;=5, "0-5",cleaned_data[[#This Row],[YearsAtCompany]]&lt;=10,"6-10",TRUE,"10+")</f>
        <v>6-10</v>
      </c>
    </row>
    <row r="1149" spans="1:28" x14ac:dyDescent="0.3">
      <c r="A1149" s="2">
        <v>49</v>
      </c>
      <c r="B1149" t="s">
        <v>43</v>
      </c>
      <c r="C1149">
        <v>0</v>
      </c>
      <c r="D1149" t="s">
        <v>36</v>
      </c>
      <c r="E1149" t="s">
        <v>45</v>
      </c>
      <c r="F1149">
        <v>25</v>
      </c>
      <c r="G1149" t="s">
        <v>38</v>
      </c>
      <c r="H1149" t="s">
        <v>1219</v>
      </c>
      <c r="I1149">
        <v>3</v>
      </c>
      <c r="J1149" t="s">
        <v>39</v>
      </c>
      <c r="K1149">
        <v>3</v>
      </c>
      <c r="L1149">
        <v>1</v>
      </c>
      <c r="M1149" t="s">
        <v>50</v>
      </c>
      <c r="N1149">
        <v>1</v>
      </c>
      <c r="O1149" t="s">
        <v>48</v>
      </c>
      <c r="P1149" s="6">
        <v>3211</v>
      </c>
      <c r="Q1149" t="s">
        <v>72</v>
      </c>
      <c r="R1149" t="s">
        <v>43</v>
      </c>
      <c r="S1149">
        <v>3</v>
      </c>
      <c r="T1149">
        <v>10</v>
      </c>
      <c r="U1149">
        <v>2</v>
      </c>
      <c r="V1149">
        <v>9</v>
      </c>
      <c r="W1149">
        <v>6</v>
      </c>
      <c r="X1149">
        <v>1</v>
      </c>
      <c r="Y1149">
        <v>4</v>
      </c>
      <c r="Z1149" t="s">
        <v>106</v>
      </c>
      <c r="AA1149" t="s">
        <v>69</v>
      </c>
      <c r="AB1149" t="str" cm="1">
        <f t="array" ref="AB1149">_xlfn.IFS(cleaned_data[[#This Row],[YearsAtCompany]]&lt;=5, "0-5",cleaned_data[[#This Row],[YearsAtCompany]]&lt;=10,"6-10",TRUE,"10+")</f>
        <v>6-10</v>
      </c>
    </row>
    <row r="1150" spans="1:28" x14ac:dyDescent="0.3">
      <c r="A1150" s="2">
        <v>39</v>
      </c>
      <c r="B1150" t="s">
        <v>43</v>
      </c>
      <c r="C1150">
        <v>0</v>
      </c>
      <c r="D1150" t="s">
        <v>36</v>
      </c>
      <c r="E1150" t="s">
        <v>45</v>
      </c>
      <c r="F1150">
        <v>10</v>
      </c>
      <c r="G1150" t="s">
        <v>51</v>
      </c>
      <c r="H1150" t="s">
        <v>1220</v>
      </c>
      <c r="I1150">
        <v>2</v>
      </c>
      <c r="J1150" t="s">
        <v>46</v>
      </c>
      <c r="K1150">
        <v>3</v>
      </c>
      <c r="L1150">
        <v>2</v>
      </c>
      <c r="M1150" t="s">
        <v>53</v>
      </c>
      <c r="N1150">
        <v>1</v>
      </c>
      <c r="O1150" t="s">
        <v>48</v>
      </c>
      <c r="P1150" s="6">
        <v>5377</v>
      </c>
      <c r="Q1150" t="s">
        <v>67</v>
      </c>
      <c r="R1150" t="s">
        <v>43</v>
      </c>
      <c r="S1150">
        <v>3</v>
      </c>
      <c r="T1150">
        <v>10</v>
      </c>
      <c r="U1150">
        <v>3</v>
      </c>
      <c r="V1150">
        <v>7</v>
      </c>
      <c r="W1150">
        <v>7</v>
      </c>
      <c r="X1150">
        <v>7</v>
      </c>
      <c r="Y1150">
        <v>7</v>
      </c>
      <c r="Z1150" t="s">
        <v>1550</v>
      </c>
      <c r="AA1150" t="s">
        <v>69</v>
      </c>
      <c r="AB1150" t="str" cm="1">
        <f t="array" ref="AB1150">_xlfn.IFS(cleaned_data[[#This Row],[YearsAtCompany]]&lt;=5, "0-5",cleaned_data[[#This Row],[YearsAtCompany]]&lt;=10,"6-10",TRUE,"10+")</f>
        <v>6-10</v>
      </c>
    </row>
    <row r="1151" spans="1:28" x14ac:dyDescent="0.3">
      <c r="A1151" s="2">
        <v>27</v>
      </c>
      <c r="B1151" t="s">
        <v>43</v>
      </c>
      <c r="C1151">
        <v>0</v>
      </c>
      <c r="D1151" t="s">
        <v>36</v>
      </c>
      <c r="E1151" t="s">
        <v>45</v>
      </c>
      <c r="F1151">
        <v>19</v>
      </c>
      <c r="G1151" t="s">
        <v>49</v>
      </c>
      <c r="H1151" t="s">
        <v>1221</v>
      </c>
      <c r="I1151">
        <v>4</v>
      </c>
      <c r="J1151" t="s">
        <v>46</v>
      </c>
      <c r="K1151">
        <v>2</v>
      </c>
      <c r="L1151">
        <v>1</v>
      </c>
      <c r="M1151" t="s">
        <v>50</v>
      </c>
      <c r="N1151">
        <v>1</v>
      </c>
      <c r="O1151" t="s">
        <v>52</v>
      </c>
      <c r="P1151" s="6">
        <v>4066</v>
      </c>
      <c r="Q1151" t="s">
        <v>72</v>
      </c>
      <c r="R1151" t="s">
        <v>43</v>
      </c>
      <c r="S1151">
        <v>3</v>
      </c>
      <c r="T1151">
        <v>7</v>
      </c>
      <c r="U1151">
        <v>3</v>
      </c>
      <c r="V1151">
        <v>7</v>
      </c>
      <c r="W1151">
        <v>7</v>
      </c>
      <c r="X1151">
        <v>0</v>
      </c>
      <c r="Y1151">
        <v>7</v>
      </c>
      <c r="Z1151" t="s">
        <v>1551</v>
      </c>
      <c r="AA1151" t="s">
        <v>69</v>
      </c>
      <c r="AB1151" t="str" cm="1">
        <f t="array" ref="AB1151">_xlfn.IFS(cleaned_data[[#This Row],[YearsAtCompany]]&lt;=5, "0-5",cleaned_data[[#This Row],[YearsAtCompany]]&lt;=10,"6-10",TRUE,"10+")</f>
        <v>6-10</v>
      </c>
    </row>
    <row r="1152" spans="1:28" x14ac:dyDescent="0.3">
      <c r="A1152" s="2">
        <v>35</v>
      </c>
      <c r="B1152" t="s">
        <v>43</v>
      </c>
      <c r="C1152">
        <v>0</v>
      </c>
      <c r="D1152" t="s">
        <v>36</v>
      </c>
      <c r="E1152" t="s">
        <v>45</v>
      </c>
      <c r="F1152">
        <v>18</v>
      </c>
      <c r="G1152" t="s">
        <v>38</v>
      </c>
      <c r="H1152" t="s">
        <v>1222</v>
      </c>
      <c r="I1152">
        <v>2</v>
      </c>
      <c r="J1152" t="s">
        <v>46</v>
      </c>
      <c r="K1152">
        <v>4</v>
      </c>
      <c r="L1152">
        <v>2</v>
      </c>
      <c r="M1152" t="s">
        <v>47</v>
      </c>
      <c r="N1152">
        <v>1</v>
      </c>
      <c r="O1152" t="s">
        <v>48</v>
      </c>
      <c r="P1152" s="6">
        <v>5208</v>
      </c>
      <c r="Q1152" t="s">
        <v>67</v>
      </c>
      <c r="R1152" t="s">
        <v>43</v>
      </c>
      <c r="S1152">
        <v>3</v>
      </c>
      <c r="T1152">
        <v>16</v>
      </c>
      <c r="U1152">
        <v>3</v>
      </c>
      <c r="V1152">
        <v>16</v>
      </c>
      <c r="W1152">
        <v>15</v>
      </c>
      <c r="X1152">
        <v>1</v>
      </c>
      <c r="Y1152">
        <v>10</v>
      </c>
      <c r="Z1152" t="s">
        <v>1551</v>
      </c>
      <c r="AA1152" t="s">
        <v>82</v>
      </c>
      <c r="AB1152" t="str" cm="1">
        <f t="array" ref="AB1152">_xlfn.IFS(cleaned_data[[#This Row],[YearsAtCompany]]&lt;=5, "0-5",cleaned_data[[#This Row],[YearsAtCompany]]&lt;=10,"6-10",TRUE,"10+")</f>
        <v>10+</v>
      </c>
    </row>
    <row r="1153" spans="1:28" x14ac:dyDescent="0.3">
      <c r="A1153" s="2">
        <v>28</v>
      </c>
      <c r="B1153" t="s">
        <v>43</v>
      </c>
      <c r="C1153">
        <v>0</v>
      </c>
      <c r="D1153" t="s">
        <v>36</v>
      </c>
      <c r="E1153" t="s">
        <v>45</v>
      </c>
      <c r="F1153">
        <v>27</v>
      </c>
      <c r="G1153" t="s">
        <v>51</v>
      </c>
      <c r="H1153" t="s">
        <v>1223</v>
      </c>
      <c r="I1153">
        <v>2</v>
      </c>
      <c r="J1153" t="s">
        <v>39</v>
      </c>
      <c r="K1153">
        <v>1</v>
      </c>
      <c r="L1153">
        <v>2</v>
      </c>
      <c r="M1153" t="s">
        <v>53</v>
      </c>
      <c r="N1153">
        <v>1</v>
      </c>
      <c r="O1153" t="s">
        <v>52</v>
      </c>
      <c r="P1153" s="6">
        <v>4877</v>
      </c>
      <c r="Q1153" t="s">
        <v>72</v>
      </c>
      <c r="R1153" t="s">
        <v>43</v>
      </c>
      <c r="S1153">
        <v>4</v>
      </c>
      <c r="T1153">
        <v>6</v>
      </c>
      <c r="U1153">
        <v>2</v>
      </c>
      <c r="V1153">
        <v>5</v>
      </c>
      <c r="W1153">
        <v>3</v>
      </c>
      <c r="X1153">
        <v>0</v>
      </c>
      <c r="Y1153">
        <v>0</v>
      </c>
      <c r="Z1153" t="s">
        <v>1551</v>
      </c>
      <c r="AA1153" t="s">
        <v>69</v>
      </c>
      <c r="AB1153" t="str" cm="1">
        <f t="array" ref="AB1153">_xlfn.IFS(cleaned_data[[#This Row],[YearsAtCompany]]&lt;=5, "0-5",cleaned_data[[#This Row],[YearsAtCompany]]&lt;=10,"6-10",TRUE,"10+")</f>
        <v>0-5</v>
      </c>
    </row>
    <row r="1154" spans="1:28" x14ac:dyDescent="0.3">
      <c r="A1154" s="2">
        <v>21</v>
      </c>
      <c r="B1154" t="s">
        <v>43</v>
      </c>
      <c r="C1154">
        <v>0</v>
      </c>
      <c r="D1154" t="s">
        <v>36</v>
      </c>
      <c r="E1154" t="s">
        <v>45</v>
      </c>
      <c r="F1154">
        <v>5</v>
      </c>
      <c r="G1154" t="s">
        <v>51</v>
      </c>
      <c r="H1154" t="s">
        <v>1224</v>
      </c>
      <c r="I1154">
        <v>3</v>
      </c>
      <c r="J1154" t="s">
        <v>46</v>
      </c>
      <c r="K1154">
        <v>3</v>
      </c>
      <c r="L1154">
        <v>1</v>
      </c>
      <c r="M1154" t="s">
        <v>47</v>
      </c>
      <c r="N1154">
        <v>4</v>
      </c>
      <c r="O1154" t="s">
        <v>41</v>
      </c>
      <c r="P1154" s="1">
        <v>3117</v>
      </c>
      <c r="Q1154" t="s">
        <v>72</v>
      </c>
      <c r="R1154" t="s">
        <v>43</v>
      </c>
      <c r="S1154">
        <v>3</v>
      </c>
      <c r="T1154">
        <v>3</v>
      </c>
      <c r="U1154">
        <v>3</v>
      </c>
      <c r="V1154">
        <v>2</v>
      </c>
      <c r="W1154">
        <v>2</v>
      </c>
      <c r="X1154">
        <v>2</v>
      </c>
      <c r="Y1154">
        <v>2</v>
      </c>
      <c r="Z1154" t="s">
        <v>68</v>
      </c>
      <c r="AA1154" t="s">
        <v>78</v>
      </c>
      <c r="AB1154" t="str" cm="1">
        <f t="array" ref="AB1154">_xlfn.IFS(cleaned_data[[#This Row],[YearsAtCompany]]&lt;=5, "0-5",cleaned_data[[#This Row],[YearsAtCompany]]&lt;=10,"6-10",TRUE,"10+")</f>
        <v>0-5</v>
      </c>
    </row>
    <row r="1155" spans="1:28" x14ac:dyDescent="0.3">
      <c r="A1155" s="2">
        <v>18</v>
      </c>
      <c r="B1155" t="s">
        <v>35</v>
      </c>
      <c r="C1155">
        <v>1</v>
      </c>
      <c r="D1155" t="s">
        <v>44</v>
      </c>
      <c r="E1155" t="s">
        <v>37</v>
      </c>
      <c r="F1155">
        <v>3</v>
      </c>
      <c r="G1155" t="s">
        <v>51</v>
      </c>
      <c r="H1155" t="s">
        <v>1225</v>
      </c>
      <c r="I1155">
        <v>2</v>
      </c>
      <c r="J1155" t="s">
        <v>39</v>
      </c>
      <c r="K1155">
        <v>3</v>
      </c>
      <c r="L1155">
        <v>1</v>
      </c>
      <c r="M1155" t="s">
        <v>57</v>
      </c>
      <c r="N1155">
        <v>4</v>
      </c>
      <c r="O1155" t="s">
        <v>41</v>
      </c>
      <c r="P1155" s="1">
        <v>1569</v>
      </c>
      <c r="Q1155" t="s">
        <v>72</v>
      </c>
      <c r="R1155" t="s">
        <v>35</v>
      </c>
      <c r="S1155">
        <v>3</v>
      </c>
      <c r="T1155">
        <v>0</v>
      </c>
      <c r="U1155">
        <v>4</v>
      </c>
      <c r="V1155">
        <v>0</v>
      </c>
      <c r="W1155">
        <v>0</v>
      </c>
      <c r="X1155">
        <v>0</v>
      </c>
      <c r="Y1155">
        <v>0</v>
      </c>
      <c r="Z1155" t="s">
        <v>68</v>
      </c>
      <c r="AA1155" t="s">
        <v>78</v>
      </c>
      <c r="AB1155" t="str" cm="1">
        <f t="array" ref="AB1155">_xlfn.IFS(cleaned_data[[#This Row],[YearsAtCompany]]&lt;=5, "0-5",cleaned_data[[#This Row],[YearsAtCompany]]&lt;=10,"6-10",TRUE,"10+")</f>
        <v>0-5</v>
      </c>
    </row>
    <row r="1156" spans="1:28" x14ac:dyDescent="0.3">
      <c r="A1156" s="2">
        <v>47</v>
      </c>
      <c r="B1156" t="s">
        <v>43</v>
      </c>
      <c r="C1156">
        <v>0</v>
      </c>
      <c r="D1156" t="s">
        <v>36</v>
      </c>
      <c r="E1156" t="s">
        <v>61</v>
      </c>
      <c r="F1156">
        <v>26</v>
      </c>
      <c r="G1156" t="s">
        <v>38</v>
      </c>
      <c r="H1156" t="s">
        <v>1226</v>
      </c>
      <c r="I1156">
        <v>4</v>
      </c>
      <c r="J1156" t="s">
        <v>39</v>
      </c>
      <c r="K1156">
        <v>3</v>
      </c>
      <c r="L1156">
        <v>5</v>
      </c>
      <c r="M1156" t="s">
        <v>56</v>
      </c>
      <c r="N1156">
        <v>3</v>
      </c>
      <c r="O1156" t="s">
        <v>48</v>
      </c>
      <c r="P1156" s="1">
        <v>19658</v>
      </c>
      <c r="Q1156" t="s">
        <v>90</v>
      </c>
      <c r="R1156" t="s">
        <v>43</v>
      </c>
      <c r="S1156">
        <v>3</v>
      </c>
      <c r="T1156">
        <v>27</v>
      </c>
      <c r="U1156">
        <v>3</v>
      </c>
      <c r="V1156">
        <v>5</v>
      </c>
      <c r="W1156">
        <v>2</v>
      </c>
      <c r="X1156">
        <v>1</v>
      </c>
      <c r="Y1156">
        <v>0</v>
      </c>
      <c r="Z1156" t="s">
        <v>106</v>
      </c>
      <c r="AA1156" t="s">
        <v>82</v>
      </c>
      <c r="AB1156" t="str" cm="1">
        <f t="array" ref="AB1156">_xlfn.IFS(cleaned_data[[#This Row],[YearsAtCompany]]&lt;=5, "0-5",cleaned_data[[#This Row],[YearsAtCompany]]&lt;=10,"6-10",TRUE,"10+")</f>
        <v>0-5</v>
      </c>
    </row>
    <row r="1157" spans="1:28" x14ac:dyDescent="0.3">
      <c r="A1157" s="2">
        <v>39</v>
      </c>
      <c r="B1157" t="s">
        <v>43</v>
      </c>
      <c r="C1157">
        <v>0</v>
      </c>
      <c r="D1157" t="s">
        <v>36</v>
      </c>
      <c r="E1157" t="s">
        <v>45</v>
      </c>
      <c r="F1157">
        <v>3</v>
      </c>
      <c r="G1157" t="s">
        <v>51</v>
      </c>
      <c r="H1157" t="s">
        <v>1227</v>
      </c>
      <c r="I1157">
        <v>3</v>
      </c>
      <c r="J1157" t="s">
        <v>46</v>
      </c>
      <c r="K1157">
        <v>2</v>
      </c>
      <c r="L1157">
        <v>2</v>
      </c>
      <c r="M1157" t="s">
        <v>50</v>
      </c>
      <c r="N1157">
        <v>3</v>
      </c>
      <c r="O1157" t="s">
        <v>52</v>
      </c>
      <c r="P1157" s="1">
        <v>3069</v>
      </c>
      <c r="Q1157" t="s">
        <v>72</v>
      </c>
      <c r="R1157" t="s">
        <v>43</v>
      </c>
      <c r="S1157">
        <v>3</v>
      </c>
      <c r="T1157">
        <v>11</v>
      </c>
      <c r="U1157">
        <v>3</v>
      </c>
      <c r="V1157">
        <v>10</v>
      </c>
      <c r="W1157">
        <v>8</v>
      </c>
      <c r="X1157">
        <v>0</v>
      </c>
      <c r="Y1157">
        <v>7</v>
      </c>
      <c r="Z1157" t="s">
        <v>1550</v>
      </c>
      <c r="AA1157" t="s">
        <v>69</v>
      </c>
      <c r="AB1157" t="str" cm="1">
        <f t="array" ref="AB1157">_xlfn.IFS(cleaned_data[[#This Row],[YearsAtCompany]]&lt;=5, "0-5",cleaned_data[[#This Row],[YearsAtCompany]]&lt;=10,"6-10",TRUE,"10+")</f>
        <v>6-10</v>
      </c>
    </row>
    <row r="1158" spans="1:28" x14ac:dyDescent="0.3">
      <c r="A1158" s="2">
        <v>40</v>
      </c>
      <c r="B1158" t="s">
        <v>43</v>
      </c>
      <c r="C1158">
        <v>0</v>
      </c>
      <c r="D1158" t="s">
        <v>36</v>
      </c>
      <c r="E1158" t="s">
        <v>45</v>
      </c>
      <c r="F1158">
        <v>15</v>
      </c>
      <c r="G1158" t="s">
        <v>38</v>
      </c>
      <c r="H1158" t="s">
        <v>1228</v>
      </c>
      <c r="I1158">
        <v>1</v>
      </c>
      <c r="J1158" t="s">
        <v>39</v>
      </c>
      <c r="K1158">
        <v>2</v>
      </c>
      <c r="L1158">
        <v>3</v>
      </c>
      <c r="M1158" t="s">
        <v>53</v>
      </c>
      <c r="N1158">
        <v>3</v>
      </c>
      <c r="O1158" t="s">
        <v>48</v>
      </c>
      <c r="P1158" s="1">
        <v>10435</v>
      </c>
      <c r="Q1158" t="s">
        <v>67</v>
      </c>
      <c r="R1158" t="s">
        <v>43</v>
      </c>
      <c r="S1158">
        <v>3</v>
      </c>
      <c r="T1158">
        <v>18</v>
      </c>
      <c r="U1158">
        <v>3</v>
      </c>
      <c r="V1158">
        <v>18</v>
      </c>
      <c r="W1158">
        <v>15</v>
      </c>
      <c r="X1158">
        <v>14</v>
      </c>
      <c r="Y1158">
        <v>12</v>
      </c>
      <c r="Z1158" t="s">
        <v>1550</v>
      </c>
      <c r="AA1158" t="s">
        <v>82</v>
      </c>
      <c r="AB1158" t="str" cm="1">
        <f t="array" ref="AB1158">_xlfn.IFS(cleaned_data[[#This Row],[YearsAtCompany]]&lt;=5, "0-5",cleaned_data[[#This Row],[YearsAtCompany]]&lt;=10,"6-10",TRUE,"10+")</f>
        <v>10+</v>
      </c>
    </row>
    <row r="1159" spans="1:28" x14ac:dyDescent="0.3">
      <c r="A1159" s="2">
        <v>35</v>
      </c>
      <c r="B1159" t="s">
        <v>43</v>
      </c>
      <c r="C1159">
        <v>0</v>
      </c>
      <c r="D1159" t="s">
        <v>55</v>
      </c>
      <c r="E1159" t="s">
        <v>45</v>
      </c>
      <c r="F1159">
        <v>8</v>
      </c>
      <c r="G1159" t="s">
        <v>38</v>
      </c>
      <c r="H1159" t="s">
        <v>1229</v>
      </c>
      <c r="I1159">
        <v>3</v>
      </c>
      <c r="J1159" t="s">
        <v>39</v>
      </c>
      <c r="K1159">
        <v>3</v>
      </c>
      <c r="L1159">
        <v>2</v>
      </c>
      <c r="M1159" t="s">
        <v>54</v>
      </c>
      <c r="N1159">
        <v>3</v>
      </c>
      <c r="O1159" t="s">
        <v>48</v>
      </c>
      <c r="P1159" s="1">
        <v>4148</v>
      </c>
      <c r="Q1159" t="s">
        <v>72</v>
      </c>
      <c r="R1159" t="s">
        <v>43</v>
      </c>
      <c r="S1159">
        <v>3</v>
      </c>
      <c r="T1159">
        <v>15</v>
      </c>
      <c r="U1159">
        <v>3</v>
      </c>
      <c r="V1159">
        <v>14</v>
      </c>
      <c r="W1159">
        <v>11</v>
      </c>
      <c r="X1159">
        <v>2</v>
      </c>
      <c r="Y1159">
        <v>9</v>
      </c>
      <c r="Z1159" t="s">
        <v>1551</v>
      </c>
      <c r="AA1159" t="s">
        <v>69</v>
      </c>
      <c r="AB1159" t="str" cm="1">
        <f t="array" ref="AB1159">_xlfn.IFS(cleaned_data[[#This Row],[YearsAtCompany]]&lt;=5, "0-5",cleaned_data[[#This Row],[YearsAtCompany]]&lt;=10,"6-10",TRUE,"10+")</f>
        <v>10+</v>
      </c>
    </row>
    <row r="1160" spans="1:28" x14ac:dyDescent="0.3">
      <c r="A1160" s="2">
        <v>37</v>
      </c>
      <c r="B1160" t="s">
        <v>43</v>
      </c>
      <c r="C1160">
        <v>0</v>
      </c>
      <c r="D1160" t="s">
        <v>36</v>
      </c>
      <c r="E1160" t="s">
        <v>45</v>
      </c>
      <c r="F1160">
        <v>19</v>
      </c>
      <c r="G1160" t="s">
        <v>38</v>
      </c>
      <c r="H1160" t="s">
        <v>1230</v>
      </c>
      <c r="I1160">
        <v>3</v>
      </c>
      <c r="J1160" t="s">
        <v>46</v>
      </c>
      <c r="K1160">
        <v>3</v>
      </c>
      <c r="L1160">
        <v>2</v>
      </c>
      <c r="M1160" t="s">
        <v>53</v>
      </c>
      <c r="N1160">
        <v>3</v>
      </c>
      <c r="O1160" t="s">
        <v>48</v>
      </c>
      <c r="P1160" s="1">
        <v>5768</v>
      </c>
      <c r="Q1160" t="s">
        <v>67</v>
      </c>
      <c r="R1160" t="s">
        <v>43</v>
      </c>
      <c r="S1160">
        <v>3</v>
      </c>
      <c r="T1160">
        <v>9</v>
      </c>
      <c r="U1160">
        <v>2</v>
      </c>
      <c r="V1160">
        <v>4</v>
      </c>
      <c r="W1160">
        <v>3</v>
      </c>
      <c r="X1160">
        <v>0</v>
      </c>
      <c r="Y1160">
        <v>2</v>
      </c>
      <c r="Z1160" t="s">
        <v>1550</v>
      </c>
      <c r="AA1160" t="s">
        <v>69</v>
      </c>
      <c r="AB1160" t="str" cm="1">
        <f t="array" ref="AB1160">_xlfn.IFS(cleaned_data[[#This Row],[YearsAtCompany]]&lt;=5, "0-5",cleaned_data[[#This Row],[YearsAtCompany]]&lt;=10,"6-10",TRUE,"10+")</f>
        <v>0-5</v>
      </c>
    </row>
    <row r="1161" spans="1:28" x14ac:dyDescent="0.3">
      <c r="A1161" s="2">
        <v>39</v>
      </c>
      <c r="B1161" t="s">
        <v>43</v>
      </c>
      <c r="C1161">
        <v>0</v>
      </c>
      <c r="D1161" t="s">
        <v>44</v>
      </c>
      <c r="E1161" t="s">
        <v>45</v>
      </c>
      <c r="F1161">
        <v>4</v>
      </c>
      <c r="G1161" t="s">
        <v>51</v>
      </c>
      <c r="H1161" t="s">
        <v>1231</v>
      </c>
      <c r="I1161">
        <v>1</v>
      </c>
      <c r="J1161" t="s">
        <v>39</v>
      </c>
      <c r="K1161">
        <v>3</v>
      </c>
      <c r="L1161">
        <v>2</v>
      </c>
      <c r="M1161" t="s">
        <v>53</v>
      </c>
      <c r="N1161">
        <v>3</v>
      </c>
      <c r="O1161" t="s">
        <v>41</v>
      </c>
      <c r="P1161" s="1">
        <v>5042</v>
      </c>
      <c r="Q1161" t="s">
        <v>67</v>
      </c>
      <c r="R1161" t="s">
        <v>43</v>
      </c>
      <c r="S1161">
        <v>3</v>
      </c>
      <c r="T1161">
        <v>10</v>
      </c>
      <c r="U1161">
        <v>1</v>
      </c>
      <c r="V1161">
        <v>9</v>
      </c>
      <c r="W1161">
        <v>2</v>
      </c>
      <c r="X1161">
        <v>3</v>
      </c>
      <c r="Y1161">
        <v>8</v>
      </c>
      <c r="Z1161" t="s">
        <v>1550</v>
      </c>
      <c r="AA1161" t="s">
        <v>69</v>
      </c>
      <c r="AB1161" t="str" cm="1">
        <f t="array" ref="AB1161">_xlfn.IFS(cleaned_data[[#This Row],[YearsAtCompany]]&lt;=5, "0-5",cleaned_data[[#This Row],[YearsAtCompany]]&lt;=10,"6-10",TRUE,"10+")</f>
        <v>6-10</v>
      </c>
    </row>
    <row r="1162" spans="1:28" x14ac:dyDescent="0.3">
      <c r="A1162" s="2">
        <v>45</v>
      </c>
      <c r="B1162" t="s">
        <v>43</v>
      </c>
      <c r="C1162">
        <v>0</v>
      </c>
      <c r="D1162" t="s">
        <v>36</v>
      </c>
      <c r="E1162" t="s">
        <v>45</v>
      </c>
      <c r="F1162">
        <v>2</v>
      </c>
      <c r="G1162" t="s">
        <v>49</v>
      </c>
      <c r="H1162" t="s">
        <v>1232</v>
      </c>
      <c r="I1162">
        <v>4</v>
      </c>
      <c r="J1162" t="s">
        <v>39</v>
      </c>
      <c r="K1162">
        <v>2</v>
      </c>
      <c r="L1162">
        <v>2</v>
      </c>
      <c r="M1162" t="s">
        <v>53</v>
      </c>
      <c r="N1162">
        <v>4</v>
      </c>
      <c r="O1162" t="s">
        <v>52</v>
      </c>
      <c r="P1162" s="1">
        <v>5770</v>
      </c>
      <c r="Q1162" t="s">
        <v>67</v>
      </c>
      <c r="R1162" t="s">
        <v>43</v>
      </c>
      <c r="S1162">
        <v>3</v>
      </c>
      <c r="T1162">
        <v>10</v>
      </c>
      <c r="U1162">
        <v>3</v>
      </c>
      <c r="V1162">
        <v>10</v>
      </c>
      <c r="W1162">
        <v>7</v>
      </c>
      <c r="X1162">
        <v>3</v>
      </c>
      <c r="Y1162">
        <v>9</v>
      </c>
      <c r="Z1162" t="s">
        <v>1550</v>
      </c>
      <c r="AA1162" t="s">
        <v>69</v>
      </c>
      <c r="AB1162" t="str" cm="1">
        <f t="array" ref="AB1162">_xlfn.IFS(cleaned_data[[#This Row],[YearsAtCompany]]&lt;=5, "0-5",cleaned_data[[#This Row],[YearsAtCompany]]&lt;=10,"6-10",TRUE,"10+")</f>
        <v>6-10</v>
      </c>
    </row>
    <row r="1163" spans="1:28" x14ac:dyDescent="0.3">
      <c r="A1163" s="2">
        <v>38</v>
      </c>
      <c r="B1163" t="s">
        <v>43</v>
      </c>
      <c r="C1163">
        <v>0</v>
      </c>
      <c r="D1163" t="s">
        <v>36</v>
      </c>
      <c r="E1163" t="s">
        <v>45</v>
      </c>
      <c r="F1163">
        <v>2</v>
      </c>
      <c r="G1163" t="s">
        <v>51</v>
      </c>
      <c r="H1163" t="s">
        <v>1233</v>
      </c>
      <c r="I1163">
        <v>4</v>
      </c>
      <c r="J1163" t="s">
        <v>39</v>
      </c>
      <c r="K1163">
        <v>2</v>
      </c>
      <c r="L1163">
        <v>3</v>
      </c>
      <c r="M1163" t="s">
        <v>53</v>
      </c>
      <c r="N1163">
        <v>3</v>
      </c>
      <c r="O1163" t="s">
        <v>48</v>
      </c>
      <c r="P1163" s="1">
        <v>7756</v>
      </c>
      <c r="Q1163" t="s">
        <v>67</v>
      </c>
      <c r="R1163" t="s">
        <v>35</v>
      </c>
      <c r="S1163">
        <v>3</v>
      </c>
      <c r="T1163">
        <v>10</v>
      </c>
      <c r="U1163">
        <v>4</v>
      </c>
      <c r="V1163">
        <v>5</v>
      </c>
      <c r="W1163">
        <v>4</v>
      </c>
      <c r="X1163">
        <v>0</v>
      </c>
      <c r="Y1163">
        <v>2</v>
      </c>
      <c r="Z1163" t="s">
        <v>1550</v>
      </c>
      <c r="AA1163" t="s">
        <v>69</v>
      </c>
      <c r="AB1163" t="str" cm="1">
        <f t="array" ref="AB1163">_xlfn.IFS(cleaned_data[[#This Row],[YearsAtCompany]]&lt;=5, "0-5",cleaned_data[[#This Row],[YearsAtCompany]]&lt;=10,"6-10",TRUE,"10+")</f>
        <v>0-5</v>
      </c>
    </row>
    <row r="1164" spans="1:28" x14ac:dyDescent="0.3">
      <c r="A1164" s="2">
        <v>35</v>
      </c>
      <c r="B1164" t="s">
        <v>35</v>
      </c>
      <c r="C1164">
        <v>1</v>
      </c>
      <c r="D1164" t="s">
        <v>36</v>
      </c>
      <c r="E1164" t="s">
        <v>37</v>
      </c>
      <c r="F1164">
        <v>10</v>
      </c>
      <c r="G1164" t="s">
        <v>51</v>
      </c>
      <c r="H1164" t="s">
        <v>1234</v>
      </c>
      <c r="I1164">
        <v>4</v>
      </c>
      <c r="J1164" t="s">
        <v>46</v>
      </c>
      <c r="K1164">
        <v>2</v>
      </c>
      <c r="L1164">
        <v>3</v>
      </c>
      <c r="M1164" t="s">
        <v>40</v>
      </c>
      <c r="N1164">
        <v>1</v>
      </c>
      <c r="O1164" t="s">
        <v>48</v>
      </c>
      <c r="P1164" s="6">
        <v>10306</v>
      </c>
      <c r="Q1164" t="s">
        <v>67</v>
      </c>
      <c r="R1164" t="s">
        <v>43</v>
      </c>
      <c r="S1164">
        <v>3</v>
      </c>
      <c r="T1164">
        <v>15</v>
      </c>
      <c r="U1164">
        <v>3</v>
      </c>
      <c r="V1164">
        <v>13</v>
      </c>
      <c r="W1164">
        <v>12</v>
      </c>
      <c r="X1164">
        <v>6</v>
      </c>
      <c r="Y1164">
        <v>0</v>
      </c>
      <c r="Z1164" t="s">
        <v>1551</v>
      </c>
      <c r="AA1164" t="s">
        <v>69</v>
      </c>
      <c r="AB1164" t="str" cm="1">
        <f t="array" ref="AB1164">_xlfn.IFS(cleaned_data[[#This Row],[YearsAtCompany]]&lt;=5, "0-5",cleaned_data[[#This Row],[YearsAtCompany]]&lt;=10,"6-10",TRUE,"10+")</f>
        <v>10+</v>
      </c>
    </row>
    <row r="1165" spans="1:28" x14ac:dyDescent="0.3">
      <c r="A1165" s="2">
        <v>37</v>
      </c>
      <c r="B1165" t="s">
        <v>43</v>
      </c>
      <c r="C1165">
        <v>0</v>
      </c>
      <c r="D1165" t="s">
        <v>36</v>
      </c>
      <c r="E1165" t="s">
        <v>45</v>
      </c>
      <c r="F1165">
        <v>10</v>
      </c>
      <c r="G1165" t="s">
        <v>51</v>
      </c>
      <c r="H1165" t="s">
        <v>1235</v>
      </c>
      <c r="I1165">
        <v>2</v>
      </c>
      <c r="J1165" t="s">
        <v>39</v>
      </c>
      <c r="K1165">
        <v>3</v>
      </c>
      <c r="L1165">
        <v>1</v>
      </c>
      <c r="M1165" t="s">
        <v>47</v>
      </c>
      <c r="N1165">
        <v>2</v>
      </c>
      <c r="O1165" t="s">
        <v>48</v>
      </c>
      <c r="P1165" s="1">
        <v>3936</v>
      </c>
      <c r="Q1165" t="s">
        <v>72</v>
      </c>
      <c r="R1165" t="s">
        <v>43</v>
      </c>
      <c r="S1165">
        <v>3</v>
      </c>
      <c r="T1165">
        <v>8</v>
      </c>
      <c r="U1165">
        <v>1</v>
      </c>
      <c r="V1165">
        <v>8</v>
      </c>
      <c r="W1165">
        <v>4</v>
      </c>
      <c r="X1165">
        <v>7</v>
      </c>
      <c r="Y1165">
        <v>7</v>
      </c>
      <c r="Z1165" t="s">
        <v>1550</v>
      </c>
      <c r="AA1165" t="s">
        <v>69</v>
      </c>
      <c r="AB1165" t="str" cm="1">
        <f t="array" ref="AB1165">_xlfn.IFS(cleaned_data[[#This Row],[YearsAtCompany]]&lt;=5, "0-5",cleaned_data[[#This Row],[YearsAtCompany]]&lt;=10,"6-10",TRUE,"10+")</f>
        <v>6-10</v>
      </c>
    </row>
    <row r="1166" spans="1:28" x14ac:dyDescent="0.3">
      <c r="A1166" s="2">
        <v>40</v>
      </c>
      <c r="B1166" t="s">
        <v>43</v>
      </c>
      <c r="C1166">
        <v>0</v>
      </c>
      <c r="D1166" t="s">
        <v>36</v>
      </c>
      <c r="E1166" t="s">
        <v>45</v>
      </c>
      <c r="F1166">
        <v>16</v>
      </c>
      <c r="G1166" t="s">
        <v>38</v>
      </c>
      <c r="H1166" t="s">
        <v>1236</v>
      </c>
      <c r="I1166">
        <v>3</v>
      </c>
      <c r="J1166" t="s">
        <v>39</v>
      </c>
      <c r="K1166">
        <v>3</v>
      </c>
      <c r="L1166">
        <v>3</v>
      </c>
      <c r="M1166" t="s">
        <v>53</v>
      </c>
      <c r="N1166">
        <v>4</v>
      </c>
      <c r="O1166" t="s">
        <v>41</v>
      </c>
      <c r="P1166" s="1">
        <v>7945</v>
      </c>
      <c r="Q1166" t="s">
        <v>67</v>
      </c>
      <c r="R1166" t="s">
        <v>35</v>
      </c>
      <c r="S1166">
        <v>3</v>
      </c>
      <c r="T1166">
        <v>18</v>
      </c>
      <c r="U1166">
        <v>2</v>
      </c>
      <c r="V1166">
        <v>4</v>
      </c>
      <c r="W1166">
        <v>2</v>
      </c>
      <c r="X1166">
        <v>3</v>
      </c>
      <c r="Y1166">
        <v>3</v>
      </c>
      <c r="Z1166" t="s">
        <v>1550</v>
      </c>
      <c r="AA1166" t="s">
        <v>82</v>
      </c>
      <c r="AB1166" t="str" cm="1">
        <f t="array" ref="AB1166">_xlfn.IFS(cleaned_data[[#This Row],[YearsAtCompany]]&lt;=5, "0-5",cleaned_data[[#This Row],[YearsAtCompany]]&lt;=10,"6-10",TRUE,"10+")</f>
        <v>0-5</v>
      </c>
    </row>
    <row r="1167" spans="1:28" x14ac:dyDescent="0.3">
      <c r="A1167" s="2">
        <v>44</v>
      </c>
      <c r="B1167" t="s">
        <v>43</v>
      </c>
      <c r="C1167">
        <v>0</v>
      </c>
      <c r="D1167" t="s">
        <v>44</v>
      </c>
      <c r="E1167" t="s">
        <v>61</v>
      </c>
      <c r="F1167">
        <v>1</v>
      </c>
      <c r="G1167" t="s">
        <v>61</v>
      </c>
      <c r="H1167" t="s">
        <v>1237</v>
      </c>
      <c r="I1167">
        <v>1</v>
      </c>
      <c r="J1167" t="s">
        <v>46</v>
      </c>
      <c r="K1167">
        <v>3</v>
      </c>
      <c r="L1167">
        <v>2</v>
      </c>
      <c r="M1167" t="s">
        <v>61</v>
      </c>
      <c r="N1167">
        <v>4</v>
      </c>
      <c r="O1167" t="s">
        <v>48</v>
      </c>
      <c r="P1167" s="1">
        <v>5743</v>
      </c>
      <c r="Q1167" t="s">
        <v>67</v>
      </c>
      <c r="R1167" t="s">
        <v>35</v>
      </c>
      <c r="S1167">
        <v>3</v>
      </c>
      <c r="T1167">
        <v>14</v>
      </c>
      <c r="U1167">
        <v>3</v>
      </c>
      <c r="V1167">
        <v>10</v>
      </c>
      <c r="W1167">
        <v>7</v>
      </c>
      <c r="X1167">
        <v>0</v>
      </c>
      <c r="Y1167">
        <v>2</v>
      </c>
      <c r="Z1167" t="s">
        <v>1550</v>
      </c>
      <c r="AA1167" t="s">
        <v>69</v>
      </c>
      <c r="AB1167" t="str" cm="1">
        <f t="array" ref="AB1167">_xlfn.IFS(cleaned_data[[#This Row],[YearsAtCompany]]&lt;=5, "0-5",cleaned_data[[#This Row],[YearsAtCompany]]&lt;=10,"6-10",TRUE,"10+")</f>
        <v>6-10</v>
      </c>
    </row>
    <row r="1168" spans="1:28" x14ac:dyDescent="0.3">
      <c r="A1168" s="2">
        <v>48</v>
      </c>
      <c r="B1168" t="s">
        <v>43</v>
      </c>
      <c r="C1168">
        <v>0</v>
      </c>
      <c r="D1168" t="s">
        <v>44</v>
      </c>
      <c r="E1168" t="s">
        <v>45</v>
      </c>
      <c r="F1168">
        <v>4</v>
      </c>
      <c r="G1168" t="s">
        <v>51</v>
      </c>
      <c r="H1168" t="s">
        <v>1238</v>
      </c>
      <c r="I1168">
        <v>3</v>
      </c>
      <c r="J1168" t="s">
        <v>46</v>
      </c>
      <c r="K1168">
        <v>2</v>
      </c>
      <c r="L1168">
        <v>4</v>
      </c>
      <c r="M1168" t="s">
        <v>56</v>
      </c>
      <c r="N1168">
        <v>4</v>
      </c>
      <c r="O1168" t="s">
        <v>48</v>
      </c>
      <c r="P1168" s="1">
        <v>15202</v>
      </c>
      <c r="Q1168" t="s">
        <v>90</v>
      </c>
      <c r="R1168" t="s">
        <v>43</v>
      </c>
      <c r="S1168">
        <v>4</v>
      </c>
      <c r="T1168">
        <v>23</v>
      </c>
      <c r="U1168">
        <v>3</v>
      </c>
      <c r="V1168">
        <v>2</v>
      </c>
      <c r="W1168">
        <v>2</v>
      </c>
      <c r="X1168">
        <v>2</v>
      </c>
      <c r="Y1168">
        <v>2</v>
      </c>
      <c r="Z1168" t="s">
        <v>106</v>
      </c>
      <c r="AA1168" t="s">
        <v>82</v>
      </c>
      <c r="AB1168" t="str" cm="1">
        <f t="array" ref="AB1168">_xlfn.IFS(cleaned_data[[#This Row],[YearsAtCompany]]&lt;=5, "0-5",cleaned_data[[#This Row],[YearsAtCompany]]&lt;=10,"6-10",TRUE,"10+")</f>
        <v>0-5</v>
      </c>
    </row>
    <row r="1169" spans="1:28" x14ac:dyDescent="0.3">
      <c r="A1169" s="2">
        <v>35</v>
      </c>
      <c r="B1169" t="s">
        <v>35</v>
      </c>
      <c r="C1169">
        <v>1</v>
      </c>
      <c r="D1169" t="s">
        <v>36</v>
      </c>
      <c r="E1169" t="s">
        <v>37</v>
      </c>
      <c r="F1169">
        <v>15</v>
      </c>
      <c r="G1169" t="s">
        <v>51</v>
      </c>
      <c r="H1169" t="s">
        <v>1239</v>
      </c>
      <c r="I1169">
        <v>1</v>
      </c>
      <c r="J1169" t="s">
        <v>46</v>
      </c>
      <c r="K1169">
        <v>1</v>
      </c>
      <c r="L1169">
        <v>2</v>
      </c>
      <c r="M1169" t="s">
        <v>40</v>
      </c>
      <c r="N1169">
        <v>4</v>
      </c>
      <c r="O1169" t="s">
        <v>52</v>
      </c>
      <c r="P1169" s="1">
        <v>5440</v>
      </c>
      <c r="Q1169" t="s">
        <v>67</v>
      </c>
      <c r="R1169" t="s">
        <v>35</v>
      </c>
      <c r="S1169">
        <v>3</v>
      </c>
      <c r="T1169">
        <v>7</v>
      </c>
      <c r="U1169">
        <v>2</v>
      </c>
      <c r="V1169">
        <v>2</v>
      </c>
      <c r="W1169">
        <v>2</v>
      </c>
      <c r="X1169">
        <v>2</v>
      </c>
      <c r="Y1169">
        <v>2</v>
      </c>
      <c r="Z1169" t="s">
        <v>1551</v>
      </c>
      <c r="AA1169" t="s">
        <v>69</v>
      </c>
      <c r="AB1169" t="str" cm="1">
        <f t="array" ref="AB1169">_xlfn.IFS(cleaned_data[[#This Row],[YearsAtCompany]]&lt;=5, "0-5",cleaned_data[[#This Row],[YearsAtCompany]]&lt;=10,"6-10",TRUE,"10+")</f>
        <v>0-5</v>
      </c>
    </row>
    <row r="1170" spans="1:28" x14ac:dyDescent="0.3">
      <c r="A1170" s="2">
        <v>24</v>
      </c>
      <c r="B1170" t="s">
        <v>43</v>
      </c>
      <c r="C1170">
        <v>0</v>
      </c>
      <c r="D1170" t="s">
        <v>44</v>
      </c>
      <c r="E1170" t="s">
        <v>45</v>
      </c>
      <c r="F1170">
        <v>2</v>
      </c>
      <c r="G1170" t="s">
        <v>60</v>
      </c>
      <c r="H1170" t="s">
        <v>1240</v>
      </c>
      <c r="I1170">
        <v>1</v>
      </c>
      <c r="J1170" t="s">
        <v>39</v>
      </c>
      <c r="K1170">
        <v>3</v>
      </c>
      <c r="L1170">
        <v>1</v>
      </c>
      <c r="M1170" t="s">
        <v>47</v>
      </c>
      <c r="N1170">
        <v>4</v>
      </c>
      <c r="O1170" t="s">
        <v>41</v>
      </c>
      <c r="P1170" s="1">
        <v>3760</v>
      </c>
      <c r="Q1170" t="s">
        <v>72</v>
      </c>
      <c r="R1170" t="s">
        <v>35</v>
      </c>
      <c r="S1170">
        <v>3</v>
      </c>
      <c r="T1170">
        <v>6</v>
      </c>
      <c r="U1170">
        <v>3</v>
      </c>
      <c r="V1170">
        <v>6</v>
      </c>
      <c r="W1170">
        <v>3</v>
      </c>
      <c r="X1170">
        <v>1</v>
      </c>
      <c r="Y1170">
        <v>3</v>
      </c>
      <c r="Z1170" t="s">
        <v>68</v>
      </c>
      <c r="AA1170" t="s">
        <v>69</v>
      </c>
      <c r="AB1170" t="str" cm="1">
        <f t="array" ref="AB1170">_xlfn.IFS(cleaned_data[[#This Row],[YearsAtCompany]]&lt;=5, "0-5",cleaned_data[[#This Row],[YearsAtCompany]]&lt;=10,"6-10",TRUE,"10+")</f>
        <v>6-10</v>
      </c>
    </row>
    <row r="1171" spans="1:28" x14ac:dyDescent="0.3">
      <c r="A1171" s="2">
        <v>27</v>
      </c>
      <c r="B1171" t="s">
        <v>43</v>
      </c>
      <c r="C1171">
        <v>0</v>
      </c>
      <c r="D1171" t="s">
        <v>36</v>
      </c>
      <c r="E1171" t="s">
        <v>45</v>
      </c>
      <c r="F1171">
        <v>8</v>
      </c>
      <c r="G1171" t="s">
        <v>51</v>
      </c>
      <c r="H1171" t="s">
        <v>1241</v>
      </c>
      <c r="I1171">
        <v>2</v>
      </c>
      <c r="J1171" t="s">
        <v>39</v>
      </c>
      <c r="K1171">
        <v>4</v>
      </c>
      <c r="L1171">
        <v>1</v>
      </c>
      <c r="M1171" t="s">
        <v>47</v>
      </c>
      <c r="N1171">
        <v>3</v>
      </c>
      <c r="O1171" t="s">
        <v>48</v>
      </c>
      <c r="P1171" s="1">
        <v>3517</v>
      </c>
      <c r="Q1171" t="s">
        <v>72</v>
      </c>
      <c r="R1171" t="s">
        <v>43</v>
      </c>
      <c r="S1171">
        <v>3</v>
      </c>
      <c r="T1171">
        <v>5</v>
      </c>
      <c r="U1171">
        <v>3</v>
      </c>
      <c r="V1171">
        <v>3</v>
      </c>
      <c r="W1171">
        <v>2</v>
      </c>
      <c r="X1171">
        <v>0</v>
      </c>
      <c r="Y1171">
        <v>2</v>
      </c>
      <c r="Z1171" t="s">
        <v>1551</v>
      </c>
      <c r="AA1171" t="s">
        <v>78</v>
      </c>
      <c r="AB1171" t="str" cm="1">
        <f t="array" ref="AB1171">_xlfn.IFS(cleaned_data[[#This Row],[YearsAtCompany]]&lt;=5, "0-5",cleaned_data[[#This Row],[YearsAtCompany]]&lt;=10,"6-10",TRUE,"10+")</f>
        <v>0-5</v>
      </c>
    </row>
    <row r="1172" spans="1:28" x14ac:dyDescent="0.3">
      <c r="A1172" s="2">
        <v>27</v>
      </c>
      <c r="B1172" t="s">
        <v>43</v>
      </c>
      <c r="C1172">
        <v>0</v>
      </c>
      <c r="D1172" t="s">
        <v>44</v>
      </c>
      <c r="E1172" t="s">
        <v>45</v>
      </c>
      <c r="F1172">
        <v>2</v>
      </c>
      <c r="G1172" t="s">
        <v>51</v>
      </c>
      <c r="H1172" t="s">
        <v>1242</v>
      </c>
      <c r="I1172">
        <v>4</v>
      </c>
      <c r="J1172" t="s">
        <v>46</v>
      </c>
      <c r="K1172">
        <v>3</v>
      </c>
      <c r="L1172">
        <v>1</v>
      </c>
      <c r="M1172" t="s">
        <v>47</v>
      </c>
      <c r="N1172">
        <v>4</v>
      </c>
      <c r="O1172" t="s">
        <v>41</v>
      </c>
      <c r="P1172" s="1">
        <v>2580</v>
      </c>
      <c r="Q1172" t="s">
        <v>72</v>
      </c>
      <c r="R1172" t="s">
        <v>43</v>
      </c>
      <c r="S1172">
        <v>3</v>
      </c>
      <c r="T1172">
        <v>6</v>
      </c>
      <c r="U1172">
        <v>2</v>
      </c>
      <c r="V1172">
        <v>4</v>
      </c>
      <c r="W1172">
        <v>2</v>
      </c>
      <c r="X1172">
        <v>1</v>
      </c>
      <c r="Y1172">
        <v>2</v>
      </c>
      <c r="Z1172" t="s">
        <v>1551</v>
      </c>
      <c r="AA1172" t="s">
        <v>69</v>
      </c>
      <c r="AB1172" t="str" cm="1">
        <f t="array" ref="AB1172">_xlfn.IFS(cleaned_data[[#This Row],[YearsAtCompany]]&lt;=5, "0-5",cleaned_data[[#This Row],[YearsAtCompany]]&lt;=10,"6-10",TRUE,"10+")</f>
        <v>0-5</v>
      </c>
    </row>
    <row r="1173" spans="1:28" x14ac:dyDescent="0.3">
      <c r="A1173" s="2">
        <v>40</v>
      </c>
      <c r="B1173" t="s">
        <v>35</v>
      </c>
      <c r="C1173">
        <v>1</v>
      </c>
      <c r="D1173" t="s">
        <v>36</v>
      </c>
      <c r="E1173" t="s">
        <v>45</v>
      </c>
      <c r="F1173">
        <v>7</v>
      </c>
      <c r="G1173" t="s">
        <v>38</v>
      </c>
      <c r="H1173" t="s">
        <v>1243</v>
      </c>
      <c r="I1173">
        <v>1</v>
      </c>
      <c r="J1173" t="s">
        <v>46</v>
      </c>
      <c r="K1173">
        <v>3</v>
      </c>
      <c r="L1173">
        <v>1</v>
      </c>
      <c r="M1173" t="s">
        <v>50</v>
      </c>
      <c r="N1173">
        <v>1</v>
      </c>
      <c r="O1173" t="s">
        <v>41</v>
      </c>
      <c r="P1173" s="6">
        <v>2166</v>
      </c>
      <c r="Q1173" t="s">
        <v>72</v>
      </c>
      <c r="R1173" t="s">
        <v>35</v>
      </c>
      <c r="S1173">
        <v>3</v>
      </c>
      <c r="T1173">
        <v>10</v>
      </c>
      <c r="U1173">
        <v>1</v>
      </c>
      <c r="V1173">
        <v>4</v>
      </c>
      <c r="W1173">
        <v>2</v>
      </c>
      <c r="X1173">
        <v>0</v>
      </c>
      <c r="Y1173">
        <v>3</v>
      </c>
      <c r="Z1173" t="s">
        <v>1550</v>
      </c>
      <c r="AA1173" t="s">
        <v>69</v>
      </c>
      <c r="AB1173" t="str" cm="1">
        <f t="array" ref="AB1173">_xlfn.IFS(cleaned_data[[#This Row],[YearsAtCompany]]&lt;=5, "0-5",cleaned_data[[#This Row],[YearsAtCompany]]&lt;=10,"6-10",TRUE,"10+")</f>
        <v>0-5</v>
      </c>
    </row>
    <row r="1174" spans="1:28" x14ac:dyDescent="0.3">
      <c r="A1174" s="2">
        <v>29</v>
      </c>
      <c r="B1174" t="s">
        <v>43</v>
      </c>
      <c r="C1174">
        <v>0</v>
      </c>
      <c r="D1174" t="s">
        <v>36</v>
      </c>
      <c r="E1174" t="s">
        <v>37</v>
      </c>
      <c r="F1174">
        <v>10</v>
      </c>
      <c r="G1174" t="s">
        <v>51</v>
      </c>
      <c r="H1174" t="s">
        <v>1244</v>
      </c>
      <c r="I1174">
        <v>3</v>
      </c>
      <c r="J1174" t="s">
        <v>46</v>
      </c>
      <c r="K1174">
        <v>2</v>
      </c>
      <c r="L1174">
        <v>2</v>
      </c>
      <c r="M1174" t="s">
        <v>40</v>
      </c>
      <c r="N1174">
        <v>3</v>
      </c>
      <c r="O1174" t="s">
        <v>41</v>
      </c>
      <c r="P1174" s="1">
        <v>5869</v>
      </c>
      <c r="Q1174" t="s">
        <v>67</v>
      </c>
      <c r="R1174" t="s">
        <v>43</v>
      </c>
      <c r="S1174">
        <v>3</v>
      </c>
      <c r="T1174">
        <v>8</v>
      </c>
      <c r="U1174">
        <v>3</v>
      </c>
      <c r="V1174">
        <v>5</v>
      </c>
      <c r="W1174">
        <v>2</v>
      </c>
      <c r="X1174">
        <v>1</v>
      </c>
      <c r="Y1174">
        <v>4</v>
      </c>
      <c r="Z1174" t="s">
        <v>1551</v>
      </c>
      <c r="AA1174" t="s">
        <v>69</v>
      </c>
      <c r="AB1174" t="str" cm="1">
        <f t="array" ref="AB1174">_xlfn.IFS(cleaned_data[[#This Row],[YearsAtCompany]]&lt;=5, "0-5",cleaned_data[[#This Row],[YearsAtCompany]]&lt;=10,"6-10",TRUE,"10+")</f>
        <v>0-5</v>
      </c>
    </row>
    <row r="1175" spans="1:28" x14ac:dyDescent="0.3">
      <c r="A1175" s="2">
        <v>36</v>
      </c>
      <c r="B1175" t="s">
        <v>43</v>
      </c>
      <c r="C1175">
        <v>0</v>
      </c>
      <c r="D1175" t="s">
        <v>36</v>
      </c>
      <c r="E1175" t="s">
        <v>45</v>
      </c>
      <c r="F1175">
        <v>5</v>
      </c>
      <c r="G1175" t="s">
        <v>38</v>
      </c>
      <c r="H1175" t="s">
        <v>1245</v>
      </c>
      <c r="I1175">
        <v>2</v>
      </c>
      <c r="J1175" t="s">
        <v>39</v>
      </c>
      <c r="K1175">
        <v>3</v>
      </c>
      <c r="L1175">
        <v>3</v>
      </c>
      <c r="M1175" t="s">
        <v>54</v>
      </c>
      <c r="N1175">
        <v>1</v>
      </c>
      <c r="O1175" t="s">
        <v>48</v>
      </c>
      <c r="P1175" s="6">
        <v>8008</v>
      </c>
      <c r="Q1175" t="s">
        <v>67</v>
      </c>
      <c r="R1175" t="s">
        <v>43</v>
      </c>
      <c r="S1175">
        <v>3</v>
      </c>
      <c r="T1175">
        <v>9</v>
      </c>
      <c r="U1175">
        <v>3</v>
      </c>
      <c r="V1175">
        <v>3</v>
      </c>
      <c r="W1175">
        <v>2</v>
      </c>
      <c r="X1175">
        <v>0</v>
      </c>
      <c r="Y1175">
        <v>2</v>
      </c>
      <c r="Z1175" t="s">
        <v>1550</v>
      </c>
      <c r="AA1175" t="s">
        <v>69</v>
      </c>
      <c r="AB1175" t="str" cm="1">
        <f t="array" ref="AB1175">_xlfn.IFS(cleaned_data[[#This Row],[YearsAtCompany]]&lt;=5, "0-5",cleaned_data[[#This Row],[YearsAtCompany]]&lt;=10,"6-10",TRUE,"10+")</f>
        <v>0-5</v>
      </c>
    </row>
    <row r="1176" spans="1:28" x14ac:dyDescent="0.3">
      <c r="A1176" s="2">
        <v>25</v>
      </c>
      <c r="B1176" t="s">
        <v>43</v>
      </c>
      <c r="C1176">
        <v>0</v>
      </c>
      <c r="D1176" t="s">
        <v>44</v>
      </c>
      <c r="E1176" t="s">
        <v>45</v>
      </c>
      <c r="F1176">
        <v>2</v>
      </c>
      <c r="G1176" t="s">
        <v>38</v>
      </c>
      <c r="H1176" t="s">
        <v>1246</v>
      </c>
      <c r="I1176">
        <v>4</v>
      </c>
      <c r="J1176" t="s">
        <v>46</v>
      </c>
      <c r="K1176">
        <v>4</v>
      </c>
      <c r="L1176">
        <v>2</v>
      </c>
      <c r="M1176" t="s">
        <v>53</v>
      </c>
      <c r="N1176">
        <v>3</v>
      </c>
      <c r="O1176" t="s">
        <v>52</v>
      </c>
      <c r="P1176" s="1">
        <v>5206</v>
      </c>
      <c r="Q1176" t="s">
        <v>67</v>
      </c>
      <c r="R1176" t="s">
        <v>43</v>
      </c>
      <c r="S1176">
        <v>3</v>
      </c>
      <c r="T1176">
        <v>7</v>
      </c>
      <c r="U1176">
        <v>3</v>
      </c>
      <c r="V1176">
        <v>7</v>
      </c>
      <c r="W1176">
        <v>7</v>
      </c>
      <c r="X1176">
        <v>0</v>
      </c>
      <c r="Y1176">
        <v>7</v>
      </c>
      <c r="Z1176" t="s">
        <v>68</v>
      </c>
      <c r="AA1176" t="s">
        <v>69</v>
      </c>
      <c r="AB1176" t="str" cm="1">
        <f t="array" ref="AB1176">_xlfn.IFS(cleaned_data[[#This Row],[YearsAtCompany]]&lt;=5, "0-5",cleaned_data[[#This Row],[YearsAtCompany]]&lt;=10,"6-10",TRUE,"10+")</f>
        <v>6-10</v>
      </c>
    </row>
    <row r="1177" spans="1:28" x14ac:dyDescent="0.3">
      <c r="A1177" s="2">
        <v>39</v>
      </c>
      <c r="B1177" t="s">
        <v>43</v>
      </c>
      <c r="C1177">
        <v>0</v>
      </c>
      <c r="D1177" t="s">
        <v>36</v>
      </c>
      <c r="E1177" t="s">
        <v>45</v>
      </c>
      <c r="F1177">
        <v>12</v>
      </c>
      <c r="G1177" t="s">
        <v>51</v>
      </c>
      <c r="H1177" t="s">
        <v>1247</v>
      </c>
      <c r="I1177">
        <v>4</v>
      </c>
      <c r="J1177" t="s">
        <v>46</v>
      </c>
      <c r="K1177">
        <v>3</v>
      </c>
      <c r="L1177">
        <v>2</v>
      </c>
      <c r="M1177" t="s">
        <v>53</v>
      </c>
      <c r="N1177">
        <v>2</v>
      </c>
      <c r="O1177" t="s">
        <v>48</v>
      </c>
      <c r="P1177" s="1">
        <v>5295</v>
      </c>
      <c r="Q1177" t="s">
        <v>67</v>
      </c>
      <c r="R1177" t="s">
        <v>43</v>
      </c>
      <c r="S1177">
        <v>4</v>
      </c>
      <c r="T1177">
        <v>7</v>
      </c>
      <c r="U1177">
        <v>3</v>
      </c>
      <c r="V1177">
        <v>5</v>
      </c>
      <c r="W1177">
        <v>4</v>
      </c>
      <c r="X1177">
        <v>1</v>
      </c>
      <c r="Y1177">
        <v>0</v>
      </c>
      <c r="Z1177" t="s">
        <v>1550</v>
      </c>
      <c r="AA1177" t="s">
        <v>69</v>
      </c>
      <c r="AB1177" t="str" cm="1">
        <f t="array" ref="AB1177">_xlfn.IFS(cleaned_data[[#This Row],[YearsAtCompany]]&lt;=5, "0-5",cleaned_data[[#This Row],[YearsAtCompany]]&lt;=10,"6-10",TRUE,"10+")</f>
        <v>0-5</v>
      </c>
    </row>
    <row r="1178" spans="1:28" x14ac:dyDescent="0.3">
      <c r="A1178" s="2">
        <v>49</v>
      </c>
      <c r="B1178" t="s">
        <v>43</v>
      </c>
      <c r="C1178">
        <v>0</v>
      </c>
      <c r="D1178" t="s">
        <v>36</v>
      </c>
      <c r="E1178" t="s">
        <v>45</v>
      </c>
      <c r="F1178">
        <v>22</v>
      </c>
      <c r="G1178" t="s">
        <v>49</v>
      </c>
      <c r="H1178" t="s">
        <v>1248</v>
      </c>
      <c r="I1178">
        <v>1</v>
      </c>
      <c r="J1178" t="s">
        <v>39</v>
      </c>
      <c r="K1178">
        <v>3</v>
      </c>
      <c r="L1178">
        <v>4</v>
      </c>
      <c r="M1178" t="s">
        <v>58</v>
      </c>
      <c r="N1178">
        <v>2</v>
      </c>
      <c r="O1178" t="s">
        <v>48</v>
      </c>
      <c r="P1178" s="1">
        <v>16413</v>
      </c>
      <c r="Q1178" t="s">
        <v>90</v>
      </c>
      <c r="R1178" t="s">
        <v>43</v>
      </c>
      <c r="S1178">
        <v>3</v>
      </c>
      <c r="T1178">
        <v>27</v>
      </c>
      <c r="U1178">
        <v>3</v>
      </c>
      <c r="V1178">
        <v>4</v>
      </c>
      <c r="W1178">
        <v>2</v>
      </c>
      <c r="X1178">
        <v>1</v>
      </c>
      <c r="Y1178">
        <v>2</v>
      </c>
      <c r="Z1178" t="s">
        <v>106</v>
      </c>
      <c r="AA1178" t="s">
        <v>82</v>
      </c>
      <c r="AB1178" t="str" cm="1">
        <f t="array" ref="AB1178">_xlfn.IFS(cleaned_data[[#This Row],[YearsAtCompany]]&lt;=5, "0-5",cleaned_data[[#This Row],[YearsAtCompany]]&lt;=10,"6-10",TRUE,"10+")</f>
        <v>0-5</v>
      </c>
    </row>
    <row r="1179" spans="1:28" x14ac:dyDescent="0.3">
      <c r="A1179" s="2">
        <v>50</v>
      </c>
      <c r="B1179" t="s">
        <v>43</v>
      </c>
      <c r="C1179">
        <v>0</v>
      </c>
      <c r="D1179" t="s">
        <v>36</v>
      </c>
      <c r="E1179" t="s">
        <v>45</v>
      </c>
      <c r="F1179">
        <v>17</v>
      </c>
      <c r="G1179" t="s">
        <v>38</v>
      </c>
      <c r="H1179" t="s">
        <v>1249</v>
      </c>
      <c r="I1179">
        <v>4</v>
      </c>
      <c r="J1179" t="s">
        <v>39</v>
      </c>
      <c r="K1179">
        <v>2</v>
      </c>
      <c r="L1179">
        <v>3</v>
      </c>
      <c r="M1179" t="s">
        <v>58</v>
      </c>
      <c r="N1179">
        <v>1</v>
      </c>
      <c r="O1179" t="s">
        <v>52</v>
      </c>
      <c r="P1179" s="6">
        <v>13269</v>
      </c>
      <c r="Q1179" t="s">
        <v>90</v>
      </c>
      <c r="R1179" t="s">
        <v>43</v>
      </c>
      <c r="S1179">
        <v>3</v>
      </c>
      <c r="T1179">
        <v>19</v>
      </c>
      <c r="U1179">
        <v>3</v>
      </c>
      <c r="V1179">
        <v>14</v>
      </c>
      <c r="W1179">
        <v>11</v>
      </c>
      <c r="X1179">
        <v>1</v>
      </c>
      <c r="Y1179">
        <v>11</v>
      </c>
      <c r="Z1179" t="s">
        <v>106</v>
      </c>
      <c r="AA1179" t="s">
        <v>82</v>
      </c>
      <c r="AB1179" t="str" cm="1">
        <f t="array" ref="AB1179">_xlfn.IFS(cleaned_data[[#This Row],[YearsAtCompany]]&lt;=5, "0-5",cleaned_data[[#This Row],[YearsAtCompany]]&lt;=10,"6-10",TRUE,"10+")</f>
        <v>10+</v>
      </c>
    </row>
    <row r="1180" spans="1:28" x14ac:dyDescent="0.3">
      <c r="A1180" s="2">
        <v>20</v>
      </c>
      <c r="B1180" t="s">
        <v>43</v>
      </c>
      <c r="C1180">
        <v>0</v>
      </c>
      <c r="D1180" t="s">
        <v>36</v>
      </c>
      <c r="E1180" t="s">
        <v>37</v>
      </c>
      <c r="F1180">
        <v>2</v>
      </c>
      <c r="G1180" t="s">
        <v>51</v>
      </c>
      <c r="H1180" t="s">
        <v>1250</v>
      </c>
      <c r="I1180">
        <v>3</v>
      </c>
      <c r="J1180" t="s">
        <v>39</v>
      </c>
      <c r="K1180">
        <v>3</v>
      </c>
      <c r="L1180">
        <v>1</v>
      </c>
      <c r="M1180" t="s">
        <v>57</v>
      </c>
      <c r="N1180">
        <v>3</v>
      </c>
      <c r="O1180" t="s">
        <v>41</v>
      </c>
      <c r="P1180" s="1">
        <v>2783</v>
      </c>
      <c r="Q1180" t="s">
        <v>72</v>
      </c>
      <c r="R1180" t="s">
        <v>43</v>
      </c>
      <c r="S1180">
        <v>3</v>
      </c>
      <c r="T1180">
        <v>2</v>
      </c>
      <c r="U1180">
        <v>3</v>
      </c>
      <c r="V1180">
        <v>2</v>
      </c>
      <c r="W1180">
        <v>2</v>
      </c>
      <c r="X1180">
        <v>2</v>
      </c>
      <c r="Y1180">
        <v>2</v>
      </c>
      <c r="Z1180" t="s">
        <v>68</v>
      </c>
      <c r="AA1180" t="s">
        <v>78</v>
      </c>
      <c r="AB1180" t="str" cm="1">
        <f t="array" ref="AB1180">_xlfn.IFS(cleaned_data[[#This Row],[YearsAtCompany]]&lt;=5, "0-5",cleaned_data[[#This Row],[YearsAtCompany]]&lt;=10,"6-10",TRUE,"10+")</f>
        <v>0-5</v>
      </c>
    </row>
    <row r="1181" spans="1:28" x14ac:dyDescent="0.3">
      <c r="A1181" s="2">
        <v>34</v>
      </c>
      <c r="B1181" t="s">
        <v>43</v>
      </c>
      <c r="C1181">
        <v>0</v>
      </c>
      <c r="D1181" t="s">
        <v>36</v>
      </c>
      <c r="E1181" t="s">
        <v>45</v>
      </c>
      <c r="F1181">
        <v>3</v>
      </c>
      <c r="G1181" t="s">
        <v>38</v>
      </c>
      <c r="H1181" t="s">
        <v>1251</v>
      </c>
      <c r="I1181">
        <v>4</v>
      </c>
      <c r="J1181" t="s">
        <v>39</v>
      </c>
      <c r="K1181">
        <v>3</v>
      </c>
      <c r="L1181">
        <v>2</v>
      </c>
      <c r="M1181" t="s">
        <v>47</v>
      </c>
      <c r="N1181">
        <v>2</v>
      </c>
      <c r="O1181" t="s">
        <v>52</v>
      </c>
      <c r="P1181" s="1">
        <v>5433</v>
      </c>
      <c r="Q1181" t="s">
        <v>67</v>
      </c>
      <c r="R1181" t="s">
        <v>43</v>
      </c>
      <c r="S1181">
        <v>3</v>
      </c>
      <c r="T1181">
        <v>11</v>
      </c>
      <c r="U1181">
        <v>3</v>
      </c>
      <c r="V1181">
        <v>11</v>
      </c>
      <c r="W1181">
        <v>8</v>
      </c>
      <c r="X1181">
        <v>7</v>
      </c>
      <c r="Y1181">
        <v>9</v>
      </c>
      <c r="Z1181" t="s">
        <v>1551</v>
      </c>
      <c r="AA1181" t="s">
        <v>69</v>
      </c>
      <c r="AB1181" t="str" cm="1">
        <f t="array" ref="AB1181">_xlfn.IFS(cleaned_data[[#This Row],[YearsAtCompany]]&lt;=5, "0-5",cleaned_data[[#This Row],[YearsAtCompany]]&lt;=10,"6-10",TRUE,"10+")</f>
        <v>10+</v>
      </c>
    </row>
    <row r="1182" spans="1:28" x14ac:dyDescent="0.3">
      <c r="A1182" s="2">
        <v>36</v>
      </c>
      <c r="B1182" t="s">
        <v>43</v>
      </c>
      <c r="C1182">
        <v>0</v>
      </c>
      <c r="D1182" t="s">
        <v>36</v>
      </c>
      <c r="E1182" t="s">
        <v>45</v>
      </c>
      <c r="F1182">
        <v>7</v>
      </c>
      <c r="G1182" t="s">
        <v>38</v>
      </c>
      <c r="H1182" t="s">
        <v>1252</v>
      </c>
      <c r="I1182">
        <v>1</v>
      </c>
      <c r="J1182" t="s">
        <v>46</v>
      </c>
      <c r="K1182">
        <v>3</v>
      </c>
      <c r="L1182">
        <v>1</v>
      </c>
      <c r="M1182" t="s">
        <v>50</v>
      </c>
      <c r="N1182">
        <v>2</v>
      </c>
      <c r="O1182" t="s">
        <v>41</v>
      </c>
      <c r="P1182" s="1">
        <v>2013</v>
      </c>
      <c r="Q1182" t="s">
        <v>72</v>
      </c>
      <c r="R1182" t="s">
        <v>43</v>
      </c>
      <c r="S1182">
        <v>3</v>
      </c>
      <c r="T1182">
        <v>15</v>
      </c>
      <c r="U1182">
        <v>3</v>
      </c>
      <c r="V1182">
        <v>4</v>
      </c>
      <c r="W1182">
        <v>3</v>
      </c>
      <c r="X1182">
        <v>1</v>
      </c>
      <c r="Y1182">
        <v>3</v>
      </c>
      <c r="Z1182" t="s">
        <v>1550</v>
      </c>
      <c r="AA1182" t="s">
        <v>69</v>
      </c>
      <c r="AB1182" t="str" cm="1">
        <f t="array" ref="AB1182">_xlfn.IFS(cleaned_data[[#This Row],[YearsAtCompany]]&lt;=5, "0-5",cleaned_data[[#This Row],[YearsAtCompany]]&lt;=10,"6-10",TRUE,"10+")</f>
        <v>0-5</v>
      </c>
    </row>
    <row r="1183" spans="1:28" x14ac:dyDescent="0.3">
      <c r="A1183" s="2">
        <v>49</v>
      </c>
      <c r="B1183" t="s">
        <v>43</v>
      </c>
      <c r="C1183">
        <v>0</v>
      </c>
      <c r="D1183" t="s">
        <v>36</v>
      </c>
      <c r="E1183" t="s">
        <v>45</v>
      </c>
      <c r="F1183">
        <v>6</v>
      </c>
      <c r="G1183" t="s">
        <v>38</v>
      </c>
      <c r="H1183" t="s">
        <v>1253</v>
      </c>
      <c r="I1183">
        <v>3</v>
      </c>
      <c r="J1183" t="s">
        <v>39</v>
      </c>
      <c r="K1183">
        <v>2</v>
      </c>
      <c r="L1183">
        <v>4</v>
      </c>
      <c r="M1183" t="s">
        <v>54</v>
      </c>
      <c r="N1183">
        <v>3</v>
      </c>
      <c r="O1183" t="s">
        <v>48</v>
      </c>
      <c r="P1183" s="1">
        <v>13966</v>
      </c>
      <c r="Q1183" t="s">
        <v>90</v>
      </c>
      <c r="R1183" t="s">
        <v>35</v>
      </c>
      <c r="S1183">
        <v>3</v>
      </c>
      <c r="T1183">
        <v>30</v>
      </c>
      <c r="U1183">
        <v>3</v>
      </c>
      <c r="V1183">
        <v>15</v>
      </c>
      <c r="W1183">
        <v>11</v>
      </c>
      <c r="X1183">
        <v>2</v>
      </c>
      <c r="Y1183">
        <v>12</v>
      </c>
      <c r="Z1183" t="s">
        <v>106</v>
      </c>
      <c r="AA1183" t="s">
        <v>82</v>
      </c>
      <c r="AB1183" t="str" cm="1">
        <f t="array" ref="AB1183">_xlfn.IFS(cleaned_data[[#This Row],[YearsAtCompany]]&lt;=5, "0-5",cleaned_data[[#This Row],[YearsAtCompany]]&lt;=10,"6-10",TRUE,"10+")</f>
        <v>10+</v>
      </c>
    </row>
    <row r="1184" spans="1:28" x14ac:dyDescent="0.3">
      <c r="A1184" s="2">
        <v>36</v>
      </c>
      <c r="B1184" t="s">
        <v>43</v>
      </c>
      <c r="C1184">
        <v>0</v>
      </c>
      <c r="D1184" t="s">
        <v>55</v>
      </c>
      <c r="E1184" t="s">
        <v>45</v>
      </c>
      <c r="F1184">
        <v>1</v>
      </c>
      <c r="G1184" t="s">
        <v>51</v>
      </c>
      <c r="H1184" t="s">
        <v>1254</v>
      </c>
      <c r="I1184">
        <v>4</v>
      </c>
      <c r="J1184" t="s">
        <v>39</v>
      </c>
      <c r="K1184">
        <v>2</v>
      </c>
      <c r="L1184">
        <v>2</v>
      </c>
      <c r="M1184" t="s">
        <v>53</v>
      </c>
      <c r="N1184">
        <v>3</v>
      </c>
      <c r="O1184" t="s">
        <v>48</v>
      </c>
      <c r="P1184" s="1">
        <v>4374</v>
      </c>
      <c r="Q1184" t="s">
        <v>72</v>
      </c>
      <c r="R1184" t="s">
        <v>43</v>
      </c>
      <c r="S1184">
        <v>3</v>
      </c>
      <c r="T1184">
        <v>4</v>
      </c>
      <c r="U1184">
        <v>3</v>
      </c>
      <c r="V1184">
        <v>3</v>
      </c>
      <c r="W1184">
        <v>2</v>
      </c>
      <c r="X1184">
        <v>1</v>
      </c>
      <c r="Y1184">
        <v>2</v>
      </c>
      <c r="Z1184" t="s">
        <v>1550</v>
      </c>
      <c r="AA1184" t="s">
        <v>78</v>
      </c>
      <c r="AB1184" t="str" cm="1">
        <f t="array" ref="AB1184">_xlfn.IFS(cleaned_data[[#This Row],[YearsAtCompany]]&lt;=5, "0-5",cleaned_data[[#This Row],[YearsAtCompany]]&lt;=10,"6-10",TRUE,"10+")</f>
        <v>0-5</v>
      </c>
    </row>
    <row r="1185" spans="1:28" x14ac:dyDescent="0.3">
      <c r="A1185" s="2">
        <v>36</v>
      </c>
      <c r="B1185" t="s">
        <v>43</v>
      </c>
      <c r="C1185">
        <v>0</v>
      </c>
      <c r="D1185" t="s">
        <v>36</v>
      </c>
      <c r="E1185" t="s">
        <v>45</v>
      </c>
      <c r="F1185">
        <v>3</v>
      </c>
      <c r="G1185" t="s">
        <v>38</v>
      </c>
      <c r="H1185" t="s">
        <v>1255</v>
      </c>
      <c r="I1185">
        <v>4</v>
      </c>
      <c r="J1185" t="s">
        <v>46</v>
      </c>
      <c r="K1185">
        <v>4</v>
      </c>
      <c r="L1185">
        <v>2</v>
      </c>
      <c r="M1185" t="s">
        <v>54</v>
      </c>
      <c r="N1185">
        <v>1</v>
      </c>
      <c r="O1185" t="s">
        <v>52</v>
      </c>
      <c r="P1185" s="6">
        <v>6842</v>
      </c>
      <c r="Q1185" t="s">
        <v>67</v>
      </c>
      <c r="R1185" t="s">
        <v>43</v>
      </c>
      <c r="S1185">
        <v>4</v>
      </c>
      <c r="T1185">
        <v>13</v>
      </c>
      <c r="U1185">
        <v>3</v>
      </c>
      <c r="V1185">
        <v>5</v>
      </c>
      <c r="W1185">
        <v>4</v>
      </c>
      <c r="X1185">
        <v>0</v>
      </c>
      <c r="Y1185">
        <v>4</v>
      </c>
      <c r="Z1185" t="s">
        <v>1550</v>
      </c>
      <c r="AA1185" t="s">
        <v>69</v>
      </c>
      <c r="AB1185" t="str" cm="1">
        <f t="array" ref="AB1185">_xlfn.IFS(cleaned_data[[#This Row],[YearsAtCompany]]&lt;=5, "0-5",cleaned_data[[#This Row],[YearsAtCompany]]&lt;=10,"6-10",TRUE,"10+")</f>
        <v>0-5</v>
      </c>
    </row>
    <row r="1186" spans="1:28" x14ac:dyDescent="0.3">
      <c r="A1186" s="2">
        <v>54</v>
      </c>
      <c r="B1186" t="s">
        <v>43</v>
      </c>
      <c r="C1186">
        <v>0</v>
      </c>
      <c r="D1186" t="s">
        <v>36</v>
      </c>
      <c r="E1186" t="s">
        <v>45</v>
      </c>
      <c r="F1186">
        <v>22</v>
      </c>
      <c r="G1186" t="s">
        <v>51</v>
      </c>
      <c r="H1186" t="s">
        <v>1256</v>
      </c>
      <c r="I1186">
        <v>2</v>
      </c>
      <c r="J1186" t="s">
        <v>39</v>
      </c>
      <c r="K1186">
        <v>3</v>
      </c>
      <c r="L1186">
        <v>4</v>
      </c>
      <c r="M1186" t="s">
        <v>56</v>
      </c>
      <c r="N1186">
        <v>3</v>
      </c>
      <c r="O1186" t="s">
        <v>48</v>
      </c>
      <c r="P1186" s="1">
        <v>17426</v>
      </c>
      <c r="Q1186" t="s">
        <v>90</v>
      </c>
      <c r="R1186" t="s">
        <v>43</v>
      </c>
      <c r="S1186">
        <v>4</v>
      </c>
      <c r="T1186">
        <v>36</v>
      </c>
      <c r="U1186">
        <v>3</v>
      </c>
      <c r="V1186">
        <v>10</v>
      </c>
      <c r="W1186">
        <v>8</v>
      </c>
      <c r="X1186">
        <v>4</v>
      </c>
      <c r="Y1186">
        <v>7</v>
      </c>
      <c r="Z1186" t="s">
        <v>106</v>
      </c>
      <c r="AA1186" t="s">
        <v>82</v>
      </c>
      <c r="AB1186" t="str" cm="1">
        <f t="array" ref="AB1186">_xlfn.IFS(cleaned_data[[#This Row],[YearsAtCompany]]&lt;=5, "0-5",cleaned_data[[#This Row],[YearsAtCompany]]&lt;=10,"6-10",TRUE,"10+")</f>
        <v>6-10</v>
      </c>
    </row>
    <row r="1187" spans="1:28" x14ac:dyDescent="0.3">
      <c r="A1187" s="2">
        <v>43</v>
      </c>
      <c r="B1187" t="s">
        <v>43</v>
      </c>
      <c r="C1187">
        <v>0</v>
      </c>
      <c r="D1187" t="s">
        <v>36</v>
      </c>
      <c r="E1187" t="s">
        <v>45</v>
      </c>
      <c r="F1187">
        <v>15</v>
      </c>
      <c r="G1187" t="s">
        <v>38</v>
      </c>
      <c r="H1187" t="s">
        <v>1257</v>
      </c>
      <c r="I1187">
        <v>3</v>
      </c>
      <c r="J1187" t="s">
        <v>46</v>
      </c>
      <c r="K1187">
        <v>2</v>
      </c>
      <c r="L1187">
        <v>4</v>
      </c>
      <c r="M1187" t="s">
        <v>58</v>
      </c>
      <c r="N1187">
        <v>3</v>
      </c>
      <c r="O1187" t="s">
        <v>48</v>
      </c>
      <c r="P1187" s="1">
        <v>17603</v>
      </c>
      <c r="Q1187" t="s">
        <v>90</v>
      </c>
      <c r="R1187" t="s">
        <v>43</v>
      </c>
      <c r="S1187">
        <v>4</v>
      </c>
      <c r="T1187">
        <v>14</v>
      </c>
      <c r="U1187">
        <v>3</v>
      </c>
      <c r="V1187">
        <v>14</v>
      </c>
      <c r="W1187">
        <v>10</v>
      </c>
      <c r="X1187">
        <v>6</v>
      </c>
      <c r="Y1187">
        <v>11</v>
      </c>
      <c r="Z1187" t="s">
        <v>1550</v>
      </c>
      <c r="AA1187" t="s">
        <v>69</v>
      </c>
      <c r="AB1187" t="str" cm="1">
        <f t="array" ref="AB1187">_xlfn.IFS(cleaned_data[[#This Row],[YearsAtCompany]]&lt;=5, "0-5",cleaned_data[[#This Row],[YearsAtCompany]]&lt;=10,"6-10",TRUE,"10+")</f>
        <v>10+</v>
      </c>
    </row>
    <row r="1188" spans="1:28" x14ac:dyDescent="0.3">
      <c r="A1188" s="2">
        <v>35</v>
      </c>
      <c r="B1188" t="s">
        <v>35</v>
      </c>
      <c r="C1188">
        <v>1</v>
      </c>
      <c r="D1188" t="s">
        <v>44</v>
      </c>
      <c r="E1188" t="s">
        <v>37</v>
      </c>
      <c r="F1188">
        <v>12</v>
      </c>
      <c r="G1188" t="s">
        <v>49</v>
      </c>
      <c r="H1188" t="s">
        <v>1258</v>
      </c>
      <c r="I1188">
        <v>4</v>
      </c>
      <c r="J1188" t="s">
        <v>46</v>
      </c>
      <c r="K1188">
        <v>3</v>
      </c>
      <c r="L1188">
        <v>2</v>
      </c>
      <c r="M1188" t="s">
        <v>40</v>
      </c>
      <c r="N1188">
        <v>4</v>
      </c>
      <c r="O1188" t="s">
        <v>41</v>
      </c>
      <c r="P1188" s="1">
        <v>4581</v>
      </c>
      <c r="Q1188" t="s">
        <v>72</v>
      </c>
      <c r="R1188" t="s">
        <v>35</v>
      </c>
      <c r="S1188">
        <v>4</v>
      </c>
      <c r="T1188">
        <v>13</v>
      </c>
      <c r="U1188">
        <v>4</v>
      </c>
      <c r="V1188">
        <v>11</v>
      </c>
      <c r="W1188">
        <v>9</v>
      </c>
      <c r="X1188">
        <v>6</v>
      </c>
      <c r="Y1188">
        <v>7</v>
      </c>
      <c r="Z1188" t="s">
        <v>1551</v>
      </c>
      <c r="AA1188" t="s">
        <v>69</v>
      </c>
      <c r="AB1188" t="str" cm="1">
        <f t="array" ref="AB1188">_xlfn.IFS(cleaned_data[[#This Row],[YearsAtCompany]]&lt;=5, "0-5",cleaned_data[[#This Row],[YearsAtCompany]]&lt;=10,"6-10",TRUE,"10+")</f>
        <v>10+</v>
      </c>
    </row>
    <row r="1189" spans="1:28" x14ac:dyDescent="0.3">
      <c r="A1189" s="2">
        <v>38</v>
      </c>
      <c r="B1189" t="s">
        <v>43</v>
      </c>
      <c r="C1189">
        <v>0</v>
      </c>
      <c r="D1189" t="s">
        <v>44</v>
      </c>
      <c r="E1189" t="s">
        <v>45</v>
      </c>
      <c r="F1189">
        <v>1</v>
      </c>
      <c r="G1189" t="s">
        <v>38</v>
      </c>
      <c r="H1189" t="s">
        <v>1259</v>
      </c>
      <c r="I1189">
        <v>4</v>
      </c>
      <c r="J1189" t="s">
        <v>46</v>
      </c>
      <c r="K1189">
        <v>3</v>
      </c>
      <c r="L1189">
        <v>2</v>
      </c>
      <c r="M1189" t="s">
        <v>47</v>
      </c>
      <c r="N1189">
        <v>4</v>
      </c>
      <c r="O1189" t="s">
        <v>48</v>
      </c>
      <c r="P1189" s="1">
        <v>4735</v>
      </c>
      <c r="Q1189" t="s">
        <v>72</v>
      </c>
      <c r="R1189" t="s">
        <v>43</v>
      </c>
      <c r="S1189">
        <v>3</v>
      </c>
      <c r="T1189">
        <v>19</v>
      </c>
      <c r="U1189">
        <v>4</v>
      </c>
      <c r="V1189">
        <v>13</v>
      </c>
      <c r="W1189">
        <v>11</v>
      </c>
      <c r="X1189">
        <v>2</v>
      </c>
      <c r="Y1189">
        <v>9</v>
      </c>
      <c r="Z1189" t="s">
        <v>1550</v>
      </c>
      <c r="AA1189" t="s">
        <v>82</v>
      </c>
      <c r="AB1189" t="str" cm="1">
        <f t="array" ref="AB1189">_xlfn.IFS(cleaned_data[[#This Row],[YearsAtCompany]]&lt;=5, "0-5",cleaned_data[[#This Row],[YearsAtCompany]]&lt;=10,"6-10",TRUE,"10+")</f>
        <v>10+</v>
      </c>
    </row>
    <row r="1190" spans="1:28" x14ac:dyDescent="0.3">
      <c r="A1190" s="2">
        <v>29</v>
      </c>
      <c r="B1190" t="s">
        <v>43</v>
      </c>
      <c r="C1190">
        <v>0</v>
      </c>
      <c r="D1190" t="s">
        <v>36</v>
      </c>
      <c r="E1190" t="s">
        <v>37</v>
      </c>
      <c r="F1190">
        <v>5</v>
      </c>
      <c r="G1190" t="s">
        <v>51</v>
      </c>
      <c r="H1190" t="s">
        <v>1260</v>
      </c>
      <c r="I1190">
        <v>1</v>
      </c>
      <c r="J1190" t="s">
        <v>46</v>
      </c>
      <c r="K1190">
        <v>2</v>
      </c>
      <c r="L1190">
        <v>2</v>
      </c>
      <c r="M1190" t="s">
        <v>40</v>
      </c>
      <c r="N1190">
        <v>2</v>
      </c>
      <c r="O1190" t="s">
        <v>52</v>
      </c>
      <c r="P1190" s="1">
        <v>4187</v>
      </c>
      <c r="Q1190" t="s">
        <v>72</v>
      </c>
      <c r="R1190" t="s">
        <v>35</v>
      </c>
      <c r="S1190">
        <v>3</v>
      </c>
      <c r="T1190">
        <v>10</v>
      </c>
      <c r="U1190">
        <v>2</v>
      </c>
      <c r="V1190">
        <v>10</v>
      </c>
      <c r="W1190">
        <v>0</v>
      </c>
      <c r="X1190">
        <v>0</v>
      </c>
      <c r="Y1190">
        <v>9</v>
      </c>
      <c r="Z1190" t="s">
        <v>1551</v>
      </c>
      <c r="AA1190" t="s">
        <v>69</v>
      </c>
      <c r="AB1190" t="str" cm="1">
        <f t="array" ref="AB1190">_xlfn.IFS(cleaned_data[[#This Row],[YearsAtCompany]]&lt;=5, "0-5",cleaned_data[[#This Row],[YearsAtCompany]]&lt;=10,"6-10",TRUE,"10+")</f>
        <v>6-10</v>
      </c>
    </row>
    <row r="1191" spans="1:28" x14ac:dyDescent="0.3">
      <c r="A1191" s="2">
        <v>33</v>
      </c>
      <c r="B1191" t="s">
        <v>43</v>
      </c>
      <c r="C1191">
        <v>0</v>
      </c>
      <c r="D1191" t="s">
        <v>36</v>
      </c>
      <c r="E1191" t="s">
        <v>37</v>
      </c>
      <c r="F1191">
        <v>2</v>
      </c>
      <c r="G1191" t="s">
        <v>51</v>
      </c>
      <c r="H1191" t="s">
        <v>1261</v>
      </c>
      <c r="I1191">
        <v>4</v>
      </c>
      <c r="J1191" t="s">
        <v>46</v>
      </c>
      <c r="K1191">
        <v>3</v>
      </c>
      <c r="L1191">
        <v>2</v>
      </c>
      <c r="M1191" t="s">
        <v>40</v>
      </c>
      <c r="N1191">
        <v>4</v>
      </c>
      <c r="O1191" t="s">
        <v>52</v>
      </c>
      <c r="P1191" s="1">
        <v>5505</v>
      </c>
      <c r="Q1191" t="s">
        <v>67</v>
      </c>
      <c r="R1191" t="s">
        <v>43</v>
      </c>
      <c r="S1191">
        <v>3</v>
      </c>
      <c r="T1191">
        <v>6</v>
      </c>
      <c r="U1191">
        <v>3</v>
      </c>
      <c r="V1191">
        <v>6</v>
      </c>
      <c r="W1191">
        <v>2</v>
      </c>
      <c r="X1191">
        <v>0</v>
      </c>
      <c r="Y1191">
        <v>4</v>
      </c>
      <c r="Z1191" t="s">
        <v>1551</v>
      </c>
      <c r="AA1191" t="s">
        <v>69</v>
      </c>
      <c r="AB1191" t="str" cm="1">
        <f t="array" ref="AB1191">_xlfn.IFS(cleaned_data[[#This Row],[YearsAtCompany]]&lt;=5, "0-5",cleaned_data[[#This Row],[YearsAtCompany]]&lt;=10,"6-10",TRUE,"10+")</f>
        <v>6-10</v>
      </c>
    </row>
    <row r="1192" spans="1:28" x14ac:dyDescent="0.3">
      <c r="A1192" s="2">
        <v>32</v>
      </c>
      <c r="B1192" t="s">
        <v>43</v>
      </c>
      <c r="C1192">
        <v>0</v>
      </c>
      <c r="D1192" t="s">
        <v>36</v>
      </c>
      <c r="E1192" t="s">
        <v>45</v>
      </c>
      <c r="F1192">
        <v>2</v>
      </c>
      <c r="G1192" t="s">
        <v>51</v>
      </c>
      <c r="H1192" t="s">
        <v>1262</v>
      </c>
      <c r="I1192">
        <v>4</v>
      </c>
      <c r="J1192" t="s">
        <v>46</v>
      </c>
      <c r="K1192">
        <v>3</v>
      </c>
      <c r="L1192">
        <v>2</v>
      </c>
      <c r="M1192" t="s">
        <v>47</v>
      </c>
      <c r="N1192">
        <v>2</v>
      </c>
      <c r="O1192" t="s">
        <v>52</v>
      </c>
      <c r="P1192" s="1">
        <v>5470</v>
      </c>
      <c r="Q1192" t="s">
        <v>67</v>
      </c>
      <c r="R1192" t="s">
        <v>43</v>
      </c>
      <c r="S1192">
        <v>3</v>
      </c>
      <c r="T1192">
        <v>10</v>
      </c>
      <c r="U1192">
        <v>2</v>
      </c>
      <c r="V1192">
        <v>9</v>
      </c>
      <c r="W1192">
        <v>5</v>
      </c>
      <c r="X1192">
        <v>1</v>
      </c>
      <c r="Y1192">
        <v>6</v>
      </c>
      <c r="Z1192" t="s">
        <v>1551</v>
      </c>
      <c r="AA1192" t="s">
        <v>69</v>
      </c>
      <c r="AB1192" t="str" cm="1">
        <f t="array" ref="AB1192">_xlfn.IFS(cleaned_data[[#This Row],[YearsAtCompany]]&lt;=5, "0-5",cleaned_data[[#This Row],[YearsAtCompany]]&lt;=10,"6-10",TRUE,"10+")</f>
        <v>6-10</v>
      </c>
    </row>
    <row r="1193" spans="1:28" x14ac:dyDescent="0.3">
      <c r="A1193" s="2">
        <v>31</v>
      </c>
      <c r="B1193" t="s">
        <v>43</v>
      </c>
      <c r="C1193">
        <v>0</v>
      </c>
      <c r="D1193" t="s">
        <v>36</v>
      </c>
      <c r="E1193" t="s">
        <v>37</v>
      </c>
      <c r="F1193">
        <v>5</v>
      </c>
      <c r="G1193" t="s">
        <v>38</v>
      </c>
      <c r="H1193" t="s">
        <v>1263</v>
      </c>
      <c r="I1193">
        <v>1</v>
      </c>
      <c r="J1193" t="s">
        <v>39</v>
      </c>
      <c r="K1193">
        <v>3</v>
      </c>
      <c r="L1193">
        <v>2</v>
      </c>
      <c r="M1193" t="s">
        <v>40</v>
      </c>
      <c r="N1193">
        <v>4</v>
      </c>
      <c r="O1193" t="s">
        <v>48</v>
      </c>
      <c r="P1193" s="1">
        <v>5476</v>
      </c>
      <c r="Q1193" t="s">
        <v>67</v>
      </c>
      <c r="R1193" t="s">
        <v>43</v>
      </c>
      <c r="S1193">
        <v>3</v>
      </c>
      <c r="T1193">
        <v>10</v>
      </c>
      <c r="U1193">
        <v>3</v>
      </c>
      <c r="V1193">
        <v>10</v>
      </c>
      <c r="W1193">
        <v>0</v>
      </c>
      <c r="X1193">
        <v>0</v>
      </c>
      <c r="Y1193">
        <v>2</v>
      </c>
      <c r="Z1193" t="s">
        <v>1551</v>
      </c>
      <c r="AA1193" t="s">
        <v>69</v>
      </c>
      <c r="AB1193" t="str" cm="1">
        <f t="array" ref="AB1193">_xlfn.IFS(cleaned_data[[#This Row],[YearsAtCompany]]&lt;=5, "0-5",cleaned_data[[#This Row],[YearsAtCompany]]&lt;=10,"6-10",TRUE,"10+")</f>
        <v>6-10</v>
      </c>
    </row>
    <row r="1194" spans="1:28" x14ac:dyDescent="0.3">
      <c r="A1194" s="2">
        <v>49</v>
      </c>
      <c r="B1194" t="s">
        <v>43</v>
      </c>
      <c r="C1194">
        <v>0</v>
      </c>
      <c r="D1194" t="s">
        <v>36</v>
      </c>
      <c r="E1194" t="s">
        <v>45</v>
      </c>
      <c r="F1194">
        <v>16</v>
      </c>
      <c r="G1194" t="s">
        <v>51</v>
      </c>
      <c r="H1194" t="s">
        <v>1264</v>
      </c>
      <c r="I1194">
        <v>4</v>
      </c>
      <c r="J1194" t="s">
        <v>39</v>
      </c>
      <c r="K1194">
        <v>3</v>
      </c>
      <c r="L1194">
        <v>1</v>
      </c>
      <c r="M1194" t="s">
        <v>50</v>
      </c>
      <c r="N1194">
        <v>1</v>
      </c>
      <c r="O1194" t="s">
        <v>52</v>
      </c>
      <c r="P1194" s="6">
        <v>2587</v>
      </c>
      <c r="Q1194" t="s">
        <v>72</v>
      </c>
      <c r="R1194" t="s">
        <v>35</v>
      </c>
      <c r="S1194">
        <v>3</v>
      </c>
      <c r="T1194">
        <v>17</v>
      </c>
      <c r="U1194">
        <v>2</v>
      </c>
      <c r="V1194">
        <v>2</v>
      </c>
      <c r="W1194">
        <v>2</v>
      </c>
      <c r="X1194">
        <v>2</v>
      </c>
      <c r="Y1194">
        <v>2</v>
      </c>
      <c r="Z1194" t="s">
        <v>106</v>
      </c>
      <c r="AA1194" t="s">
        <v>82</v>
      </c>
      <c r="AB1194" t="str" cm="1">
        <f t="array" ref="AB1194">_xlfn.IFS(cleaned_data[[#This Row],[YearsAtCompany]]&lt;=5, "0-5",cleaned_data[[#This Row],[YearsAtCompany]]&lt;=10,"6-10",TRUE,"10+")</f>
        <v>0-5</v>
      </c>
    </row>
    <row r="1195" spans="1:28" x14ac:dyDescent="0.3">
      <c r="A1195" s="2">
        <v>38</v>
      </c>
      <c r="B1195" t="s">
        <v>43</v>
      </c>
      <c r="C1195">
        <v>0</v>
      </c>
      <c r="D1195" t="s">
        <v>44</v>
      </c>
      <c r="E1195" t="s">
        <v>45</v>
      </c>
      <c r="F1195">
        <v>2</v>
      </c>
      <c r="G1195" t="s">
        <v>51</v>
      </c>
      <c r="H1195" t="s">
        <v>1265</v>
      </c>
      <c r="I1195">
        <v>4</v>
      </c>
      <c r="J1195" t="s">
        <v>39</v>
      </c>
      <c r="K1195">
        <v>2</v>
      </c>
      <c r="L1195">
        <v>1</v>
      </c>
      <c r="M1195" t="s">
        <v>50</v>
      </c>
      <c r="N1195">
        <v>2</v>
      </c>
      <c r="O1195" t="s">
        <v>41</v>
      </c>
      <c r="P1195" s="1">
        <v>2440</v>
      </c>
      <c r="Q1195" t="s">
        <v>72</v>
      </c>
      <c r="R1195" t="s">
        <v>43</v>
      </c>
      <c r="S1195">
        <v>4</v>
      </c>
      <c r="T1195">
        <v>4</v>
      </c>
      <c r="U1195">
        <v>3</v>
      </c>
      <c r="V1195">
        <v>4</v>
      </c>
      <c r="W1195">
        <v>3</v>
      </c>
      <c r="X1195">
        <v>3</v>
      </c>
      <c r="Y1195">
        <v>3</v>
      </c>
      <c r="Z1195" t="s">
        <v>1550</v>
      </c>
      <c r="AA1195" t="s">
        <v>78</v>
      </c>
      <c r="AB1195" t="str" cm="1">
        <f t="array" ref="AB1195">_xlfn.IFS(cleaned_data[[#This Row],[YearsAtCompany]]&lt;=5, "0-5",cleaned_data[[#This Row],[YearsAtCompany]]&lt;=10,"6-10",TRUE,"10+")</f>
        <v>0-5</v>
      </c>
    </row>
    <row r="1196" spans="1:28" x14ac:dyDescent="0.3">
      <c r="A1196" s="2">
        <v>47</v>
      </c>
      <c r="B1196" t="s">
        <v>43</v>
      </c>
      <c r="C1196">
        <v>0</v>
      </c>
      <c r="D1196" t="s">
        <v>36</v>
      </c>
      <c r="E1196" t="s">
        <v>37</v>
      </c>
      <c r="F1196">
        <v>2</v>
      </c>
      <c r="G1196" t="s">
        <v>38</v>
      </c>
      <c r="H1196" t="s">
        <v>1266</v>
      </c>
      <c r="I1196">
        <v>2</v>
      </c>
      <c r="J1196" t="s">
        <v>39</v>
      </c>
      <c r="K1196">
        <v>4</v>
      </c>
      <c r="L1196">
        <v>4</v>
      </c>
      <c r="M1196" t="s">
        <v>56</v>
      </c>
      <c r="N1196">
        <v>2</v>
      </c>
      <c r="O1196" t="s">
        <v>52</v>
      </c>
      <c r="P1196" s="1">
        <v>15972</v>
      </c>
      <c r="Q1196" t="s">
        <v>90</v>
      </c>
      <c r="R1196" t="s">
        <v>43</v>
      </c>
      <c r="S1196">
        <v>3</v>
      </c>
      <c r="T1196">
        <v>29</v>
      </c>
      <c r="U1196">
        <v>3</v>
      </c>
      <c r="V1196">
        <v>3</v>
      </c>
      <c r="W1196">
        <v>2</v>
      </c>
      <c r="X1196">
        <v>1</v>
      </c>
      <c r="Y1196">
        <v>2</v>
      </c>
      <c r="Z1196" t="s">
        <v>106</v>
      </c>
      <c r="AA1196" t="s">
        <v>82</v>
      </c>
      <c r="AB1196" t="str" cm="1">
        <f t="array" ref="AB1196">_xlfn.IFS(cleaned_data[[#This Row],[YearsAtCompany]]&lt;=5, "0-5",cleaned_data[[#This Row],[YearsAtCompany]]&lt;=10,"6-10",TRUE,"10+")</f>
        <v>0-5</v>
      </c>
    </row>
    <row r="1197" spans="1:28" x14ac:dyDescent="0.3">
      <c r="A1197" s="2">
        <v>49</v>
      </c>
      <c r="B1197" t="s">
        <v>43</v>
      </c>
      <c r="C1197">
        <v>0</v>
      </c>
      <c r="D1197" t="s">
        <v>36</v>
      </c>
      <c r="E1197" t="s">
        <v>45</v>
      </c>
      <c r="F1197">
        <v>1</v>
      </c>
      <c r="G1197" t="s">
        <v>38</v>
      </c>
      <c r="H1197" t="s">
        <v>1267</v>
      </c>
      <c r="I1197">
        <v>3</v>
      </c>
      <c r="J1197" t="s">
        <v>46</v>
      </c>
      <c r="K1197">
        <v>3</v>
      </c>
      <c r="L1197">
        <v>4</v>
      </c>
      <c r="M1197" t="s">
        <v>56</v>
      </c>
      <c r="N1197">
        <v>3</v>
      </c>
      <c r="O1197" t="s">
        <v>41</v>
      </c>
      <c r="P1197" s="1">
        <v>15379</v>
      </c>
      <c r="Q1197" t="s">
        <v>90</v>
      </c>
      <c r="R1197" t="s">
        <v>43</v>
      </c>
      <c r="S1197">
        <v>3</v>
      </c>
      <c r="T1197">
        <v>23</v>
      </c>
      <c r="U1197">
        <v>3</v>
      </c>
      <c r="V1197">
        <v>8</v>
      </c>
      <c r="W1197">
        <v>7</v>
      </c>
      <c r="X1197">
        <v>0</v>
      </c>
      <c r="Y1197">
        <v>0</v>
      </c>
      <c r="Z1197" t="s">
        <v>106</v>
      </c>
      <c r="AA1197" t="s">
        <v>82</v>
      </c>
      <c r="AB1197" t="str" cm="1">
        <f t="array" ref="AB1197">_xlfn.IFS(cleaned_data[[#This Row],[YearsAtCompany]]&lt;=5, "0-5",cleaned_data[[#This Row],[YearsAtCompany]]&lt;=10,"6-10",TRUE,"10+")</f>
        <v>6-10</v>
      </c>
    </row>
    <row r="1198" spans="1:28" x14ac:dyDescent="0.3">
      <c r="A1198" s="2">
        <v>41</v>
      </c>
      <c r="B1198" t="s">
        <v>43</v>
      </c>
      <c r="C1198">
        <v>0</v>
      </c>
      <c r="D1198" t="s">
        <v>36</v>
      </c>
      <c r="E1198" t="s">
        <v>37</v>
      </c>
      <c r="F1198">
        <v>23</v>
      </c>
      <c r="G1198" t="s">
        <v>38</v>
      </c>
      <c r="H1198" t="s">
        <v>1268</v>
      </c>
      <c r="I1198">
        <v>4</v>
      </c>
      <c r="J1198" t="s">
        <v>46</v>
      </c>
      <c r="K1198">
        <v>3</v>
      </c>
      <c r="L1198">
        <v>3</v>
      </c>
      <c r="M1198" t="s">
        <v>40</v>
      </c>
      <c r="N1198">
        <v>3</v>
      </c>
      <c r="O1198" t="s">
        <v>41</v>
      </c>
      <c r="P1198" s="1">
        <v>7082</v>
      </c>
      <c r="Q1198" t="s">
        <v>67</v>
      </c>
      <c r="R1198" t="s">
        <v>35</v>
      </c>
      <c r="S1198">
        <v>3</v>
      </c>
      <c r="T1198">
        <v>21</v>
      </c>
      <c r="U1198">
        <v>3</v>
      </c>
      <c r="V1198">
        <v>2</v>
      </c>
      <c r="W1198">
        <v>0</v>
      </c>
      <c r="X1198">
        <v>0</v>
      </c>
      <c r="Y1198">
        <v>2</v>
      </c>
      <c r="Z1198" t="s">
        <v>1550</v>
      </c>
      <c r="AA1198" t="s">
        <v>82</v>
      </c>
      <c r="AB1198" t="str" cm="1">
        <f t="array" ref="AB1198">_xlfn.IFS(cleaned_data[[#This Row],[YearsAtCompany]]&lt;=5, "0-5",cleaned_data[[#This Row],[YearsAtCompany]]&lt;=10,"6-10",TRUE,"10+")</f>
        <v>0-5</v>
      </c>
    </row>
    <row r="1199" spans="1:28" x14ac:dyDescent="0.3">
      <c r="A1199" s="2">
        <v>20</v>
      </c>
      <c r="B1199" t="s">
        <v>43</v>
      </c>
      <c r="C1199">
        <v>0</v>
      </c>
      <c r="D1199" t="s">
        <v>36</v>
      </c>
      <c r="E1199" t="s">
        <v>37</v>
      </c>
      <c r="F1199">
        <v>9</v>
      </c>
      <c r="G1199" t="s">
        <v>38</v>
      </c>
      <c r="H1199" t="s">
        <v>1269</v>
      </c>
      <c r="I1199">
        <v>4</v>
      </c>
      <c r="J1199" t="s">
        <v>46</v>
      </c>
      <c r="K1199">
        <v>3</v>
      </c>
      <c r="L1199">
        <v>1</v>
      </c>
      <c r="M1199" t="s">
        <v>57</v>
      </c>
      <c r="N1199">
        <v>1</v>
      </c>
      <c r="O1199" t="s">
        <v>41</v>
      </c>
      <c r="P1199" s="6">
        <v>2728</v>
      </c>
      <c r="Q1199" t="s">
        <v>72</v>
      </c>
      <c r="R1199" t="s">
        <v>43</v>
      </c>
      <c r="S1199">
        <v>3</v>
      </c>
      <c r="T1199">
        <v>2</v>
      </c>
      <c r="U1199">
        <v>3</v>
      </c>
      <c r="V1199">
        <v>2</v>
      </c>
      <c r="W1199">
        <v>2</v>
      </c>
      <c r="X1199">
        <v>0</v>
      </c>
      <c r="Y1199">
        <v>2</v>
      </c>
      <c r="Z1199" t="s">
        <v>68</v>
      </c>
      <c r="AA1199" t="s">
        <v>78</v>
      </c>
      <c r="AB1199" t="str" cm="1">
        <f t="array" ref="AB1199">_xlfn.IFS(cleaned_data[[#This Row],[YearsAtCompany]]&lt;=5, "0-5",cleaned_data[[#This Row],[YearsAtCompany]]&lt;=10,"6-10",TRUE,"10+")</f>
        <v>0-5</v>
      </c>
    </row>
    <row r="1200" spans="1:28" x14ac:dyDescent="0.3">
      <c r="A1200" s="2">
        <v>33</v>
      </c>
      <c r="B1200" t="s">
        <v>43</v>
      </c>
      <c r="C1200">
        <v>0</v>
      </c>
      <c r="D1200" t="s">
        <v>55</v>
      </c>
      <c r="E1200" t="s">
        <v>37</v>
      </c>
      <c r="F1200">
        <v>16</v>
      </c>
      <c r="G1200" t="s">
        <v>38</v>
      </c>
      <c r="H1200" t="s">
        <v>1270</v>
      </c>
      <c r="I1200">
        <v>3</v>
      </c>
      <c r="J1200" t="s">
        <v>39</v>
      </c>
      <c r="K1200">
        <v>3</v>
      </c>
      <c r="L1200">
        <v>2</v>
      </c>
      <c r="M1200" t="s">
        <v>40</v>
      </c>
      <c r="N1200">
        <v>4</v>
      </c>
      <c r="O1200" t="s">
        <v>52</v>
      </c>
      <c r="P1200" s="1">
        <v>5368</v>
      </c>
      <c r="Q1200" t="s">
        <v>67</v>
      </c>
      <c r="R1200" t="s">
        <v>35</v>
      </c>
      <c r="S1200">
        <v>4</v>
      </c>
      <c r="T1200">
        <v>7</v>
      </c>
      <c r="U1200">
        <v>3</v>
      </c>
      <c r="V1200">
        <v>6</v>
      </c>
      <c r="W1200">
        <v>5</v>
      </c>
      <c r="X1200">
        <v>1</v>
      </c>
      <c r="Y1200">
        <v>2</v>
      </c>
      <c r="Z1200" t="s">
        <v>1551</v>
      </c>
      <c r="AA1200" t="s">
        <v>69</v>
      </c>
      <c r="AB1200" t="str" cm="1">
        <f t="array" ref="AB1200">_xlfn.IFS(cleaned_data[[#This Row],[YearsAtCompany]]&lt;=5, "0-5",cleaned_data[[#This Row],[YearsAtCompany]]&lt;=10,"6-10",TRUE,"10+")</f>
        <v>6-10</v>
      </c>
    </row>
    <row r="1201" spans="1:28" x14ac:dyDescent="0.3">
      <c r="A1201" s="2">
        <v>36</v>
      </c>
      <c r="B1201" t="s">
        <v>43</v>
      </c>
      <c r="C1201">
        <v>0</v>
      </c>
      <c r="D1201" t="s">
        <v>36</v>
      </c>
      <c r="E1201" t="s">
        <v>45</v>
      </c>
      <c r="F1201">
        <v>26</v>
      </c>
      <c r="G1201" t="s">
        <v>38</v>
      </c>
      <c r="H1201" t="s">
        <v>1271</v>
      </c>
      <c r="I1201">
        <v>1</v>
      </c>
      <c r="J1201" t="s">
        <v>46</v>
      </c>
      <c r="K1201">
        <v>3</v>
      </c>
      <c r="L1201">
        <v>2</v>
      </c>
      <c r="M1201" t="s">
        <v>54</v>
      </c>
      <c r="N1201">
        <v>3</v>
      </c>
      <c r="O1201" t="s">
        <v>48</v>
      </c>
      <c r="P1201" s="1">
        <v>5347</v>
      </c>
      <c r="Q1201" t="s">
        <v>67</v>
      </c>
      <c r="R1201" t="s">
        <v>43</v>
      </c>
      <c r="S1201">
        <v>3</v>
      </c>
      <c r="T1201">
        <v>10</v>
      </c>
      <c r="U1201">
        <v>2</v>
      </c>
      <c r="V1201">
        <v>3</v>
      </c>
      <c r="W1201">
        <v>2</v>
      </c>
      <c r="X1201">
        <v>0</v>
      </c>
      <c r="Y1201">
        <v>2</v>
      </c>
      <c r="Z1201" t="s">
        <v>1550</v>
      </c>
      <c r="AA1201" t="s">
        <v>69</v>
      </c>
      <c r="AB1201" t="str" cm="1">
        <f t="array" ref="AB1201">_xlfn.IFS(cleaned_data[[#This Row],[YearsAtCompany]]&lt;=5, "0-5",cleaned_data[[#This Row],[YearsAtCompany]]&lt;=10,"6-10",TRUE,"10+")</f>
        <v>0-5</v>
      </c>
    </row>
    <row r="1202" spans="1:28" x14ac:dyDescent="0.3">
      <c r="A1202" s="2">
        <v>44</v>
      </c>
      <c r="B1202" t="s">
        <v>43</v>
      </c>
      <c r="C1202">
        <v>0</v>
      </c>
      <c r="D1202" t="s">
        <v>36</v>
      </c>
      <c r="E1202" t="s">
        <v>61</v>
      </c>
      <c r="F1202">
        <v>1</v>
      </c>
      <c r="G1202" t="s">
        <v>38</v>
      </c>
      <c r="H1202" t="s">
        <v>1272</v>
      </c>
      <c r="I1202">
        <v>3</v>
      </c>
      <c r="J1202" t="s">
        <v>39</v>
      </c>
      <c r="K1202">
        <v>3</v>
      </c>
      <c r="L1202">
        <v>1</v>
      </c>
      <c r="M1202" t="s">
        <v>61</v>
      </c>
      <c r="N1202">
        <v>4</v>
      </c>
      <c r="O1202" t="s">
        <v>52</v>
      </c>
      <c r="P1202" s="1">
        <v>3195</v>
      </c>
      <c r="Q1202" t="s">
        <v>72</v>
      </c>
      <c r="R1202" t="s">
        <v>35</v>
      </c>
      <c r="S1202">
        <v>3</v>
      </c>
      <c r="T1202">
        <v>8</v>
      </c>
      <c r="U1202">
        <v>3</v>
      </c>
      <c r="V1202">
        <v>2</v>
      </c>
      <c r="W1202">
        <v>2</v>
      </c>
      <c r="X1202">
        <v>2</v>
      </c>
      <c r="Y1202">
        <v>2</v>
      </c>
      <c r="Z1202" t="s">
        <v>1550</v>
      </c>
      <c r="AA1202" t="s">
        <v>69</v>
      </c>
      <c r="AB1202" t="str" cm="1">
        <f t="array" ref="AB1202">_xlfn.IFS(cleaned_data[[#This Row],[YearsAtCompany]]&lt;=5, "0-5",cleaned_data[[#This Row],[YearsAtCompany]]&lt;=10,"6-10",TRUE,"10+")</f>
        <v>0-5</v>
      </c>
    </row>
    <row r="1203" spans="1:28" x14ac:dyDescent="0.3">
      <c r="A1203" s="2">
        <v>23</v>
      </c>
      <c r="B1203" t="s">
        <v>35</v>
      </c>
      <c r="C1203">
        <v>1</v>
      </c>
      <c r="D1203" t="s">
        <v>36</v>
      </c>
      <c r="E1203" t="s">
        <v>45</v>
      </c>
      <c r="F1203">
        <v>8</v>
      </c>
      <c r="G1203" t="s">
        <v>51</v>
      </c>
      <c r="H1203" t="s">
        <v>1273</v>
      </c>
      <c r="I1203">
        <v>4</v>
      </c>
      <c r="J1203" t="s">
        <v>46</v>
      </c>
      <c r="K1203">
        <v>2</v>
      </c>
      <c r="L1203">
        <v>1</v>
      </c>
      <c r="M1203" t="s">
        <v>50</v>
      </c>
      <c r="N1203">
        <v>3</v>
      </c>
      <c r="O1203" t="s">
        <v>41</v>
      </c>
      <c r="P1203" s="1">
        <v>3989</v>
      </c>
      <c r="Q1203" t="s">
        <v>72</v>
      </c>
      <c r="R1203" t="s">
        <v>35</v>
      </c>
      <c r="S1203">
        <v>3</v>
      </c>
      <c r="T1203">
        <v>5</v>
      </c>
      <c r="U1203">
        <v>3</v>
      </c>
      <c r="V1203">
        <v>5</v>
      </c>
      <c r="W1203">
        <v>4</v>
      </c>
      <c r="X1203">
        <v>1</v>
      </c>
      <c r="Y1203">
        <v>2</v>
      </c>
      <c r="Z1203" t="s">
        <v>68</v>
      </c>
      <c r="AA1203" t="s">
        <v>78</v>
      </c>
      <c r="AB1203" t="str" cm="1">
        <f t="array" ref="AB1203">_xlfn.IFS(cleaned_data[[#This Row],[YearsAtCompany]]&lt;=5, "0-5",cleaned_data[[#This Row],[YearsAtCompany]]&lt;=10,"6-10",TRUE,"10+")</f>
        <v>0-5</v>
      </c>
    </row>
    <row r="1204" spans="1:28" x14ac:dyDescent="0.3">
      <c r="A1204" s="2">
        <v>38</v>
      </c>
      <c r="B1204" t="s">
        <v>43</v>
      </c>
      <c r="C1204">
        <v>0</v>
      </c>
      <c r="D1204" t="s">
        <v>36</v>
      </c>
      <c r="E1204" t="s">
        <v>45</v>
      </c>
      <c r="F1204">
        <v>4</v>
      </c>
      <c r="G1204" t="s">
        <v>51</v>
      </c>
      <c r="H1204" t="s">
        <v>1274</v>
      </c>
      <c r="I1204">
        <v>4</v>
      </c>
      <c r="J1204" t="s">
        <v>39</v>
      </c>
      <c r="K1204">
        <v>3</v>
      </c>
      <c r="L1204">
        <v>1</v>
      </c>
      <c r="M1204" t="s">
        <v>50</v>
      </c>
      <c r="N1204">
        <v>3</v>
      </c>
      <c r="O1204" t="s">
        <v>48</v>
      </c>
      <c r="P1204" s="1">
        <v>3306</v>
      </c>
      <c r="Q1204" t="s">
        <v>72</v>
      </c>
      <c r="R1204" t="s">
        <v>43</v>
      </c>
      <c r="S1204">
        <v>3</v>
      </c>
      <c r="T1204">
        <v>7</v>
      </c>
      <c r="U1204">
        <v>2</v>
      </c>
      <c r="V1204">
        <v>0</v>
      </c>
      <c r="W1204">
        <v>0</v>
      </c>
      <c r="X1204">
        <v>0</v>
      </c>
      <c r="Y1204">
        <v>0</v>
      </c>
      <c r="Z1204" t="s">
        <v>1550</v>
      </c>
      <c r="AA1204" t="s">
        <v>69</v>
      </c>
      <c r="AB1204" t="str" cm="1">
        <f t="array" ref="AB1204">_xlfn.IFS(cleaned_data[[#This Row],[YearsAtCompany]]&lt;=5, "0-5",cleaned_data[[#This Row],[YearsAtCompany]]&lt;=10,"6-10",TRUE,"10+")</f>
        <v>0-5</v>
      </c>
    </row>
    <row r="1205" spans="1:28" x14ac:dyDescent="0.3">
      <c r="A1205" s="2">
        <v>53</v>
      </c>
      <c r="B1205" t="s">
        <v>43</v>
      </c>
      <c r="C1205">
        <v>0</v>
      </c>
      <c r="D1205" t="s">
        <v>36</v>
      </c>
      <c r="E1205" t="s">
        <v>45</v>
      </c>
      <c r="F1205">
        <v>24</v>
      </c>
      <c r="G1205" t="s">
        <v>51</v>
      </c>
      <c r="H1205" t="s">
        <v>1275</v>
      </c>
      <c r="I1205">
        <v>2</v>
      </c>
      <c r="J1205" t="s">
        <v>46</v>
      </c>
      <c r="K1205">
        <v>4</v>
      </c>
      <c r="L1205">
        <v>3</v>
      </c>
      <c r="M1205" t="s">
        <v>54</v>
      </c>
      <c r="N1205">
        <v>4</v>
      </c>
      <c r="O1205" t="s">
        <v>48</v>
      </c>
      <c r="P1205" s="1">
        <v>7005</v>
      </c>
      <c r="Q1205" t="s">
        <v>67</v>
      </c>
      <c r="R1205" t="s">
        <v>43</v>
      </c>
      <c r="S1205">
        <v>3</v>
      </c>
      <c r="T1205">
        <v>11</v>
      </c>
      <c r="U1205">
        <v>3</v>
      </c>
      <c r="V1205">
        <v>4</v>
      </c>
      <c r="W1205">
        <v>3</v>
      </c>
      <c r="X1205">
        <v>1</v>
      </c>
      <c r="Y1205">
        <v>2</v>
      </c>
      <c r="Z1205" t="s">
        <v>106</v>
      </c>
      <c r="AA1205" t="s">
        <v>69</v>
      </c>
      <c r="AB1205" t="str" cm="1">
        <f t="array" ref="AB1205">_xlfn.IFS(cleaned_data[[#This Row],[YearsAtCompany]]&lt;=5, "0-5",cleaned_data[[#This Row],[YearsAtCompany]]&lt;=10,"6-10",TRUE,"10+")</f>
        <v>0-5</v>
      </c>
    </row>
    <row r="1206" spans="1:28" x14ac:dyDescent="0.3">
      <c r="A1206" s="2">
        <v>48</v>
      </c>
      <c r="B1206" t="s">
        <v>35</v>
      </c>
      <c r="C1206">
        <v>1</v>
      </c>
      <c r="D1206" t="s">
        <v>44</v>
      </c>
      <c r="E1206" t="s">
        <v>37</v>
      </c>
      <c r="F1206">
        <v>7</v>
      </c>
      <c r="G1206" t="s">
        <v>51</v>
      </c>
      <c r="H1206" t="s">
        <v>1276</v>
      </c>
      <c r="I1206">
        <v>4</v>
      </c>
      <c r="J1206" t="s">
        <v>39</v>
      </c>
      <c r="K1206">
        <v>3</v>
      </c>
      <c r="L1206">
        <v>1</v>
      </c>
      <c r="M1206" t="s">
        <v>57</v>
      </c>
      <c r="N1206">
        <v>3</v>
      </c>
      <c r="O1206" t="s">
        <v>48</v>
      </c>
      <c r="P1206" s="1">
        <v>2655</v>
      </c>
      <c r="Q1206" t="s">
        <v>72</v>
      </c>
      <c r="R1206" t="s">
        <v>35</v>
      </c>
      <c r="S1206">
        <v>3</v>
      </c>
      <c r="T1206">
        <v>19</v>
      </c>
      <c r="U1206">
        <v>3</v>
      </c>
      <c r="V1206">
        <v>9</v>
      </c>
      <c r="W1206">
        <v>7</v>
      </c>
      <c r="X1206">
        <v>7</v>
      </c>
      <c r="Y1206">
        <v>7</v>
      </c>
      <c r="Z1206" t="s">
        <v>106</v>
      </c>
      <c r="AA1206" t="s">
        <v>82</v>
      </c>
      <c r="AB1206" t="str" cm="1">
        <f t="array" ref="AB1206">_xlfn.IFS(cleaned_data[[#This Row],[YearsAtCompany]]&lt;=5, "0-5",cleaned_data[[#This Row],[YearsAtCompany]]&lt;=10,"6-10",TRUE,"10+")</f>
        <v>6-10</v>
      </c>
    </row>
    <row r="1207" spans="1:28" x14ac:dyDescent="0.3">
      <c r="A1207" s="2">
        <v>32</v>
      </c>
      <c r="B1207" t="s">
        <v>35</v>
      </c>
      <c r="C1207">
        <v>1</v>
      </c>
      <c r="D1207" t="s">
        <v>36</v>
      </c>
      <c r="E1207" t="s">
        <v>45</v>
      </c>
      <c r="F1207">
        <v>2</v>
      </c>
      <c r="G1207" t="s">
        <v>38</v>
      </c>
      <c r="H1207" t="s">
        <v>1277</v>
      </c>
      <c r="I1207">
        <v>4</v>
      </c>
      <c r="J1207" t="s">
        <v>46</v>
      </c>
      <c r="K1207">
        <v>3</v>
      </c>
      <c r="L1207">
        <v>1</v>
      </c>
      <c r="M1207" t="s">
        <v>50</v>
      </c>
      <c r="N1207">
        <v>2</v>
      </c>
      <c r="O1207" t="s">
        <v>41</v>
      </c>
      <c r="P1207" s="1">
        <v>1393</v>
      </c>
      <c r="Q1207" t="s">
        <v>72</v>
      </c>
      <c r="R1207" t="s">
        <v>43</v>
      </c>
      <c r="S1207">
        <v>3</v>
      </c>
      <c r="T1207">
        <v>1</v>
      </c>
      <c r="U1207">
        <v>3</v>
      </c>
      <c r="V1207">
        <v>1</v>
      </c>
      <c r="W1207">
        <v>0</v>
      </c>
      <c r="X1207">
        <v>0</v>
      </c>
      <c r="Y1207">
        <v>0</v>
      </c>
      <c r="Z1207" t="s">
        <v>1551</v>
      </c>
      <c r="AA1207" t="s">
        <v>78</v>
      </c>
      <c r="AB1207" t="str" cm="1">
        <f t="array" ref="AB1207">_xlfn.IFS(cleaned_data[[#This Row],[YearsAtCompany]]&lt;=5, "0-5",cleaned_data[[#This Row],[YearsAtCompany]]&lt;=10,"6-10",TRUE,"10+")</f>
        <v>0-5</v>
      </c>
    </row>
    <row r="1208" spans="1:28" x14ac:dyDescent="0.3">
      <c r="A1208" s="2">
        <v>26</v>
      </c>
      <c r="B1208" t="s">
        <v>43</v>
      </c>
      <c r="C1208">
        <v>0</v>
      </c>
      <c r="D1208" t="s">
        <v>55</v>
      </c>
      <c r="E1208" t="s">
        <v>45</v>
      </c>
      <c r="F1208">
        <v>7</v>
      </c>
      <c r="G1208" t="s">
        <v>51</v>
      </c>
      <c r="H1208" t="s">
        <v>1278</v>
      </c>
      <c r="I1208">
        <v>4</v>
      </c>
      <c r="J1208" t="s">
        <v>46</v>
      </c>
      <c r="K1208">
        <v>3</v>
      </c>
      <c r="L1208">
        <v>1</v>
      </c>
      <c r="M1208" t="s">
        <v>50</v>
      </c>
      <c r="N1208">
        <v>4</v>
      </c>
      <c r="O1208" t="s">
        <v>41</v>
      </c>
      <c r="P1208" s="1">
        <v>2570</v>
      </c>
      <c r="Q1208" t="s">
        <v>72</v>
      </c>
      <c r="R1208" t="s">
        <v>43</v>
      </c>
      <c r="S1208">
        <v>4</v>
      </c>
      <c r="T1208">
        <v>7</v>
      </c>
      <c r="U1208">
        <v>3</v>
      </c>
      <c r="V1208">
        <v>7</v>
      </c>
      <c r="W1208">
        <v>7</v>
      </c>
      <c r="X1208">
        <v>5</v>
      </c>
      <c r="Y1208">
        <v>7</v>
      </c>
      <c r="Z1208" t="s">
        <v>1551</v>
      </c>
      <c r="AA1208" t="s">
        <v>69</v>
      </c>
      <c r="AB1208" t="str" cm="1">
        <f t="array" ref="AB1208">_xlfn.IFS(cleaned_data[[#This Row],[YearsAtCompany]]&lt;=5, "0-5",cleaned_data[[#This Row],[YearsAtCompany]]&lt;=10,"6-10",TRUE,"10+")</f>
        <v>6-10</v>
      </c>
    </row>
    <row r="1209" spans="1:28" x14ac:dyDescent="0.3">
      <c r="A1209" s="2">
        <v>55</v>
      </c>
      <c r="B1209" t="s">
        <v>43</v>
      </c>
      <c r="C1209">
        <v>0</v>
      </c>
      <c r="D1209" t="s">
        <v>36</v>
      </c>
      <c r="E1209" t="s">
        <v>45</v>
      </c>
      <c r="F1209">
        <v>22</v>
      </c>
      <c r="G1209" t="s">
        <v>60</v>
      </c>
      <c r="H1209" t="s">
        <v>1279</v>
      </c>
      <c r="I1209">
        <v>1</v>
      </c>
      <c r="J1209" t="s">
        <v>46</v>
      </c>
      <c r="K1209">
        <v>2</v>
      </c>
      <c r="L1209">
        <v>1</v>
      </c>
      <c r="M1209" t="s">
        <v>47</v>
      </c>
      <c r="N1209">
        <v>2</v>
      </c>
      <c r="O1209" t="s">
        <v>52</v>
      </c>
      <c r="P1209" s="1">
        <v>3537</v>
      </c>
      <c r="Q1209" t="s">
        <v>72</v>
      </c>
      <c r="R1209" t="s">
        <v>43</v>
      </c>
      <c r="S1209">
        <v>3</v>
      </c>
      <c r="T1209">
        <v>8</v>
      </c>
      <c r="U1209">
        <v>3</v>
      </c>
      <c r="V1209">
        <v>4</v>
      </c>
      <c r="W1209">
        <v>2</v>
      </c>
      <c r="X1209">
        <v>1</v>
      </c>
      <c r="Y1209">
        <v>2</v>
      </c>
      <c r="Z1209" t="s">
        <v>106</v>
      </c>
      <c r="AA1209" t="s">
        <v>69</v>
      </c>
      <c r="AB1209" t="str" cm="1">
        <f t="array" ref="AB1209">_xlfn.IFS(cleaned_data[[#This Row],[YearsAtCompany]]&lt;=5, "0-5",cleaned_data[[#This Row],[YearsAtCompany]]&lt;=10,"6-10",TRUE,"10+")</f>
        <v>0-5</v>
      </c>
    </row>
    <row r="1210" spans="1:28" x14ac:dyDescent="0.3">
      <c r="A1210" s="2">
        <v>34</v>
      </c>
      <c r="B1210" t="s">
        <v>43</v>
      </c>
      <c r="C1210">
        <v>0</v>
      </c>
      <c r="D1210" t="s">
        <v>36</v>
      </c>
      <c r="E1210" t="s">
        <v>45</v>
      </c>
      <c r="F1210">
        <v>5</v>
      </c>
      <c r="G1210" t="s">
        <v>51</v>
      </c>
      <c r="H1210" t="s">
        <v>1280</v>
      </c>
      <c r="I1210">
        <v>2</v>
      </c>
      <c r="J1210" t="s">
        <v>46</v>
      </c>
      <c r="K1210">
        <v>2</v>
      </c>
      <c r="L1210">
        <v>2</v>
      </c>
      <c r="M1210" t="s">
        <v>50</v>
      </c>
      <c r="N1210">
        <v>4</v>
      </c>
      <c r="O1210" t="s">
        <v>48</v>
      </c>
      <c r="P1210" s="1">
        <v>3986</v>
      </c>
      <c r="Q1210" t="s">
        <v>72</v>
      </c>
      <c r="R1210" t="s">
        <v>43</v>
      </c>
      <c r="S1210">
        <v>3</v>
      </c>
      <c r="T1210">
        <v>15</v>
      </c>
      <c r="U1210">
        <v>4</v>
      </c>
      <c r="V1210">
        <v>15</v>
      </c>
      <c r="W1210">
        <v>10</v>
      </c>
      <c r="X1210">
        <v>4</v>
      </c>
      <c r="Y1210">
        <v>13</v>
      </c>
      <c r="Z1210" t="s">
        <v>1551</v>
      </c>
      <c r="AA1210" t="s">
        <v>69</v>
      </c>
      <c r="AB1210" t="str" cm="1">
        <f t="array" ref="AB1210">_xlfn.IFS(cleaned_data[[#This Row],[YearsAtCompany]]&lt;=5, "0-5",cleaned_data[[#This Row],[YearsAtCompany]]&lt;=10,"6-10",TRUE,"10+")</f>
        <v>10+</v>
      </c>
    </row>
    <row r="1211" spans="1:28" x14ac:dyDescent="0.3">
      <c r="A1211" s="2">
        <v>60</v>
      </c>
      <c r="B1211" t="s">
        <v>43</v>
      </c>
      <c r="C1211">
        <v>0</v>
      </c>
      <c r="D1211" t="s">
        <v>36</v>
      </c>
      <c r="E1211" t="s">
        <v>45</v>
      </c>
      <c r="F1211">
        <v>1</v>
      </c>
      <c r="G1211" t="s">
        <v>51</v>
      </c>
      <c r="H1211" t="s">
        <v>1281</v>
      </c>
      <c r="I1211">
        <v>3</v>
      </c>
      <c r="J1211" t="s">
        <v>46</v>
      </c>
      <c r="K1211">
        <v>1</v>
      </c>
      <c r="L1211">
        <v>3</v>
      </c>
      <c r="M1211" t="s">
        <v>54</v>
      </c>
      <c r="N1211">
        <v>4</v>
      </c>
      <c r="O1211" t="s">
        <v>52</v>
      </c>
      <c r="P1211" s="1">
        <v>10883</v>
      </c>
      <c r="Q1211" t="s">
        <v>67</v>
      </c>
      <c r="R1211" t="s">
        <v>43</v>
      </c>
      <c r="S1211">
        <v>4</v>
      </c>
      <c r="T1211">
        <v>19</v>
      </c>
      <c r="U1211">
        <v>4</v>
      </c>
      <c r="V1211">
        <v>1</v>
      </c>
      <c r="W1211">
        <v>0</v>
      </c>
      <c r="X1211">
        <v>0</v>
      </c>
      <c r="Y1211">
        <v>0</v>
      </c>
      <c r="Z1211" t="s">
        <v>106</v>
      </c>
      <c r="AA1211" t="s">
        <v>82</v>
      </c>
      <c r="AB1211" t="str" cm="1">
        <f t="array" ref="AB1211">_xlfn.IFS(cleaned_data[[#This Row],[YearsAtCompany]]&lt;=5, "0-5",cleaned_data[[#This Row],[YearsAtCompany]]&lt;=10,"6-10",TRUE,"10+")</f>
        <v>0-5</v>
      </c>
    </row>
    <row r="1212" spans="1:28" x14ac:dyDescent="0.3">
      <c r="A1212" s="2">
        <v>33</v>
      </c>
      <c r="B1212" t="s">
        <v>43</v>
      </c>
      <c r="C1212">
        <v>0</v>
      </c>
      <c r="D1212" t="s">
        <v>36</v>
      </c>
      <c r="E1212" t="s">
        <v>45</v>
      </c>
      <c r="F1212">
        <v>21</v>
      </c>
      <c r="G1212" t="s">
        <v>51</v>
      </c>
      <c r="H1212" t="s">
        <v>1282</v>
      </c>
      <c r="I1212">
        <v>2</v>
      </c>
      <c r="J1212" t="s">
        <v>46</v>
      </c>
      <c r="K1212">
        <v>4</v>
      </c>
      <c r="L1212">
        <v>1</v>
      </c>
      <c r="M1212" t="s">
        <v>50</v>
      </c>
      <c r="N1212">
        <v>2</v>
      </c>
      <c r="O1212" t="s">
        <v>48</v>
      </c>
      <c r="P1212" s="1">
        <v>2028</v>
      </c>
      <c r="Q1212" t="s">
        <v>72</v>
      </c>
      <c r="R1212" t="s">
        <v>43</v>
      </c>
      <c r="S1212">
        <v>3</v>
      </c>
      <c r="T1212">
        <v>14</v>
      </c>
      <c r="U1212">
        <v>3</v>
      </c>
      <c r="V1212">
        <v>14</v>
      </c>
      <c r="W1212">
        <v>11</v>
      </c>
      <c r="X1212">
        <v>2</v>
      </c>
      <c r="Y1212">
        <v>13</v>
      </c>
      <c r="Z1212" t="s">
        <v>1551</v>
      </c>
      <c r="AA1212" t="s">
        <v>69</v>
      </c>
      <c r="AB1212" t="str" cm="1">
        <f t="array" ref="AB1212">_xlfn.IFS(cleaned_data[[#This Row],[YearsAtCompany]]&lt;=5, "0-5",cleaned_data[[#This Row],[YearsAtCompany]]&lt;=10,"6-10",TRUE,"10+")</f>
        <v>10+</v>
      </c>
    </row>
    <row r="1213" spans="1:28" x14ac:dyDescent="0.3">
      <c r="A1213" s="2">
        <v>37</v>
      </c>
      <c r="B1213" t="s">
        <v>43</v>
      </c>
      <c r="C1213">
        <v>0</v>
      </c>
      <c r="D1213" t="s">
        <v>44</v>
      </c>
      <c r="E1213" t="s">
        <v>37</v>
      </c>
      <c r="F1213">
        <v>1</v>
      </c>
      <c r="G1213" t="s">
        <v>51</v>
      </c>
      <c r="H1213" t="s">
        <v>1283</v>
      </c>
      <c r="I1213">
        <v>3</v>
      </c>
      <c r="J1213" t="s">
        <v>46</v>
      </c>
      <c r="K1213">
        <v>1</v>
      </c>
      <c r="L1213">
        <v>2</v>
      </c>
      <c r="M1213" t="s">
        <v>40</v>
      </c>
      <c r="N1213">
        <v>4</v>
      </c>
      <c r="O1213" t="s">
        <v>52</v>
      </c>
      <c r="P1213" s="1">
        <v>9525</v>
      </c>
      <c r="Q1213" t="s">
        <v>67</v>
      </c>
      <c r="R1213" t="s">
        <v>43</v>
      </c>
      <c r="S1213">
        <v>3</v>
      </c>
      <c r="T1213">
        <v>6</v>
      </c>
      <c r="U1213">
        <v>2</v>
      </c>
      <c r="V1213">
        <v>6</v>
      </c>
      <c r="W1213">
        <v>3</v>
      </c>
      <c r="X1213">
        <v>1</v>
      </c>
      <c r="Y1213">
        <v>3</v>
      </c>
      <c r="Z1213" t="s">
        <v>1550</v>
      </c>
      <c r="AA1213" t="s">
        <v>69</v>
      </c>
      <c r="AB1213" t="str" cm="1">
        <f t="array" ref="AB1213">_xlfn.IFS(cleaned_data[[#This Row],[YearsAtCompany]]&lt;=5, "0-5",cleaned_data[[#This Row],[YearsAtCompany]]&lt;=10,"6-10",TRUE,"10+")</f>
        <v>6-10</v>
      </c>
    </row>
    <row r="1214" spans="1:28" x14ac:dyDescent="0.3">
      <c r="A1214" s="2">
        <v>34</v>
      </c>
      <c r="B1214" t="s">
        <v>43</v>
      </c>
      <c r="C1214">
        <v>0</v>
      </c>
      <c r="D1214" t="s">
        <v>36</v>
      </c>
      <c r="E1214" t="s">
        <v>45</v>
      </c>
      <c r="F1214">
        <v>19</v>
      </c>
      <c r="G1214" t="s">
        <v>38</v>
      </c>
      <c r="H1214" t="s">
        <v>1284</v>
      </c>
      <c r="I1214">
        <v>2</v>
      </c>
      <c r="J1214" t="s">
        <v>39</v>
      </c>
      <c r="K1214">
        <v>2</v>
      </c>
      <c r="L1214">
        <v>1</v>
      </c>
      <c r="M1214" t="s">
        <v>47</v>
      </c>
      <c r="N1214">
        <v>4</v>
      </c>
      <c r="O1214" t="s">
        <v>48</v>
      </c>
      <c r="P1214" s="1">
        <v>2929</v>
      </c>
      <c r="Q1214" t="s">
        <v>72</v>
      </c>
      <c r="R1214" t="s">
        <v>43</v>
      </c>
      <c r="S1214">
        <v>3</v>
      </c>
      <c r="T1214">
        <v>10</v>
      </c>
      <c r="U1214">
        <v>3</v>
      </c>
      <c r="V1214">
        <v>10</v>
      </c>
      <c r="W1214">
        <v>9</v>
      </c>
      <c r="X1214">
        <v>8</v>
      </c>
      <c r="Y1214">
        <v>7</v>
      </c>
      <c r="Z1214" t="s">
        <v>1551</v>
      </c>
      <c r="AA1214" t="s">
        <v>69</v>
      </c>
      <c r="AB1214" t="str" cm="1">
        <f t="array" ref="AB1214">_xlfn.IFS(cleaned_data[[#This Row],[YearsAtCompany]]&lt;=5, "0-5",cleaned_data[[#This Row],[YearsAtCompany]]&lt;=10,"6-10",TRUE,"10+")</f>
        <v>6-10</v>
      </c>
    </row>
    <row r="1215" spans="1:28" x14ac:dyDescent="0.3">
      <c r="A1215" s="2">
        <v>23</v>
      </c>
      <c r="B1215" t="s">
        <v>35</v>
      </c>
      <c r="C1215">
        <v>1</v>
      </c>
      <c r="D1215" t="s">
        <v>36</v>
      </c>
      <c r="E1215" t="s">
        <v>37</v>
      </c>
      <c r="F1215">
        <v>7</v>
      </c>
      <c r="G1215" t="s">
        <v>38</v>
      </c>
      <c r="H1215" t="s">
        <v>1285</v>
      </c>
      <c r="I1215">
        <v>3</v>
      </c>
      <c r="J1215" t="s">
        <v>46</v>
      </c>
      <c r="K1215">
        <v>3</v>
      </c>
      <c r="L1215">
        <v>1</v>
      </c>
      <c r="M1215" t="s">
        <v>57</v>
      </c>
      <c r="N1215">
        <v>4</v>
      </c>
      <c r="O1215" t="s">
        <v>52</v>
      </c>
      <c r="P1215" s="1">
        <v>2275</v>
      </c>
      <c r="Q1215" t="s">
        <v>72</v>
      </c>
      <c r="R1215" t="s">
        <v>35</v>
      </c>
      <c r="S1215">
        <v>4</v>
      </c>
      <c r="T1215">
        <v>3</v>
      </c>
      <c r="U1215">
        <v>3</v>
      </c>
      <c r="V1215">
        <v>3</v>
      </c>
      <c r="W1215">
        <v>2</v>
      </c>
      <c r="X1215">
        <v>0</v>
      </c>
      <c r="Y1215">
        <v>2</v>
      </c>
      <c r="Z1215" t="s">
        <v>68</v>
      </c>
      <c r="AA1215" t="s">
        <v>78</v>
      </c>
      <c r="AB1215" t="str" cm="1">
        <f t="array" ref="AB1215">_xlfn.IFS(cleaned_data[[#This Row],[YearsAtCompany]]&lt;=5, "0-5",cleaned_data[[#This Row],[YearsAtCompany]]&lt;=10,"6-10",TRUE,"10+")</f>
        <v>0-5</v>
      </c>
    </row>
    <row r="1216" spans="1:28" x14ac:dyDescent="0.3">
      <c r="A1216" s="2">
        <v>44</v>
      </c>
      <c r="B1216" t="s">
        <v>43</v>
      </c>
      <c r="C1216">
        <v>0</v>
      </c>
      <c r="D1216" t="s">
        <v>36</v>
      </c>
      <c r="E1216" t="s">
        <v>45</v>
      </c>
      <c r="F1216">
        <v>2</v>
      </c>
      <c r="G1216" t="s">
        <v>38</v>
      </c>
      <c r="H1216" t="s">
        <v>1286</v>
      </c>
      <c r="I1216">
        <v>3</v>
      </c>
      <c r="J1216" t="s">
        <v>39</v>
      </c>
      <c r="K1216">
        <v>4</v>
      </c>
      <c r="L1216">
        <v>3</v>
      </c>
      <c r="M1216" t="s">
        <v>54</v>
      </c>
      <c r="N1216">
        <v>4</v>
      </c>
      <c r="O1216" t="s">
        <v>48</v>
      </c>
      <c r="P1216" s="1">
        <v>7879</v>
      </c>
      <c r="Q1216" t="s">
        <v>67</v>
      </c>
      <c r="R1216" t="s">
        <v>35</v>
      </c>
      <c r="S1216">
        <v>3</v>
      </c>
      <c r="T1216">
        <v>9</v>
      </c>
      <c r="U1216">
        <v>3</v>
      </c>
      <c r="V1216">
        <v>8</v>
      </c>
      <c r="W1216">
        <v>7</v>
      </c>
      <c r="X1216">
        <v>6</v>
      </c>
      <c r="Y1216">
        <v>7</v>
      </c>
      <c r="Z1216" t="s">
        <v>1550</v>
      </c>
      <c r="AA1216" t="s">
        <v>69</v>
      </c>
      <c r="AB1216" t="str" cm="1">
        <f t="array" ref="AB1216">_xlfn.IFS(cleaned_data[[#This Row],[YearsAtCompany]]&lt;=5, "0-5",cleaned_data[[#This Row],[YearsAtCompany]]&lt;=10,"6-10",TRUE,"10+")</f>
        <v>6-10</v>
      </c>
    </row>
    <row r="1217" spans="1:28" x14ac:dyDescent="0.3">
      <c r="A1217" s="2">
        <v>35</v>
      </c>
      <c r="B1217" t="s">
        <v>43</v>
      </c>
      <c r="C1217">
        <v>0</v>
      </c>
      <c r="D1217" t="s">
        <v>44</v>
      </c>
      <c r="E1217" t="s">
        <v>45</v>
      </c>
      <c r="F1217">
        <v>2</v>
      </c>
      <c r="G1217" t="s">
        <v>51</v>
      </c>
      <c r="H1217" t="s">
        <v>1287</v>
      </c>
      <c r="I1217">
        <v>1</v>
      </c>
      <c r="J1217" t="s">
        <v>46</v>
      </c>
      <c r="K1217">
        <v>2</v>
      </c>
      <c r="L1217">
        <v>1</v>
      </c>
      <c r="M1217" t="s">
        <v>47</v>
      </c>
      <c r="N1217">
        <v>4</v>
      </c>
      <c r="O1217" t="s">
        <v>41</v>
      </c>
      <c r="P1217" s="1">
        <v>4930</v>
      </c>
      <c r="Q1217" t="s">
        <v>72</v>
      </c>
      <c r="R1217" t="s">
        <v>35</v>
      </c>
      <c r="S1217">
        <v>3</v>
      </c>
      <c r="T1217">
        <v>6</v>
      </c>
      <c r="U1217">
        <v>4</v>
      </c>
      <c r="V1217">
        <v>5</v>
      </c>
      <c r="W1217">
        <v>4</v>
      </c>
      <c r="X1217">
        <v>1</v>
      </c>
      <c r="Y1217">
        <v>4</v>
      </c>
      <c r="Z1217" t="s">
        <v>1551</v>
      </c>
      <c r="AA1217" t="s">
        <v>69</v>
      </c>
      <c r="AB1217" t="str" cm="1">
        <f t="array" ref="AB1217">_xlfn.IFS(cleaned_data[[#This Row],[YearsAtCompany]]&lt;=5, "0-5",cleaned_data[[#This Row],[YearsAtCompany]]&lt;=10,"6-10",TRUE,"10+")</f>
        <v>0-5</v>
      </c>
    </row>
    <row r="1218" spans="1:28" x14ac:dyDescent="0.3">
      <c r="A1218" s="2">
        <v>43</v>
      </c>
      <c r="B1218" t="s">
        <v>43</v>
      </c>
      <c r="C1218">
        <v>0</v>
      </c>
      <c r="D1218" t="s">
        <v>36</v>
      </c>
      <c r="E1218" t="s">
        <v>37</v>
      </c>
      <c r="F1218">
        <v>2</v>
      </c>
      <c r="G1218" t="s">
        <v>51</v>
      </c>
      <c r="H1218" t="s">
        <v>1288</v>
      </c>
      <c r="I1218">
        <v>4</v>
      </c>
      <c r="J1218" t="s">
        <v>46</v>
      </c>
      <c r="K1218">
        <v>3</v>
      </c>
      <c r="L1218">
        <v>2</v>
      </c>
      <c r="M1218" t="s">
        <v>40</v>
      </c>
      <c r="N1218">
        <v>4</v>
      </c>
      <c r="O1218" t="s">
        <v>48</v>
      </c>
      <c r="P1218" s="1">
        <v>7847</v>
      </c>
      <c r="Q1218" t="s">
        <v>67</v>
      </c>
      <c r="R1218" t="s">
        <v>35</v>
      </c>
      <c r="S1218">
        <v>3</v>
      </c>
      <c r="T1218">
        <v>10</v>
      </c>
      <c r="U1218">
        <v>3</v>
      </c>
      <c r="V1218">
        <v>10</v>
      </c>
      <c r="W1218">
        <v>9</v>
      </c>
      <c r="X1218">
        <v>8</v>
      </c>
      <c r="Y1218">
        <v>8</v>
      </c>
      <c r="Z1218" t="s">
        <v>1550</v>
      </c>
      <c r="AA1218" t="s">
        <v>69</v>
      </c>
      <c r="AB1218" t="str" cm="1">
        <f t="array" ref="AB1218">_xlfn.IFS(cleaned_data[[#This Row],[YearsAtCompany]]&lt;=5, "0-5",cleaned_data[[#This Row],[YearsAtCompany]]&lt;=10,"6-10",TRUE,"10+")</f>
        <v>6-10</v>
      </c>
    </row>
    <row r="1219" spans="1:28" x14ac:dyDescent="0.3">
      <c r="A1219" s="2">
        <v>24</v>
      </c>
      <c r="B1219" t="s">
        <v>43</v>
      </c>
      <c r="C1219">
        <v>0</v>
      </c>
      <c r="D1219" t="s">
        <v>36</v>
      </c>
      <c r="E1219" t="s">
        <v>45</v>
      </c>
      <c r="F1219">
        <v>9</v>
      </c>
      <c r="G1219" t="s">
        <v>51</v>
      </c>
      <c r="H1219" t="s">
        <v>1289</v>
      </c>
      <c r="I1219">
        <v>3</v>
      </c>
      <c r="J1219" t="s">
        <v>46</v>
      </c>
      <c r="K1219">
        <v>4</v>
      </c>
      <c r="L1219">
        <v>1</v>
      </c>
      <c r="M1219" t="s">
        <v>47</v>
      </c>
      <c r="N1219">
        <v>3</v>
      </c>
      <c r="O1219" t="s">
        <v>48</v>
      </c>
      <c r="P1219" s="1">
        <v>4401</v>
      </c>
      <c r="Q1219" t="s">
        <v>72</v>
      </c>
      <c r="R1219" t="s">
        <v>43</v>
      </c>
      <c r="S1219">
        <v>3</v>
      </c>
      <c r="T1219">
        <v>5</v>
      </c>
      <c r="U1219">
        <v>3</v>
      </c>
      <c r="V1219">
        <v>5</v>
      </c>
      <c r="W1219">
        <v>3</v>
      </c>
      <c r="X1219">
        <v>0</v>
      </c>
      <c r="Y1219">
        <v>4</v>
      </c>
      <c r="Z1219" t="s">
        <v>68</v>
      </c>
      <c r="AA1219" t="s">
        <v>78</v>
      </c>
      <c r="AB1219" t="str" cm="1">
        <f t="array" ref="AB1219">_xlfn.IFS(cleaned_data[[#This Row],[YearsAtCompany]]&lt;=5, "0-5",cleaned_data[[#This Row],[YearsAtCompany]]&lt;=10,"6-10",TRUE,"10+")</f>
        <v>0-5</v>
      </c>
    </row>
    <row r="1220" spans="1:28" x14ac:dyDescent="0.3">
      <c r="A1220" s="2">
        <v>41</v>
      </c>
      <c r="B1220" t="s">
        <v>43</v>
      </c>
      <c r="C1220">
        <v>0</v>
      </c>
      <c r="D1220" t="s">
        <v>36</v>
      </c>
      <c r="E1220" t="s">
        <v>37</v>
      </c>
      <c r="F1220">
        <v>6</v>
      </c>
      <c r="G1220" t="s">
        <v>59</v>
      </c>
      <c r="H1220" t="s">
        <v>1290</v>
      </c>
      <c r="I1220">
        <v>4</v>
      </c>
      <c r="J1220" t="s">
        <v>46</v>
      </c>
      <c r="K1220">
        <v>3</v>
      </c>
      <c r="L1220">
        <v>3</v>
      </c>
      <c r="M1220" t="s">
        <v>40</v>
      </c>
      <c r="N1220">
        <v>3</v>
      </c>
      <c r="O1220" t="s">
        <v>41</v>
      </c>
      <c r="P1220" s="1">
        <v>9241</v>
      </c>
      <c r="Q1220" t="s">
        <v>67</v>
      </c>
      <c r="R1220" t="s">
        <v>43</v>
      </c>
      <c r="S1220">
        <v>3</v>
      </c>
      <c r="T1220">
        <v>10</v>
      </c>
      <c r="U1220">
        <v>3</v>
      </c>
      <c r="V1220">
        <v>10</v>
      </c>
      <c r="W1220">
        <v>8</v>
      </c>
      <c r="X1220">
        <v>8</v>
      </c>
      <c r="Y1220">
        <v>7</v>
      </c>
      <c r="Z1220" t="s">
        <v>1550</v>
      </c>
      <c r="AA1220" t="s">
        <v>69</v>
      </c>
      <c r="AB1220" t="str" cm="1">
        <f t="array" ref="AB1220">_xlfn.IFS(cleaned_data[[#This Row],[YearsAtCompany]]&lt;=5, "0-5",cleaned_data[[#This Row],[YearsAtCompany]]&lt;=10,"6-10",TRUE,"10+")</f>
        <v>6-10</v>
      </c>
    </row>
    <row r="1221" spans="1:28" x14ac:dyDescent="0.3">
      <c r="A1221" s="2">
        <v>29</v>
      </c>
      <c r="B1221" t="s">
        <v>43</v>
      </c>
      <c r="C1221">
        <v>0</v>
      </c>
      <c r="D1221" t="s">
        <v>36</v>
      </c>
      <c r="E1221" t="s">
        <v>45</v>
      </c>
      <c r="F1221">
        <v>9</v>
      </c>
      <c r="G1221" t="s">
        <v>51</v>
      </c>
      <c r="H1221" t="s">
        <v>1291</v>
      </c>
      <c r="I1221">
        <v>4</v>
      </c>
      <c r="J1221" t="s">
        <v>39</v>
      </c>
      <c r="K1221">
        <v>3</v>
      </c>
      <c r="L1221">
        <v>1</v>
      </c>
      <c r="M1221" t="s">
        <v>50</v>
      </c>
      <c r="N1221">
        <v>3</v>
      </c>
      <c r="O1221" t="s">
        <v>48</v>
      </c>
      <c r="P1221" s="1">
        <v>2974</v>
      </c>
      <c r="Q1221" t="s">
        <v>72</v>
      </c>
      <c r="R1221" t="s">
        <v>43</v>
      </c>
      <c r="S1221">
        <v>3</v>
      </c>
      <c r="T1221">
        <v>9</v>
      </c>
      <c r="U1221">
        <v>3</v>
      </c>
      <c r="V1221">
        <v>5</v>
      </c>
      <c r="W1221">
        <v>3</v>
      </c>
      <c r="X1221">
        <v>1</v>
      </c>
      <c r="Y1221">
        <v>2</v>
      </c>
      <c r="Z1221" t="s">
        <v>1551</v>
      </c>
      <c r="AA1221" t="s">
        <v>69</v>
      </c>
      <c r="AB1221" t="str" cm="1">
        <f t="array" ref="AB1221">_xlfn.IFS(cleaned_data[[#This Row],[YearsAtCompany]]&lt;=5, "0-5",cleaned_data[[#This Row],[YearsAtCompany]]&lt;=10,"6-10",TRUE,"10+")</f>
        <v>0-5</v>
      </c>
    </row>
    <row r="1222" spans="1:28" x14ac:dyDescent="0.3">
      <c r="A1222" s="2">
        <v>36</v>
      </c>
      <c r="B1222" t="s">
        <v>43</v>
      </c>
      <c r="C1222">
        <v>0</v>
      </c>
      <c r="D1222" t="s">
        <v>36</v>
      </c>
      <c r="E1222" t="s">
        <v>37</v>
      </c>
      <c r="F1222">
        <v>2</v>
      </c>
      <c r="G1222" t="s">
        <v>38</v>
      </c>
      <c r="H1222" t="s">
        <v>1292</v>
      </c>
      <c r="I1222">
        <v>3</v>
      </c>
      <c r="J1222" t="s">
        <v>39</v>
      </c>
      <c r="K1222">
        <v>3</v>
      </c>
      <c r="L1222">
        <v>2</v>
      </c>
      <c r="M1222" t="s">
        <v>57</v>
      </c>
      <c r="N1222">
        <v>4</v>
      </c>
      <c r="O1222" t="s">
        <v>41</v>
      </c>
      <c r="P1222" s="1">
        <v>4502</v>
      </c>
      <c r="Q1222" t="s">
        <v>72</v>
      </c>
      <c r="R1222" t="s">
        <v>43</v>
      </c>
      <c r="S1222">
        <v>3</v>
      </c>
      <c r="T1222">
        <v>17</v>
      </c>
      <c r="U1222">
        <v>2</v>
      </c>
      <c r="V1222">
        <v>13</v>
      </c>
      <c r="W1222">
        <v>7</v>
      </c>
      <c r="X1222">
        <v>6</v>
      </c>
      <c r="Y1222">
        <v>7</v>
      </c>
      <c r="Z1222" t="s">
        <v>1550</v>
      </c>
      <c r="AA1222" t="s">
        <v>82</v>
      </c>
      <c r="AB1222" t="str" cm="1">
        <f t="array" ref="AB1222">_xlfn.IFS(cleaned_data[[#This Row],[YearsAtCompany]]&lt;=5, "0-5",cleaned_data[[#This Row],[YearsAtCompany]]&lt;=10,"6-10",TRUE,"10+")</f>
        <v>10+</v>
      </c>
    </row>
    <row r="1223" spans="1:28" x14ac:dyDescent="0.3">
      <c r="A1223" s="2">
        <v>45</v>
      </c>
      <c r="B1223" t="s">
        <v>43</v>
      </c>
      <c r="C1223">
        <v>0</v>
      </c>
      <c r="D1223" t="s">
        <v>55</v>
      </c>
      <c r="E1223" t="s">
        <v>45</v>
      </c>
      <c r="F1223">
        <v>1</v>
      </c>
      <c r="G1223" t="s">
        <v>38</v>
      </c>
      <c r="H1223" t="s">
        <v>1293</v>
      </c>
      <c r="I1223">
        <v>3</v>
      </c>
      <c r="J1223" t="s">
        <v>46</v>
      </c>
      <c r="K1223">
        <v>2</v>
      </c>
      <c r="L1223">
        <v>3</v>
      </c>
      <c r="M1223" t="s">
        <v>54</v>
      </c>
      <c r="N1223">
        <v>3</v>
      </c>
      <c r="O1223" t="s">
        <v>48</v>
      </c>
      <c r="P1223" s="1">
        <v>10748</v>
      </c>
      <c r="Q1223" t="s">
        <v>67</v>
      </c>
      <c r="R1223" t="s">
        <v>43</v>
      </c>
      <c r="S1223">
        <v>4</v>
      </c>
      <c r="T1223">
        <v>25</v>
      </c>
      <c r="U1223">
        <v>2</v>
      </c>
      <c r="V1223">
        <v>23</v>
      </c>
      <c r="W1223">
        <v>15</v>
      </c>
      <c r="X1223">
        <v>14</v>
      </c>
      <c r="Y1223">
        <v>4</v>
      </c>
      <c r="Z1223" t="s">
        <v>1550</v>
      </c>
      <c r="AA1223" t="s">
        <v>82</v>
      </c>
      <c r="AB1223" t="str" cm="1">
        <f t="array" ref="AB1223">_xlfn.IFS(cleaned_data[[#This Row],[YearsAtCompany]]&lt;=5, "0-5",cleaned_data[[#This Row],[YearsAtCompany]]&lt;=10,"6-10",TRUE,"10+")</f>
        <v>10+</v>
      </c>
    </row>
    <row r="1224" spans="1:28" x14ac:dyDescent="0.3">
      <c r="A1224" s="2">
        <v>24</v>
      </c>
      <c r="B1224" t="s">
        <v>35</v>
      </c>
      <c r="C1224">
        <v>1</v>
      </c>
      <c r="D1224" t="s">
        <v>36</v>
      </c>
      <c r="E1224" t="s">
        <v>61</v>
      </c>
      <c r="F1224">
        <v>22</v>
      </c>
      <c r="G1224" t="s">
        <v>61</v>
      </c>
      <c r="H1224" t="s">
        <v>1294</v>
      </c>
      <c r="I1224">
        <v>4</v>
      </c>
      <c r="J1224" t="s">
        <v>46</v>
      </c>
      <c r="K1224">
        <v>1</v>
      </c>
      <c r="L1224">
        <v>1</v>
      </c>
      <c r="M1224" t="s">
        <v>61</v>
      </c>
      <c r="N1224">
        <v>3</v>
      </c>
      <c r="O1224" t="s">
        <v>48</v>
      </c>
      <c r="P1224" s="1">
        <v>1555</v>
      </c>
      <c r="Q1224" t="s">
        <v>72</v>
      </c>
      <c r="R1224" t="s">
        <v>43</v>
      </c>
      <c r="S1224">
        <v>3</v>
      </c>
      <c r="T1224">
        <v>1</v>
      </c>
      <c r="U1224">
        <v>3</v>
      </c>
      <c r="V1224">
        <v>1</v>
      </c>
      <c r="W1224">
        <v>0</v>
      </c>
      <c r="X1224">
        <v>0</v>
      </c>
      <c r="Y1224">
        <v>0</v>
      </c>
      <c r="Z1224" t="s">
        <v>68</v>
      </c>
      <c r="AA1224" t="s">
        <v>78</v>
      </c>
      <c r="AB1224" t="str" cm="1">
        <f t="array" ref="AB1224">_xlfn.IFS(cleaned_data[[#This Row],[YearsAtCompany]]&lt;=5, "0-5",cleaned_data[[#This Row],[YearsAtCompany]]&lt;=10,"6-10",TRUE,"10+")</f>
        <v>0-5</v>
      </c>
    </row>
    <row r="1225" spans="1:28" x14ac:dyDescent="0.3">
      <c r="A1225" s="2">
        <v>47</v>
      </c>
      <c r="B1225" t="s">
        <v>35</v>
      </c>
      <c r="C1225">
        <v>1</v>
      </c>
      <c r="D1225" t="s">
        <v>44</v>
      </c>
      <c r="E1225" t="s">
        <v>37</v>
      </c>
      <c r="F1225">
        <v>9</v>
      </c>
      <c r="G1225" t="s">
        <v>38</v>
      </c>
      <c r="H1225" t="s">
        <v>1295</v>
      </c>
      <c r="I1225">
        <v>3</v>
      </c>
      <c r="J1225" t="s">
        <v>46</v>
      </c>
      <c r="K1225">
        <v>1</v>
      </c>
      <c r="L1225">
        <v>4</v>
      </c>
      <c r="M1225" t="s">
        <v>40</v>
      </c>
      <c r="N1225">
        <v>3</v>
      </c>
      <c r="O1225" t="s">
        <v>48</v>
      </c>
      <c r="P1225" s="1">
        <v>12936</v>
      </c>
      <c r="Q1225" t="s">
        <v>90</v>
      </c>
      <c r="R1225" t="s">
        <v>43</v>
      </c>
      <c r="S1225">
        <v>3</v>
      </c>
      <c r="T1225">
        <v>25</v>
      </c>
      <c r="U1225">
        <v>1</v>
      </c>
      <c r="V1225">
        <v>23</v>
      </c>
      <c r="W1225">
        <v>5</v>
      </c>
      <c r="X1225">
        <v>14</v>
      </c>
      <c r="Y1225">
        <v>10</v>
      </c>
      <c r="Z1225" t="s">
        <v>106</v>
      </c>
      <c r="AA1225" t="s">
        <v>82</v>
      </c>
      <c r="AB1225" t="str" cm="1">
        <f t="array" ref="AB1225">_xlfn.IFS(cleaned_data[[#This Row],[YearsAtCompany]]&lt;=5, "0-5",cleaned_data[[#This Row],[YearsAtCompany]]&lt;=10,"6-10",TRUE,"10+")</f>
        <v>10+</v>
      </c>
    </row>
    <row r="1226" spans="1:28" x14ac:dyDescent="0.3">
      <c r="A1226" s="2">
        <v>26</v>
      </c>
      <c r="B1226" t="s">
        <v>43</v>
      </c>
      <c r="C1226">
        <v>0</v>
      </c>
      <c r="D1226" t="s">
        <v>36</v>
      </c>
      <c r="E1226" t="s">
        <v>45</v>
      </c>
      <c r="F1226">
        <v>17</v>
      </c>
      <c r="G1226" t="s">
        <v>51</v>
      </c>
      <c r="H1226" t="s">
        <v>1296</v>
      </c>
      <c r="I1226">
        <v>4</v>
      </c>
      <c r="J1226" t="s">
        <v>46</v>
      </c>
      <c r="K1226">
        <v>1</v>
      </c>
      <c r="L1226">
        <v>1</v>
      </c>
      <c r="M1226" t="s">
        <v>50</v>
      </c>
      <c r="N1226">
        <v>3</v>
      </c>
      <c r="O1226" t="s">
        <v>48</v>
      </c>
      <c r="P1226" s="1">
        <v>2305</v>
      </c>
      <c r="Q1226" t="s">
        <v>72</v>
      </c>
      <c r="R1226" t="s">
        <v>43</v>
      </c>
      <c r="S1226">
        <v>3</v>
      </c>
      <c r="T1226">
        <v>3</v>
      </c>
      <c r="U1226">
        <v>4</v>
      </c>
      <c r="V1226">
        <v>3</v>
      </c>
      <c r="W1226">
        <v>2</v>
      </c>
      <c r="X1226">
        <v>0</v>
      </c>
      <c r="Y1226">
        <v>2</v>
      </c>
      <c r="Z1226" t="s">
        <v>1551</v>
      </c>
      <c r="AA1226" t="s">
        <v>78</v>
      </c>
      <c r="AB1226" t="str" cm="1">
        <f t="array" ref="AB1226">_xlfn.IFS(cleaned_data[[#This Row],[YearsAtCompany]]&lt;=5, "0-5",cleaned_data[[#This Row],[YearsAtCompany]]&lt;=10,"6-10",TRUE,"10+")</f>
        <v>0-5</v>
      </c>
    </row>
    <row r="1227" spans="1:28" x14ac:dyDescent="0.3">
      <c r="A1227" s="2">
        <v>45</v>
      </c>
      <c r="B1227" t="s">
        <v>43</v>
      </c>
      <c r="C1227">
        <v>0</v>
      </c>
      <c r="D1227" t="s">
        <v>36</v>
      </c>
      <c r="E1227" t="s">
        <v>45</v>
      </c>
      <c r="F1227">
        <v>28</v>
      </c>
      <c r="G1227" t="s">
        <v>60</v>
      </c>
      <c r="H1227" t="s">
        <v>1297</v>
      </c>
      <c r="I1227">
        <v>4</v>
      </c>
      <c r="J1227" t="s">
        <v>39</v>
      </c>
      <c r="K1227">
        <v>2</v>
      </c>
      <c r="L1227">
        <v>4</v>
      </c>
      <c r="M1227" t="s">
        <v>58</v>
      </c>
      <c r="N1227">
        <v>2</v>
      </c>
      <c r="O1227" t="s">
        <v>41</v>
      </c>
      <c r="P1227" s="1">
        <v>16704</v>
      </c>
      <c r="Q1227" t="s">
        <v>90</v>
      </c>
      <c r="R1227" t="s">
        <v>43</v>
      </c>
      <c r="S1227">
        <v>3</v>
      </c>
      <c r="T1227">
        <v>21</v>
      </c>
      <c r="U1227">
        <v>3</v>
      </c>
      <c r="V1227">
        <v>21</v>
      </c>
      <c r="W1227">
        <v>6</v>
      </c>
      <c r="X1227">
        <v>8</v>
      </c>
      <c r="Y1227">
        <v>6</v>
      </c>
      <c r="Z1227" t="s">
        <v>1550</v>
      </c>
      <c r="AA1227" t="s">
        <v>82</v>
      </c>
      <c r="AB1227" t="str" cm="1">
        <f t="array" ref="AB1227">_xlfn.IFS(cleaned_data[[#This Row],[YearsAtCompany]]&lt;=5, "0-5",cleaned_data[[#This Row],[YearsAtCompany]]&lt;=10,"6-10",TRUE,"10+")</f>
        <v>10+</v>
      </c>
    </row>
    <row r="1228" spans="1:28" x14ac:dyDescent="0.3">
      <c r="A1228" s="2">
        <v>32</v>
      </c>
      <c r="B1228" t="s">
        <v>43</v>
      </c>
      <c r="C1228">
        <v>0</v>
      </c>
      <c r="D1228" t="s">
        <v>44</v>
      </c>
      <c r="E1228" t="s">
        <v>45</v>
      </c>
      <c r="F1228">
        <v>10</v>
      </c>
      <c r="G1228" t="s">
        <v>38</v>
      </c>
      <c r="H1228" t="s">
        <v>1298</v>
      </c>
      <c r="I1228">
        <v>1</v>
      </c>
      <c r="J1228" t="s">
        <v>46</v>
      </c>
      <c r="K1228">
        <v>3</v>
      </c>
      <c r="L1228">
        <v>1</v>
      </c>
      <c r="M1228" t="s">
        <v>47</v>
      </c>
      <c r="N1228">
        <v>3</v>
      </c>
      <c r="O1228" t="s">
        <v>48</v>
      </c>
      <c r="P1228" s="1">
        <v>3433</v>
      </c>
      <c r="Q1228" t="s">
        <v>72</v>
      </c>
      <c r="R1228" t="s">
        <v>43</v>
      </c>
      <c r="S1228">
        <v>3</v>
      </c>
      <c r="T1228">
        <v>10</v>
      </c>
      <c r="U1228">
        <v>2</v>
      </c>
      <c r="V1228">
        <v>5</v>
      </c>
      <c r="W1228">
        <v>2</v>
      </c>
      <c r="X1228">
        <v>1</v>
      </c>
      <c r="Y1228">
        <v>3</v>
      </c>
      <c r="Z1228" t="s">
        <v>1551</v>
      </c>
      <c r="AA1228" t="s">
        <v>69</v>
      </c>
      <c r="AB1228" t="str" cm="1">
        <f t="array" ref="AB1228">_xlfn.IFS(cleaned_data[[#This Row],[YearsAtCompany]]&lt;=5, "0-5",cleaned_data[[#This Row],[YearsAtCompany]]&lt;=10,"6-10",TRUE,"10+")</f>
        <v>0-5</v>
      </c>
    </row>
    <row r="1229" spans="1:28" x14ac:dyDescent="0.3">
      <c r="A1229" s="2">
        <v>31</v>
      </c>
      <c r="B1229" t="s">
        <v>43</v>
      </c>
      <c r="C1229">
        <v>0</v>
      </c>
      <c r="D1229" t="s">
        <v>36</v>
      </c>
      <c r="E1229" t="s">
        <v>45</v>
      </c>
      <c r="F1229">
        <v>2</v>
      </c>
      <c r="G1229" t="s">
        <v>38</v>
      </c>
      <c r="H1229" t="s">
        <v>1299</v>
      </c>
      <c r="I1229">
        <v>2</v>
      </c>
      <c r="J1229" t="s">
        <v>46</v>
      </c>
      <c r="K1229">
        <v>3</v>
      </c>
      <c r="L1229">
        <v>1</v>
      </c>
      <c r="M1229" t="s">
        <v>50</v>
      </c>
      <c r="N1229">
        <v>3</v>
      </c>
      <c r="O1229" t="s">
        <v>48</v>
      </c>
      <c r="P1229" s="1">
        <v>3477</v>
      </c>
      <c r="Q1229" t="s">
        <v>72</v>
      </c>
      <c r="R1229" t="s">
        <v>43</v>
      </c>
      <c r="S1229">
        <v>3</v>
      </c>
      <c r="T1229">
        <v>6</v>
      </c>
      <c r="U1229">
        <v>4</v>
      </c>
      <c r="V1229">
        <v>5</v>
      </c>
      <c r="W1229">
        <v>2</v>
      </c>
      <c r="X1229">
        <v>0</v>
      </c>
      <c r="Y1229">
        <v>3</v>
      </c>
      <c r="Z1229" t="s">
        <v>1551</v>
      </c>
      <c r="AA1229" t="s">
        <v>69</v>
      </c>
      <c r="AB1229" t="str" cm="1">
        <f t="array" ref="AB1229">_xlfn.IFS(cleaned_data[[#This Row],[YearsAtCompany]]&lt;=5, "0-5",cleaned_data[[#This Row],[YearsAtCompany]]&lt;=10,"6-10",TRUE,"10+")</f>
        <v>0-5</v>
      </c>
    </row>
    <row r="1230" spans="1:28" x14ac:dyDescent="0.3">
      <c r="A1230" s="2">
        <v>41</v>
      </c>
      <c r="B1230" t="s">
        <v>43</v>
      </c>
      <c r="C1230">
        <v>0</v>
      </c>
      <c r="D1230" t="s">
        <v>55</v>
      </c>
      <c r="E1230" t="s">
        <v>61</v>
      </c>
      <c r="F1230">
        <v>4</v>
      </c>
      <c r="G1230" t="s">
        <v>61</v>
      </c>
      <c r="H1230" t="s">
        <v>1300</v>
      </c>
      <c r="I1230">
        <v>3</v>
      </c>
      <c r="J1230" t="s">
        <v>46</v>
      </c>
      <c r="K1230">
        <v>1</v>
      </c>
      <c r="L1230">
        <v>2</v>
      </c>
      <c r="M1230" t="s">
        <v>61</v>
      </c>
      <c r="N1230">
        <v>2</v>
      </c>
      <c r="O1230" t="s">
        <v>48</v>
      </c>
      <c r="P1230" s="1">
        <v>6430</v>
      </c>
      <c r="Q1230" t="s">
        <v>67</v>
      </c>
      <c r="R1230" t="s">
        <v>43</v>
      </c>
      <c r="S1230">
        <v>3</v>
      </c>
      <c r="T1230">
        <v>10</v>
      </c>
      <c r="U1230">
        <v>3</v>
      </c>
      <c r="V1230">
        <v>3</v>
      </c>
      <c r="W1230">
        <v>2</v>
      </c>
      <c r="X1230">
        <v>1</v>
      </c>
      <c r="Y1230">
        <v>2</v>
      </c>
      <c r="Z1230" t="s">
        <v>1550</v>
      </c>
      <c r="AA1230" t="s">
        <v>69</v>
      </c>
      <c r="AB1230" t="str" cm="1">
        <f t="array" ref="AB1230">_xlfn.IFS(cleaned_data[[#This Row],[YearsAtCompany]]&lt;=5, "0-5",cleaned_data[[#This Row],[YearsAtCompany]]&lt;=10,"6-10",TRUE,"10+")</f>
        <v>0-5</v>
      </c>
    </row>
    <row r="1231" spans="1:28" x14ac:dyDescent="0.3">
      <c r="A1231" s="2">
        <v>40</v>
      </c>
      <c r="B1231" t="s">
        <v>43</v>
      </c>
      <c r="C1231">
        <v>0</v>
      </c>
      <c r="D1231" t="s">
        <v>36</v>
      </c>
      <c r="E1231" t="s">
        <v>45</v>
      </c>
      <c r="F1231">
        <v>8</v>
      </c>
      <c r="G1231" t="s">
        <v>38</v>
      </c>
      <c r="H1231" t="s">
        <v>1301</v>
      </c>
      <c r="I1231">
        <v>2</v>
      </c>
      <c r="J1231" t="s">
        <v>39</v>
      </c>
      <c r="K1231">
        <v>3</v>
      </c>
      <c r="L1231">
        <v>2</v>
      </c>
      <c r="M1231" t="s">
        <v>53</v>
      </c>
      <c r="N1231">
        <v>1</v>
      </c>
      <c r="O1231" t="s">
        <v>48</v>
      </c>
      <c r="P1231" s="6">
        <v>6516</v>
      </c>
      <c r="Q1231" t="s">
        <v>67</v>
      </c>
      <c r="R1231" t="s">
        <v>35</v>
      </c>
      <c r="S1231">
        <v>3</v>
      </c>
      <c r="T1231">
        <v>18</v>
      </c>
      <c r="U1231">
        <v>3</v>
      </c>
      <c r="V1231">
        <v>1</v>
      </c>
      <c r="W1231">
        <v>0</v>
      </c>
      <c r="X1231">
        <v>0</v>
      </c>
      <c r="Y1231">
        <v>0</v>
      </c>
      <c r="Z1231" t="s">
        <v>1550</v>
      </c>
      <c r="AA1231" t="s">
        <v>82</v>
      </c>
      <c r="AB1231" t="str" cm="1">
        <f t="array" ref="AB1231">_xlfn.IFS(cleaned_data[[#This Row],[YearsAtCompany]]&lt;=5, "0-5",cleaned_data[[#This Row],[YearsAtCompany]]&lt;=10,"6-10",TRUE,"10+")</f>
        <v>0-5</v>
      </c>
    </row>
    <row r="1232" spans="1:28" x14ac:dyDescent="0.3">
      <c r="A1232" s="2">
        <v>24</v>
      </c>
      <c r="B1232" t="s">
        <v>43</v>
      </c>
      <c r="C1232">
        <v>0</v>
      </c>
      <c r="D1232" t="s">
        <v>36</v>
      </c>
      <c r="E1232" t="s">
        <v>45</v>
      </c>
      <c r="F1232">
        <v>29</v>
      </c>
      <c r="G1232" t="s">
        <v>51</v>
      </c>
      <c r="H1232" t="s">
        <v>1302</v>
      </c>
      <c r="I1232">
        <v>2</v>
      </c>
      <c r="J1232" t="s">
        <v>46</v>
      </c>
      <c r="K1232">
        <v>3</v>
      </c>
      <c r="L1232">
        <v>1</v>
      </c>
      <c r="M1232" t="s">
        <v>50</v>
      </c>
      <c r="N1232">
        <v>1</v>
      </c>
      <c r="O1232" t="s">
        <v>52</v>
      </c>
      <c r="P1232" s="6">
        <v>3907</v>
      </c>
      <c r="Q1232" t="s">
        <v>72</v>
      </c>
      <c r="R1232" t="s">
        <v>43</v>
      </c>
      <c r="S1232">
        <v>3</v>
      </c>
      <c r="T1232">
        <v>6</v>
      </c>
      <c r="U1232">
        <v>4</v>
      </c>
      <c r="V1232">
        <v>6</v>
      </c>
      <c r="W1232">
        <v>2</v>
      </c>
      <c r="X1232">
        <v>1</v>
      </c>
      <c r="Y1232">
        <v>2</v>
      </c>
      <c r="Z1232" t="s">
        <v>68</v>
      </c>
      <c r="AA1232" t="s">
        <v>69</v>
      </c>
      <c r="AB1232" t="str" cm="1">
        <f t="array" ref="AB1232">_xlfn.IFS(cleaned_data[[#This Row],[YearsAtCompany]]&lt;=5, "0-5",cleaned_data[[#This Row],[YearsAtCompany]]&lt;=10,"6-10",TRUE,"10+")</f>
        <v>6-10</v>
      </c>
    </row>
    <row r="1233" spans="1:28" x14ac:dyDescent="0.3">
      <c r="A1233" s="2">
        <v>46</v>
      </c>
      <c r="B1233" t="s">
        <v>43</v>
      </c>
      <c r="C1233">
        <v>0</v>
      </c>
      <c r="D1233" t="s">
        <v>36</v>
      </c>
      <c r="E1233" t="s">
        <v>45</v>
      </c>
      <c r="F1233">
        <v>13</v>
      </c>
      <c r="G1233" t="s">
        <v>38</v>
      </c>
      <c r="H1233" t="s">
        <v>1303</v>
      </c>
      <c r="I1233">
        <v>3</v>
      </c>
      <c r="J1233" t="s">
        <v>46</v>
      </c>
      <c r="K1233">
        <v>3</v>
      </c>
      <c r="L1233">
        <v>2</v>
      </c>
      <c r="M1233" t="s">
        <v>54</v>
      </c>
      <c r="N1233">
        <v>2</v>
      </c>
      <c r="O1233" t="s">
        <v>41</v>
      </c>
      <c r="P1233" s="1">
        <v>5562</v>
      </c>
      <c r="Q1233" t="s">
        <v>67</v>
      </c>
      <c r="R1233" t="s">
        <v>43</v>
      </c>
      <c r="S1233">
        <v>3</v>
      </c>
      <c r="T1233">
        <v>19</v>
      </c>
      <c r="U1233">
        <v>3</v>
      </c>
      <c r="V1233">
        <v>10</v>
      </c>
      <c r="W1233">
        <v>7</v>
      </c>
      <c r="X1233">
        <v>0</v>
      </c>
      <c r="Y1233">
        <v>9</v>
      </c>
      <c r="Z1233" t="s">
        <v>106</v>
      </c>
      <c r="AA1233" t="s">
        <v>82</v>
      </c>
      <c r="AB1233" t="str" cm="1">
        <f t="array" ref="AB1233">_xlfn.IFS(cleaned_data[[#This Row],[YearsAtCompany]]&lt;=5, "0-5",cleaned_data[[#This Row],[YearsAtCompany]]&lt;=10,"6-10",TRUE,"10+")</f>
        <v>6-10</v>
      </c>
    </row>
    <row r="1234" spans="1:28" x14ac:dyDescent="0.3">
      <c r="A1234" s="2">
        <v>35</v>
      </c>
      <c r="B1234" t="s">
        <v>43</v>
      </c>
      <c r="C1234">
        <v>0</v>
      </c>
      <c r="D1234" t="s">
        <v>36</v>
      </c>
      <c r="E1234" t="s">
        <v>45</v>
      </c>
      <c r="F1234">
        <v>27</v>
      </c>
      <c r="G1234" t="s">
        <v>38</v>
      </c>
      <c r="H1234" t="s">
        <v>1304</v>
      </c>
      <c r="I1234">
        <v>4</v>
      </c>
      <c r="J1234" t="s">
        <v>46</v>
      </c>
      <c r="K1234">
        <v>3</v>
      </c>
      <c r="L1234">
        <v>2</v>
      </c>
      <c r="M1234" t="s">
        <v>53</v>
      </c>
      <c r="N1234">
        <v>3</v>
      </c>
      <c r="O1234" t="s">
        <v>48</v>
      </c>
      <c r="P1234" s="1">
        <v>6883</v>
      </c>
      <c r="Q1234" t="s">
        <v>67</v>
      </c>
      <c r="R1234" t="s">
        <v>43</v>
      </c>
      <c r="S1234">
        <v>3</v>
      </c>
      <c r="T1234">
        <v>17</v>
      </c>
      <c r="U1234">
        <v>3</v>
      </c>
      <c r="V1234">
        <v>7</v>
      </c>
      <c r="W1234">
        <v>7</v>
      </c>
      <c r="X1234">
        <v>0</v>
      </c>
      <c r="Y1234">
        <v>7</v>
      </c>
      <c r="Z1234" t="s">
        <v>1551</v>
      </c>
      <c r="AA1234" t="s">
        <v>82</v>
      </c>
      <c r="AB1234" t="str" cm="1">
        <f t="array" ref="AB1234">_xlfn.IFS(cleaned_data[[#This Row],[YearsAtCompany]]&lt;=5, "0-5",cleaned_data[[#This Row],[YearsAtCompany]]&lt;=10,"6-10",TRUE,"10+")</f>
        <v>6-10</v>
      </c>
    </row>
    <row r="1235" spans="1:28" x14ac:dyDescent="0.3">
      <c r="A1235" s="2">
        <v>30</v>
      </c>
      <c r="B1235" t="s">
        <v>43</v>
      </c>
      <c r="C1235">
        <v>0</v>
      </c>
      <c r="D1235" t="s">
        <v>36</v>
      </c>
      <c r="E1235" t="s">
        <v>45</v>
      </c>
      <c r="F1235">
        <v>16</v>
      </c>
      <c r="G1235" t="s">
        <v>38</v>
      </c>
      <c r="H1235" t="s">
        <v>1305</v>
      </c>
      <c r="I1235">
        <v>2</v>
      </c>
      <c r="J1235" t="s">
        <v>46</v>
      </c>
      <c r="K1235">
        <v>3</v>
      </c>
      <c r="L1235">
        <v>1</v>
      </c>
      <c r="M1235" t="s">
        <v>47</v>
      </c>
      <c r="N1235">
        <v>4</v>
      </c>
      <c r="O1235" t="s">
        <v>48</v>
      </c>
      <c r="P1235" s="1">
        <v>2862</v>
      </c>
      <c r="Q1235" t="s">
        <v>72</v>
      </c>
      <c r="R1235" t="s">
        <v>43</v>
      </c>
      <c r="S1235">
        <v>3</v>
      </c>
      <c r="T1235">
        <v>10</v>
      </c>
      <c r="U1235">
        <v>2</v>
      </c>
      <c r="V1235">
        <v>10</v>
      </c>
      <c r="W1235">
        <v>0</v>
      </c>
      <c r="X1235">
        <v>0</v>
      </c>
      <c r="Y1235">
        <v>8</v>
      </c>
      <c r="Z1235" t="s">
        <v>1551</v>
      </c>
      <c r="AA1235" t="s">
        <v>69</v>
      </c>
      <c r="AB1235" t="str" cm="1">
        <f t="array" ref="AB1235">_xlfn.IFS(cleaned_data[[#This Row],[YearsAtCompany]]&lt;=5, "0-5",cleaned_data[[#This Row],[YearsAtCompany]]&lt;=10,"6-10",TRUE,"10+")</f>
        <v>6-10</v>
      </c>
    </row>
    <row r="1236" spans="1:28" x14ac:dyDescent="0.3">
      <c r="A1236" s="2">
        <v>47</v>
      </c>
      <c r="B1236" t="s">
        <v>43</v>
      </c>
      <c r="C1236">
        <v>0</v>
      </c>
      <c r="D1236" t="s">
        <v>55</v>
      </c>
      <c r="E1236" t="s">
        <v>37</v>
      </c>
      <c r="F1236">
        <v>2</v>
      </c>
      <c r="G1236" t="s">
        <v>59</v>
      </c>
      <c r="H1236" t="s">
        <v>1306</v>
      </c>
      <c r="I1236">
        <v>3</v>
      </c>
      <c r="J1236" t="s">
        <v>46</v>
      </c>
      <c r="K1236">
        <v>3</v>
      </c>
      <c r="L1236">
        <v>2</v>
      </c>
      <c r="M1236" t="s">
        <v>40</v>
      </c>
      <c r="N1236">
        <v>2</v>
      </c>
      <c r="O1236" t="s">
        <v>48</v>
      </c>
      <c r="P1236" s="1">
        <v>4978</v>
      </c>
      <c r="Q1236" t="s">
        <v>72</v>
      </c>
      <c r="R1236" t="s">
        <v>43</v>
      </c>
      <c r="S1236">
        <v>3</v>
      </c>
      <c r="T1236">
        <v>4</v>
      </c>
      <c r="U1236">
        <v>1</v>
      </c>
      <c r="V1236">
        <v>1</v>
      </c>
      <c r="W1236">
        <v>0</v>
      </c>
      <c r="X1236">
        <v>0</v>
      </c>
      <c r="Y1236">
        <v>0</v>
      </c>
      <c r="Z1236" t="s">
        <v>106</v>
      </c>
      <c r="AA1236" t="s">
        <v>78</v>
      </c>
      <c r="AB1236" t="str" cm="1">
        <f t="array" ref="AB1236">_xlfn.IFS(cleaned_data[[#This Row],[YearsAtCompany]]&lt;=5, "0-5",cleaned_data[[#This Row],[YearsAtCompany]]&lt;=10,"6-10",TRUE,"10+")</f>
        <v>0-5</v>
      </c>
    </row>
    <row r="1237" spans="1:28" x14ac:dyDescent="0.3">
      <c r="A1237" s="2">
        <v>46</v>
      </c>
      <c r="B1237" t="s">
        <v>43</v>
      </c>
      <c r="C1237">
        <v>0</v>
      </c>
      <c r="D1237" t="s">
        <v>36</v>
      </c>
      <c r="E1237" t="s">
        <v>37</v>
      </c>
      <c r="F1237">
        <v>2</v>
      </c>
      <c r="G1237" t="s">
        <v>38</v>
      </c>
      <c r="H1237" t="s">
        <v>1307</v>
      </c>
      <c r="I1237">
        <v>3</v>
      </c>
      <c r="J1237" t="s">
        <v>46</v>
      </c>
      <c r="K1237">
        <v>3</v>
      </c>
      <c r="L1237">
        <v>3</v>
      </c>
      <c r="M1237" t="s">
        <v>40</v>
      </c>
      <c r="N1237">
        <v>4</v>
      </c>
      <c r="O1237" t="s">
        <v>52</v>
      </c>
      <c r="P1237" s="1">
        <v>10368</v>
      </c>
      <c r="Q1237" t="s">
        <v>67</v>
      </c>
      <c r="R1237" t="s">
        <v>35</v>
      </c>
      <c r="S1237">
        <v>3</v>
      </c>
      <c r="T1237">
        <v>13</v>
      </c>
      <c r="U1237">
        <v>2</v>
      </c>
      <c r="V1237">
        <v>10</v>
      </c>
      <c r="W1237">
        <v>6</v>
      </c>
      <c r="X1237">
        <v>0</v>
      </c>
      <c r="Y1237">
        <v>3</v>
      </c>
      <c r="Z1237" t="s">
        <v>106</v>
      </c>
      <c r="AA1237" t="s">
        <v>69</v>
      </c>
      <c r="AB1237" t="str" cm="1">
        <f t="array" ref="AB1237">_xlfn.IFS(cleaned_data[[#This Row],[YearsAtCompany]]&lt;=5, "0-5",cleaned_data[[#This Row],[YearsAtCompany]]&lt;=10,"6-10",TRUE,"10+")</f>
        <v>6-10</v>
      </c>
    </row>
    <row r="1238" spans="1:28" x14ac:dyDescent="0.3">
      <c r="A1238" s="2">
        <v>36</v>
      </c>
      <c r="B1238" t="s">
        <v>35</v>
      </c>
      <c r="C1238">
        <v>1</v>
      </c>
      <c r="D1238" t="s">
        <v>36</v>
      </c>
      <c r="E1238" t="s">
        <v>37</v>
      </c>
      <c r="F1238">
        <v>13</v>
      </c>
      <c r="G1238" t="s">
        <v>59</v>
      </c>
      <c r="H1238" t="s">
        <v>1308</v>
      </c>
      <c r="I1238">
        <v>2</v>
      </c>
      <c r="J1238" t="s">
        <v>46</v>
      </c>
      <c r="K1238">
        <v>2</v>
      </c>
      <c r="L1238">
        <v>2</v>
      </c>
      <c r="M1238" t="s">
        <v>40</v>
      </c>
      <c r="N1238">
        <v>1</v>
      </c>
      <c r="O1238" t="s">
        <v>52</v>
      </c>
      <c r="P1238" s="6">
        <v>6134</v>
      </c>
      <c r="Q1238" t="s">
        <v>67</v>
      </c>
      <c r="R1238" t="s">
        <v>35</v>
      </c>
      <c r="S1238">
        <v>3</v>
      </c>
      <c r="T1238">
        <v>16</v>
      </c>
      <c r="U1238">
        <v>3</v>
      </c>
      <c r="V1238">
        <v>2</v>
      </c>
      <c r="W1238">
        <v>2</v>
      </c>
      <c r="X1238">
        <v>2</v>
      </c>
      <c r="Y1238">
        <v>2</v>
      </c>
      <c r="Z1238" t="s">
        <v>1550</v>
      </c>
      <c r="AA1238" t="s">
        <v>82</v>
      </c>
      <c r="AB1238" t="str" cm="1">
        <f t="array" ref="AB1238">_xlfn.IFS(cleaned_data[[#This Row],[YearsAtCompany]]&lt;=5, "0-5",cleaned_data[[#This Row],[YearsAtCompany]]&lt;=10,"6-10",TRUE,"10+")</f>
        <v>0-5</v>
      </c>
    </row>
    <row r="1239" spans="1:28" x14ac:dyDescent="0.3">
      <c r="A1239" s="2">
        <v>32</v>
      </c>
      <c r="B1239" t="s">
        <v>35</v>
      </c>
      <c r="C1239">
        <v>1</v>
      </c>
      <c r="D1239" t="s">
        <v>36</v>
      </c>
      <c r="E1239" t="s">
        <v>37</v>
      </c>
      <c r="F1239">
        <v>1</v>
      </c>
      <c r="G1239" t="s">
        <v>38</v>
      </c>
      <c r="H1239" t="s">
        <v>1309</v>
      </c>
      <c r="I1239">
        <v>1</v>
      </c>
      <c r="J1239" t="s">
        <v>46</v>
      </c>
      <c r="K1239">
        <v>1</v>
      </c>
      <c r="L1239">
        <v>2</v>
      </c>
      <c r="M1239" t="s">
        <v>40</v>
      </c>
      <c r="N1239">
        <v>2</v>
      </c>
      <c r="O1239" t="s">
        <v>41</v>
      </c>
      <c r="P1239" s="1">
        <v>6735</v>
      </c>
      <c r="Q1239" t="s">
        <v>67</v>
      </c>
      <c r="R1239" t="s">
        <v>43</v>
      </c>
      <c r="S1239">
        <v>3</v>
      </c>
      <c r="T1239">
        <v>10</v>
      </c>
      <c r="U1239">
        <v>3</v>
      </c>
      <c r="V1239">
        <v>0</v>
      </c>
      <c r="W1239">
        <v>0</v>
      </c>
      <c r="X1239">
        <v>0</v>
      </c>
      <c r="Y1239">
        <v>0</v>
      </c>
      <c r="Z1239" t="s">
        <v>1551</v>
      </c>
      <c r="AA1239" t="s">
        <v>69</v>
      </c>
      <c r="AB1239" t="str" cm="1">
        <f t="array" ref="AB1239">_xlfn.IFS(cleaned_data[[#This Row],[YearsAtCompany]]&lt;=5, "0-5",cleaned_data[[#This Row],[YearsAtCompany]]&lt;=10,"6-10",TRUE,"10+")</f>
        <v>0-5</v>
      </c>
    </row>
    <row r="1240" spans="1:28" x14ac:dyDescent="0.3">
      <c r="A1240" s="2">
        <v>23</v>
      </c>
      <c r="B1240" t="s">
        <v>43</v>
      </c>
      <c r="C1240">
        <v>0</v>
      </c>
      <c r="D1240" t="s">
        <v>36</v>
      </c>
      <c r="E1240" t="s">
        <v>45</v>
      </c>
      <c r="F1240">
        <v>4</v>
      </c>
      <c r="G1240" t="s">
        <v>51</v>
      </c>
      <c r="H1240" t="s">
        <v>1310</v>
      </c>
      <c r="I1240">
        <v>3</v>
      </c>
      <c r="J1240" t="s">
        <v>39</v>
      </c>
      <c r="K1240">
        <v>3</v>
      </c>
      <c r="L1240">
        <v>1</v>
      </c>
      <c r="M1240" t="s">
        <v>50</v>
      </c>
      <c r="N1240">
        <v>2</v>
      </c>
      <c r="O1240" t="s">
        <v>41</v>
      </c>
      <c r="P1240" s="1">
        <v>3295</v>
      </c>
      <c r="Q1240" t="s">
        <v>72</v>
      </c>
      <c r="R1240" t="s">
        <v>43</v>
      </c>
      <c r="S1240">
        <v>3</v>
      </c>
      <c r="T1240">
        <v>3</v>
      </c>
      <c r="U1240">
        <v>1</v>
      </c>
      <c r="V1240">
        <v>3</v>
      </c>
      <c r="W1240">
        <v>2</v>
      </c>
      <c r="X1240">
        <v>1</v>
      </c>
      <c r="Y1240">
        <v>2</v>
      </c>
      <c r="Z1240" t="s">
        <v>68</v>
      </c>
      <c r="AA1240" t="s">
        <v>78</v>
      </c>
      <c r="AB1240" t="str" cm="1">
        <f t="array" ref="AB1240">_xlfn.IFS(cleaned_data[[#This Row],[YearsAtCompany]]&lt;=5, "0-5",cleaned_data[[#This Row],[YearsAtCompany]]&lt;=10,"6-10",TRUE,"10+")</f>
        <v>0-5</v>
      </c>
    </row>
    <row r="1241" spans="1:28" x14ac:dyDescent="0.3">
      <c r="A1241" s="2">
        <v>31</v>
      </c>
      <c r="B1241" t="s">
        <v>43</v>
      </c>
      <c r="C1241">
        <v>0</v>
      </c>
      <c r="D1241" t="s">
        <v>44</v>
      </c>
      <c r="E1241" t="s">
        <v>45</v>
      </c>
      <c r="F1241">
        <v>24</v>
      </c>
      <c r="G1241" t="s">
        <v>60</v>
      </c>
      <c r="H1241" t="s">
        <v>1311</v>
      </c>
      <c r="I1241">
        <v>4</v>
      </c>
      <c r="J1241" t="s">
        <v>39</v>
      </c>
      <c r="K1241">
        <v>3</v>
      </c>
      <c r="L1241">
        <v>2</v>
      </c>
      <c r="M1241" t="s">
        <v>53</v>
      </c>
      <c r="N1241">
        <v>4</v>
      </c>
      <c r="O1241" t="s">
        <v>41</v>
      </c>
      <c r="P1241" s="1">
        <v>5238</v>
      </c>
      <c r="Q1241" t="s">
        <v>67</v>
      </c>
      <c r="R1241" t="s">
        <v>43</v>
      </c>
      <c r="S1241">
        <v>4</v>
      </c>
      <c r="T1241">
        <v>9</v>
      </c>
      <c r="U1241">
        <v>2</v>
      </c>
      <c r="V1241">
        <v>5</v>
      </c>
      <c r="W1241">
        <v>4</v>
      </c>
      <c r="X1241">
        <v>1</v>
      </c>
      <c r="Y1241">
        <v>4</v>
      </c>
      <c r="Z1241" t="s">
        <v>1551</v>
      </c>
      <c r="AA1241" t="s">
        <v>69</v>
      </c>
      <c r="AB1241" t="str" cm="1">
        <f t="array" ref="AB1241">_xlfn.IFS(cleaned_data[[#This Row],[YearsAtCompany]]&lt;=5, "0-5",cleaned_data[[#This Row],[YearsAtCompany]]&lt;=10,"6-10",TRUE,"10+")</f>
        <v>0-5</v>
      </c>
    </row>
    <row r="1242" spans="1:28" x14ac:dyDescent="0.3">
      <c r="A1242" s="2">
        <v>39</v>
      </c>
      <c r="B1242" t="s">
        <v>43</v>
      </c>
      <c r="C1242">
        <v>0</v>
      </c>
      <c r="D1242" t="s">
        <v>55</v>
      </c>
      <c r="E1242" t="s">
        <v>45</v>
      </c>
      <c r="F1242">
        <v>1</v>
      </c>
      <c r="G1242" t="s">
        <v>38</v>
      </c>
      <c r="H1242" t="s">
        <v>1312</v>
      </c>
      <c r="I1242">
        <v>4</v>
      </c>
      <c r="J1242" t="s">
        <v>46</v>
      </c>
      <c r="K1242">
        <v>3</v>
      </c>
      <c r="L1242">
        <v>2</v>
      </c>
      <c r="M1242" t="s">
        <v>50</v>
      </c>
      <c r="N1242">
        <v>4</v>
      </c>
      <c r="O1242" t="s">
        <v>48</v>
      </c>
      <c r="P1242" s="1">
        <v>6472</v>
      </c>
      <c r="Q1242" t="s">
        <v>67</v>
      </c>
      <c r="R1242" t="s">
        <v>35</v>
      </c>
      <c r="S1242">
        <v>3</v>
      </c>
      <c r="T1242">
        <v>9</v>
      </c>
      <c r="U1242">
        <v>3</v>
      </c>
      <c r="V1242">
        <v>9</v>
      </c>
      <c r="W1242">
        <v>8</v>
      </c>
      <c r="X1242">
        <v>5</v>
      </c>
      <c r="Y1242">
        <v>8</v>
      </c>
      <c r="Z1242" t="s">
        <v>1550</v>
      </c>
      <c r="AA1242" t="s">
        <v>69</v>
      </c>
      <c r="AB1242" t="str" cm="1">
        <f t="array" ref="AB1242">_xlfn.IFS(cleaned_data[[#This Row],[YearsAtCompany]]&lt;=5, "0-5",cleaned_data[[#This Row],[YearsAtCompany]]&lt;=10,"6-10",TRUE,"10+")</f>
        <v>6-10</v>
      </c>
    </row>
    <row r="1243" spans="1:28" x14ac:dyDescent="0.3">
      <c r="A1243" s="2">
        <v>32</v>
      </c>
      <c r="B1243" t="s">
        <v>43</v>
      </c>
      <c r="C1243">
        <v>0</v>
      </c>
      <c r="D1243" t="s">
        <v>36</v>
      </c>
      <c r="E1243" t="s">
        <v>37</v>
      </c>
      <c r="F1243">
        <v>19</v>
      </c>
      <c r="G1243" t="s">
        <v>38</v>
      </c>
      <c r="H1243" t="s">
        <v>1313</v>
      </c>
      <c r="I1243">
        <v>4</v>
      </c>
      <c r="J1243" t="s">
        <v>46</v>
      </c>
      <c r="K1243">
        <v>1</v>
      </c>
      <c r="L1243">
        <v>3</v>
      </c>
      <c r="M1243" t="s">
        <v>40</v>
      </c>
      <c r="N1243">
        <v>3</v>
      </c>
      <c r="O1243" t="s">
        <v>48</v>
      </c>
      <c r="P1243" s="1">
        <v>9610</v>
      </c>
      <c r="Q1243" t="s">
        <v>67</v>
      </c>
      <c r="R1243" t="s">
        <v>43</v>
      </c>
      <c r="S1243">
        <v>3</v>
      </c>
      <c r="T1243">
        <v>10</v>
      </c>
      <c r="U1243">
        <v>1</v>
      </c>
      <c r="V1243">
        <v>4</v>
      </c>
      <c r="W1243">
        <v>3</v>
      </c>
      <c r="X1243">
        <v>0</v>
      </c>
      <c r="Y1243">
        <v>2</v>
      </c>
      <c r="Z1243" t="s">
        <v>1551</v>
      </c>
      <c r="AA1243" t="s">
        <v>69</v>
      </c>
      <c r="AB1243" t="str" cm="1">
        <f t="array" ref="AB1243">_xlfn.IFS(cleaned_data[[#This Row],[YearsAtCompany]]&lt;=5, "0-5",cleaned_data[[#This Row],[YearsAtCompany]]&lt;=10,"6-10",TRUE,"10+")</f>
        <v>0-5</v>
      </c>
    </row>
    <row r="1244" spans="1:28" x14ac:dyDescent="0.3">
      <c r="A1244" s="2">
        <v>40</v>
      </c>
      <c r="B1244" t="s">
        <v>43</v>
      </c>
      <c r="C1244">
        <v>0</v>
      </c>
      <c r="D1244" t="s">
        <v>36</v>
      </c>
      <c r="E1244" t="s">
        <v>37</v>
      </c>
      <c r="F1244">
        <v>7</v>
      </c>
      <c r="G1244" t="s">
        <v>51</v>
      </c>
      <c r="H1244" t="s">
        <v>1314</v>
      </c>
      <c r="I1244">
        <v>2</v>
      </c>
      <c r="J1244" t="s">
        <v>46</v>
      </c>
      <c r="K1244">
        <v>3</v>
      </c>
      <c r="L1244">
        <v>5</v>
      </c>
      <c r="M1244" t="s">
        <v>56</v>
      </c>
      <c r="N1244">
        <v>2</v>
      </c>
      <c r="O1244" t="s">
        <v>41</v>
      </c>
      <c r="P1244" s="1">
        <v>19833</v>
      </c>
      <c r="Q1244" t="s">
        <v>90</v>
      </c>
      <c r="R1244" t="s">
        <v>43</v>
      </c>
      <c r="S1244">
        <v>3</v>
      </c>
      <c r="T1244">
        <v>21</v>
      </c>
      <c r="U1244">
        <v>2</v>
      </c>
      <c r="V1244">
        <v>21</v>
      </c>
      <c r="W1244">
        <v>8</v>
      </c>
      <c r="X1244">
        <v>12</v>
      </c>
      <c r="Y1244">
        <v>8</v>
      </c>
      <c r="Z1244" t="s">
        <v>1550</v>
      </c>
      <c r="AA1244" t="s">
        <v>82</v>
      </c>
      <c r="AB1244" t="str" cm="1">
        <f t="array" ref="AB1244">_xlfn.IFS(cleaned_data[[#This Row],[YearsAtCompany]]&lt;=5, "0-5",cleaned_data[[#This Row],[YearsAtCompany]]&lt;=10,"6-10",TRUE,"10+")</f>
        <v>10+</v>
      </c>
    </row>
    <row r="1245" spans="1:28" x14ac:dyDescent="0.3">
      <c r="A1245" s="2">
        <v>45</v>
      </c>
      <c r="B1245" t="s">
        <v>43</v>
      </c>
      <c r="C1245">
        <v>0</v>
      </c>
      <c r="D1245" t="s">
        <v>36</v>
      </c>
      <c r="E1245" t="s">
        <v>61</v>
      </c>
      <c r="F1245">
        <v>4</v>
      </c>
      <c r="G1245" t="s">
        <v>38</v>
      </c>
      <c r="H1245" t="s">
        <v>1315</v>
      </c>
      <c r="I1245">
        <v>3</v>
      </c>
      <c r="J1245" t="s">
        <v>39</v>
      </c>
      <c r="K1245">
        <v>1</v>
      </c>
      <c r="L1245">
        <v>3</v>
      </c>
      <c r="M1245" t="s">
        <v>61</v>
      </c>
      <c r="N1245">
        <v>3</v>
      </c>
      <c r="O1245" t="s">
        <v>48</v>
      </c>
      <c r="P1245" s="1">
        <v>9756</v>
      </c>
      <c r="Q1245" t="s">
        <v>67</v>
      </c>
      <c r="R1245" t="s">
        <v>43</v>
      </c>
      <c r="S1245">
        <v>4</v>
      </c>
      <c r="T1245">
        <v>9</v>
      </c>
      <c r="U1245">
        <v>4</v>
      </c>
      <c r="V1245">
        <v>5</v>
      </c>
      <c r="W1245">
        <v>0</v>
      </c>
      <c r="X1245">
        <v>0</v>
      </c>
      <c r="Y1245">
        <v>3</v>
      </c>
      <c r="Z1245" t="s">
        <v>1550</v>
      </c>
      <c r="AA1245" t="s">
        <v>69</v>
      </c>
      <c r="AB1245" t="str" cm="1">
        <f t="array" ref="AB1245">_xlfn.IFS(cleaned_data[[#This Row],[YearsAtCompany]]&lt;=5, "0-5",cleaned_data[[#This Row],[YearsAtCompany]]&lt;=10,"6-10",TRUE,"10+")</f>
        <v>0-5</v>
      </c>
    </row>
    <row r="1246" spans="1:28" x14ac:dyDescent="0.3">
      <c r="A1246" s="2">
        <v>30</v>
      </c>
      <c r="B1246" t="s">
        <v>43</v>
      </c>
      <c r="C1246">
        <v>0</v>
      </c>
      <c r="D1246" t="s">
        <v>44</v>
      </c>
      <c r="E1246" t="s">
        <v>45</v>
      </c>
      <c r="F1246">
        <v>2</v>
      </c>
      <c r="G1246" t="s">
        <v>60</v>
      </c>
      <c r="H1246" t="s">
        <v>1316</v>
      </c>
      <c r="I1246">
        <v>4</v>
      </c>
      <c r="J1246" t="s">
        <v>39</v>
      </c>
      <c r="K1246">
        <v>2</v>
      </c>
      <c r="L1246">
        <v>1</v>
      </c>
      <c r="M1246" t="s">
        <v>47</v>
      </c>
      <c r="N1246">
        <v>1</v>
      </c>
      <c r="O1246" t="s">
        <v>41</v>
      </c>
      <c r="P1246" s="6">
        <v>4968</v>
      </c>
      <c r="Q1246" t="s">
        <v>72</v>
      </c>
      <c r="R1246" t="s">
        <v>43</v>
      </c>
      <c r="S1246">
        <v>3</v>
      </c>
      <c r="T1246">
        <v>10</v>
      </c>
      <c r="U1246">
        <v>3</v>
      </c>
      <c r="V1246">
        <v>9</v>
      </c>
      <c r="W1246">
        <v>7</v>
      </c>
      <c r="X1246">
        <v>0</v>
      </c>
      <c r="Y1246">
        <v>7</v>
      </c>
      <c r="Z1246" t="s">
        <v>1551</v>
      </c>
      <c r="AA1246" t="s">
        <v>69</v>
      </c>
      <c r="AB1246" t="str" cm="1">
        <f t="array" ref="AB1246">_xlfn.IFS(cleaned_data[[#This Row],[YearsAtCompany]]&lt;=5, "0-5",cleaned_data[[#This Row],[YearsAtCompany]]&lt;=10,"6-10",TRUE,"10+")</f>
        <v>6-10</v>
      </c>
    </row>
    <row r="1247" spans="1:28" x14ac:dyDescent="0.3">
      <c r="A1247" s="2">
        <v>24</v>
      </c>
      <c r="B1247" t="s">
        <v>43</v>
      </c>
      <c r="C1247">
        <v>0</v>
      </c>
      <c r="D1247" t="s">
        <v>44</v>
      </c>
      <c r="E1247" t="s">
        <v>61</v>
      </c>
      <c r="F1247">
        <v>10</v>
      </c>
      <c r="G1247" t="s">
        <v>51</v>
      </c>
      <c r="H1247" t="s">
        <v>1317</v>
      </c>
      <c r="I1247">
        <v>1</v>
      </c>
      <c r="J1247" t="s">
        <v>46</v>
      </c>
      <c r="K1247">
        <v>3</v>
      </c>
      <c r="L1247">
        <v>1</v>
      </c>
      <c r="M1247" t="s">
        <v>61</v>
      </c>
      <c r="N1247">
        <v>4</v>
      </c>
      <c r="O1247" t="s">
        <v>48</v>
      </c>
      <c r="P1247" s="1">
        <v>2145</v>
      </c>
      <c r="Q1247" t="s">
        <v>72</v>
      </c>
      <c r="R1247" t="s">
        <v>43</v>
      </c>
      <c r="S1247">
        <v>3</v>
      </c>
      <c r="T1247">
        <v>3</v>
      </c>
      <c r="U1247">
        <v>3</v>
      </c>
      <c r="V1247">
        <v>2</v>
      </c>
      <c r="W1247">
        <v>2</v>
      </c>
      <c r="X1247">
        <v>2</v>
      </c>
      <c r="Y1247">
        <v>1</v>
      </c>
      <c r="Z1247" t="s">
        <v>68</v>
      </c>
      <c r="AA1247" t="s">
        <v>78</v>
      </c>
      <c r="AB1247" t="str" cm="1">
        <f t="array" ref="AB1247">_xlfn.IFS(cleaned_data[[#This Row],[YearsAtCompany]]&lt;=5, "0-5",cleaned_data[[#This Row],[YearsAtCompany]]&lt;=10,"6-10",TRUE,"10+")</f>
        <v>0-5</v>
      </c>
    </row>
    <row r="1248" spans="1:28" x14ac:dyDescent="0.3">
      <c r="A1248" s="2">
        <v>30</v>
      </c>
      <c r="B1248" t="s">
        <v>35</v>
      </c>
      <c r="C1248">
        <v>1</v>
      </c>
      <c r="D1248" t="s">
        <v>44</v>
      </c>
      <c r="E1248" t="s">
        <v>61</v>
      </c>
      <c r="F1248">
        <v>8</v>
      </c>
      <c r="G1248" t="s">
        <v>61</v>
      </c>
      <c r="H1248" t="s">
        <v>1318</v>
      </c>
      <c r="I1248">
        <v>3</v>
      </c>
      <c r="J1248" t="s">
        <v>39</v>
      </c>
      <c r="K1248">
        <v>2</v>
      </c>
      <c r="L1248">
        <v>1</v>
      </c>
      <c r="M1248" t="s">
        <v>61</v>
      </c>
      <c r="N1248">
        <v>4</v>
      </c>
      <c r="O1248" t="s">
        <v>52</v>
      </c>
      <c r="P1248" s="1">
        <v>2180</v>
      </c>
      <c r="Q1248" t="s">
        <v>72</v>
      </c>
      <c r="R1248" t="s">
        <v>43</v>
      </c>
      <c r="S1248">
        <v>3</v>
      </c>
      <c r="T1248">
        <v>6</v>
      </c>
      <c r="U1248">
        <v>2</v>
      </c>
      <c r="V1248">
        <v>4</v>
      </c>
      <c r="W1248">
        <v>2</v>
      </c>
      <c r="X1248">
        <v>1</v>
      </c>
      <c r="Y1248">
        <v>2</v>
      </c>
      <c r="Z1248" t="s">
        <v>1551</v>
      </c>
      <c r="AA1248" t="s">
        <v>69</v>
      </c>
      <c r="AB1248" t="str" cm="1">
        <f t="array" ref="AB1248">_xlfn.IFS(cleaned_data[[#This Row],[YearsAtCompany]]&lt;=5, "0-5",cleaned_data[[#This Row],[YearsAtCompany]]&lt;=10,"6-10",TRUE,"10+")</f>
        <v>0-5</v>
      </c>
    </row>
    <row r="1249" spans="1:28" x14ac:dyDescent="0.3">
      <c r="A1249" s="2">
        <v>31</v>
      </c>
      <c r="B1249" t="s">
        <v>43</v>
      </c>
      <c r="C1249">
        <v>0</v>
      </c>
      <c r="D1249" t="s">
        <v>36</v>
      </c>
      <c r="E1249" t="s">
        <v>37</v>
      </c>
      <c r="F1249">
        <v>5</v>
      </c>
      <c r="G1249" t="s">
        <v>60</v>
      </c>
      <c r="H1249" t="s">
        <v>1319</v>
      </c>
      <c r="I1249">
        <v>1</v>
      </c>
      <c r="J1249" t="s">
        <v>46</v>
      </c>
      <c r="K1249">
        <v>3</v>
      </c>
      <c r="L1249">
        <v>2</v>
      </c>
      <c r="M1249" t="s">
        <v>40</v>
      </c>
      <c r="N1249">
        <v>3</v>
      </c>
      <c r="O1249" t="s">
        <v>48</v>
      </c>
      <c r="P1249" s="1">
        <v>8346</v>
      </c>
      <c r="Q1249" t="s">
        <v>67</v>
      </c>
      <c r="R1249" t="s">
        <v>43</v>
      </c>
      <c r="S1249">
        <v>3</v>
      </c>
      <c r="T1249">
        <v>6</v>
      </c>
      <c r="U1249">
        <v>3</v>
      </c>
      <c r="V1249">
        <v>5</v>
      </c>
      <c r="W1249">
        <v>2</v>
      </c>
      <c r="X1249">
        <v>0</v>
      </c>
      <c r="Y1249">
        <v>2</v>
      </c>
      <c r="Z1249" t="s">
        <v>1551</v>
      </c>
      <c r="AA1249" t="s">
        <v>69</v>
      </c>
      <c r="AB1249" t="str" cm="1">
        <f t="array" ref="AB1249">_xlfn.IFS(cleaned_data[[#This Row],[YearsAtCompany]]&lt;=5, "0-5",cleaned_data[[#This Row],[YearsAtCompany]]&lt;=10,"6-10",TRUE,"10+")</f>
        <v>0-5</v>
      </c>
    </row>
    <row r="1250" spans="1:28" x14ac:dyDescent="0.3">
      <c r="A1250" s="2">
        <v>27</v>
      </c>
      <c r="B1250" t="s">
        <v>43</v>
      </c>
      <c r="C1250">
        <v>0</v>
      </c>
      <c r="D1250" t="s">
        <v>36</v>
      </c>
      <c r="E1250" t="s">
        <v>45</v>
      </c>
      <c r="F1250">
        <v>8</v>
      </c>
      <c r="G1250" t="s">
        <v>51</v>
      </c>
      <c r="H1250" t="s">
        <v>1320</v>
      </c>
      <c r="I1250">
        <v>3</v>
      </c>
      <c r="J1250" t="s">
        <v>39</v>
      </c>
      <c r="K1250">
        <v>3</v>
      </c>
      <c r="L1250">
        <v>1</v>
      </c>
      <c r="M1250" t="s">
        <v>47</v>
      </c>
      <c r="N1250">
        <v>4</v>
      </c>
      <c r="O1250" t="s">
        <v>41</v>
      </c>
      <c r="P1250" s="1">
        <v>3445</v>
      </c>
      <c r="Q1250" t="s">
        <v>72</v>
      </c>
      <c r="R1250" t="s">
        <v>43</v>
      </c>
      <c r="S1250">
        <v>3</v>
      </c>
      <c r="T1250">
        <v>6</v>
      </c>
      <c r="U1250">
        <v>2</v>
      </c>
      <c r="V1250">
        <v>6</v>
      </c>
      <c r="W1250">
        <v>2</v>
      </c>
      <c r="X1250">
        <v>1</v>
      </c>
      <c r="Y1250">
        <v>4</v>
      </c>
      <c r="Z1250" t="s">
        <v>1551</v>
      </c>
      <c r="AA1250" t="s">
        <v>69</v>
      </c>
      <c r="AB1250" t="str" cm="1">
        <f t="array" ref="AB1250">_xlfn.IFS(cleaned_data[[#This Row],[YearsAtCompany]]&lt;=5, "0-5",cleaned_data[[#This Row],[YearsAtCompany]]&lt;=10,"6-10",TRUE,"10+")</f>
        <v>6-10</v>
      </c>
    </row>
    <row r="1251" spans="1:28" x14ac:dyDescent="0.3">
      <c r="A1251" s="2">
        <v>29</v>
      </c>
      <c r="B1251" t="s">
        <v>35</v>
      </c>
      <c r="C1251">
        <v>1</v>
      </c>
      <c r="D1251" t="s">
        <v>36</v>
      </c>
      <c r="E1251" t="s">
        <v>37</v>
      </c>
      <c r="F1251">
        <v>9</v>
      </c>
      <c r="G1251" t="s">
        <v>59</v>
      </c>
      <c r="H1251" t="s">
        <v>1321</v>
      </c>
      <c r="I1251">
        <v>2</v>
      </c>
      <c r="J1251" t="s">
        <v>39</v>
      </c>
      <c r="K1251">
        <v>1</v>
      </c>
      <c r="L1251">
        <v>1</v>
      </c>
      <c r="M1251" t="s">
        <v>57</v>
      </c>
      <c r="N1251">
        <v>2</v>
      </c>
      <c r="O1251" t="s">
        <v>41</v>
      </c>
      <c r="P1251" s="1">
        <v>2760</v>
      </c>
      <c r="Q1251" t="s">
        <v>72</v>
      </c>
      <c r="R1251" t="s">
        <v>43</v>
      </c>
      <c r="S1251">
        <v>3</v>
      </c>
      <c r="T1251">
        <v>2</v>
      </c>
      <c r="U1251">
        <v>3</v>
      </c>
      <c r="V1251">
        <v>2</v>
      </c>
      <c r="W1251">
        <v>2</v>
      </c>
      <c r="X1251">
        <v>2</v>
      </c>
      <c r="Y1251">
        <v>2</v>
      </c>
      <c r="Z1251" t="s">
        <v>1551</v>
      </c>
      <c r="AA1251" t="s">
        <v>78</v>
      </c>
      <c r="AB1251" t="str" cm="1">
        <f t="array" ref="AB1251">_xlfn.IFS(cleaned_data[[#This Row],[YearsAtCompany]]&lt;=5, "0-5",cleaned_data[[#This Row],[YearsAtCompany]]&lt;=10,"6-10",TRUE,"10+")</f>
        <v>0-5</v>
      </c>
    </row>
    <row r="1252" spans="1:28" x14ac:dyDescent="0.3">
      <c r="A1252" s="2">
        <v>29</v>
      </c>
      <c r="B1252" t="s">
        <v>43</v>
      </c>
      <c r="C1252">
        <v>0</v>
      </c>
      <c r="D1252" t="s">
        <v>44</v>
      </c>
      <c r="E1252" t="s">
        <v>45</v>
      </c>
      <c r="F1252">
        <v>1</v>
      </c>
      <c r="G1252" t="s">
        <v>38</v>
      </c>
      <c r="H1252" t="s">
        <v>1322</v>
      </c>
      <c r="I1252">
        <v>4</v>
      </c>
      <c r="J1252" t="s">
        <v>46</v>
      </c>
      <c r="K1252">
        <v>4</v>
      </c>
      <c r="L1252">
        <v>2</v>
      </c>
      <c r="M1252" t="s">
        <v>54</v>
      </c>
      <c r="N1252">
        <v>3</v>
      </c>
      <c r="O1252" t="s">
        <v>41</v>
      </c>
      <c r="P1252" s="1">
        <v>6294</v>
      </c>
      <c r="Q1252" t="s">
        <v>67</v>
      </c>
      <c r="R1252" t="s">
        <v>35</v>
      </c>
      <c r="S1252">
        <v>3</v>
      </c>
      <c r="T1252">
        <v>10</v>
      </c>
      <c r="U1252">
        <v>4</v>
      </c>
      <c r="V1252">
        <v>3</v>
      </c>
      <c r="W1252">
        <v>2</v>
      </c>
      <c r="X1252">
        <v>0</v>
      </c>
      <c r="Y1252">
        <v>2</v>
      </c>
      <c r="Z1252" t="s">
        <v>1551</v>
      </c>
      <c r="AA1252" t="s">
        <v>69</v>
      </c>
      <c r="AB1252" t="str" cm="1">
        <f t="array" ref="AB1252">_xlfn.IFS(cleaned_data[[#This Row],[YearsAtCompany]]&lt;=5, "0-5",cleaned_data[[#This Row],[YearsAtCompany]]&lt;=10,"6-10",TRUE,"10+")</f>
        <v>0-5</v>
      </c>
    </row>
    <row r="1253" spans="1:28" x14ac:dyDescent="0.3">
      <c r="A1253" s="2">
        <v>30</v>
      </c>
      <c r="B1253" t="s">
        <v>43</v>
      </c>
      <c r="C1253">
        <v>0</v>
      </c>
      <c r="D1253" t="s">
        <v>36</v>
      </c>
      <c r="E1253" t="s">
        <v>37</v>
      </c>
      <c r="F1253">
        <v>15</v>
      </c>
      <c r="G1253" t="s">
        <v>59</v>
      </c>
      <c r="H1253" t="s">
        <v>1323</v>
      </c>
      <c r="I1253">
        <v>3</v>
      </c>
      <c r="J1253" t="s">
        <v>46</v>
      </c>
      <c r="K1253">
        <v>2</v>
      </c>
      <c r="L1253">
        <v>3</v>
      </c>
      <c r="M1253" t="s">
        <v>40</v>
      </c>
      <c r="N1253">
        <v>1</v>
      </c>
      <c r="O1253" t="s">
        <v>52</v>
      </c>
      <c r="P1253" s="6">
        <v>7140</v>
      </c>
      <c r="Q1253" t="s">
        <v>67</v>
      </c>
      <c r="R1253" t="s">
        <v>43</v>
      </c>
      <c r="S1253">
        <v>3</v>
      </c>
      <c r="T1253">
        <v>12</v>
      </c>
      <c r="U1253">
        <v>3</v>
      </c>
      <c r="V1253">
        <v>7</v>
      </c>
      <c r="W1253">
        <v>7</v>
      </c>
      <c r="X1253">
        <v>1</v>
      </c>
      <c r="Y1253">
        <v>7</v>
      </c>
      <c r="Z1253" t="s">
        <v>1551</v>
      </c>
      <c r="AA1253" t="s">
        <v>69</v>
      </c>
      <c r="AB1253" t="str" cm="1">
        <f t="array" ref="AB1253">_xlfn.IFS(cleaned_data[[#This Row],[YearsAtCompany]]&lt;=5, "0-5",cleaned_data[[#This Row],[YearsAtCompany]]&lt;=10,"6-10",TRUE,"10+")</f>
        <v>6-10</v>
      </c>
    </row>
    <row r="1254" spans="1:28" x14ac:dyDescent="0.3">
      <c r="A1254" s="2">
        <v>34</v>
      </c>
      <c r="B1254" t="s">
        <v>43</v>
      </c>
      <c r="C1254">
        <v>0</v>
      </c>
      <c r="D1254" t="s">
        <v>36</v>
      </c>
      <c r="E1254" t="s">
        <v>45</v>
      </c>
      <c r="F1254">
        <v>2</v>
      </c>
      <c r="G1254" t="s">
        <v>51</v>
      </c>
      <c r="H1254" t="s">
        <v>1324</v>
      </c>
      <c r="I1254">
        <v>4</v>
      </c>
      <c r="J1254" t="s">
        <v>46</v>
      </c>
      <c r="K1254">
        <v>4</v>
      </c>
      <c r="L1254">
        <v>1</v>
      </c>
      <c r="M1254" t="s">
        <v>47</v>
      </c>
      <c r="N1254">
        <v>4</v>
      </c>
      <c r="O1254" t="s">
        <v>48</v>
      </c>
      <c r="P1254" s="1">
        <v>2932</v>
      </c>
      <c r="Q1254" t="s">
        <v>72</v>
      </c>
      <c r="R1254" t="s">
        <v>35</v>
      </c>
      <c r="S1254">
        <v>3</v>
      </c>
      <c r="T1254">
        <v>6</v>
      </c>
      <c r="U1254">
        <v>3</v>
      </c>
      <c r="V1254">
        <v>5</v>
      </c>
      <c r="W1254">
        <v>0</v>
      </c>
      <c r="X1254">
        <v>1</v>
      </c>
      <c r="Y1254">
        <v>2</v>
      </c>
      <c r="Z1254" t="s">
        <v>1551</v>
      </c>
      <c r="AA1254" t="s">
        <v>69</v>
      </c>
      <c r="AB1254" t="str" cm="1">
        <f t="array" ref="AB1254">_xlfn.IFS(cleaned_data[[#This Row],[YearsAtCompany]]&lt;=5, "0-5",cleaned_data[[#This Row],[YearsAtCompany]]&lt;=10,"6-10",TRUE,"10+")</f>
        <v>0-5</v>
      </c>
    </row>
    <row r="1255" spans="1:28" x14ac:dyDescent="0.3">
      <c r="A1255" s="2">
        <v>33</v>
      </c>
      <c r="B1255" t="s">
        <v>43</v>
      </c>
      <c r="C1255">
        <v>0</v>
      </c>
      <c r="D1255" t="s">
        <v>55</v>
      </c>
      <c r="E1255" t="s">
        <v>37</v>
      </c>
      <c r="F1255">
        <v>2</v>
      </c>
      <c r="G1255" t="s">
        <v>59</v>
      </c>
      <c r="H1255" t="s">
        <v>1325</v>
      </c>
      <c r="I1255">
        <v>4</v>
      </c>
      <c r="J1255" t="s">
        <v>39</v>
      </c>
      <c r="K1255">
        <v>3</v>
      </c>
      <c r="L1255">
        <v>2</v>
      </c>
      <c r="M1255" t="s">
        <v>40</v>
      </c>
      <c r="N1255">
        <v>2</v>
      </c>
      <c r="O1255" t="s">
        <v>41</v>
      </c>
      <c r="P1255" s="1">
        <v>5147</v>
      </c>
      <c r="Q1255" t="s">
        <v>67</v>
      </c>
      <c r="R1255" t="s">
        <v>43</v>
      </c>
      <c r="S1255">
        <v>3</v>
      </c>
      <c r="T1255">
        <v>13</v>
      </c>
      <c r="U1255">
        <v>2</v>
      </c>
      <c r="V1255">
        <v>11</v>
      </c>
      <c r="W1255">
        <v>7</v>
      </c>
      <c r="X1255">
        <v>1</v>
      </c>
      <c r="Y1255">
        <v>7</v>
      </c>
      <c r="Z1255" t="s">
        <v>1551</v>
      </c>
      <c r="AA1255" t="s">
        <v>69</v>
      </c>
      <c r="AB1255" t="str" cm="1">
        <f t="array" ref="AB1255">_xlfn.IFS(cleaned_data[[#This Row],[YearsAtCompany]]&lt;=5, "0-5",cleaned_data[[#This Row],[YearsAtCompany]]&lt;=10,"6-10",TRUE,"10+")</f>
        <v>10+</v>
      </c>
    </row>
    <row r="1256" spans="1:28" x14ac:dyDescent="0.3">
      <c r="A1256" s="2">
        <v>49</v>
      </c>
      <c r="B1256" t="s">
        <v>43</v>
      </c>
      <c r="C1256">
        <v>0</v>
      </c>
      <c r="D1256" t="s">
        <v>36</v>
      </c>
      <c r="E1256" t="s">
        <v>37</v>
      </c>
      <c r="F1256">
        <v>11</v>
      </c>
      <c r="G1256" t="s">
        <v>59</v>
      </c>
      <c r="H1256" t="s">
        <v>1326</v>
      </c>
      <c r="I1256">
        <v>4</v>
      </c>
      <c r="J1256" t="s">
        <v>39</v>
      </c>
      <c r="K1256">
        <v>3</v>
      </c>
      <c r="L1256">
        <v>2</v>
      </c>
      <c r="M1256" t="s">
        <v>40</v>
      </c>
      <c r="N1256">
        <v>4</v>
      </c>
      <c r="O1256" t="s">
        <v>41</v>
      </c>
      <c r="P1256" s="1">
        <v>4507</v>
      </c>
      <c r="Q1256" t="s">
        <v>72</v>
      </c>
      <c r="R1256" t="s">
        <v>43</v>
      </c>
      <c r="S1256">
        <v>3</v>
      </c>
      <c r="T1256">
        <v>8</v>
      </c>
      <c r="U1256">
        <v>4</v>
      </c>
      <c r="V1256">
        <v>5</v>
      </c>
      <c r="W1256">
        <v>1</v>
      </c>
      <c r="X1256">
        <v>0</v>
      </c>
      <c r="Y1256">
        <v>4</v>
      </c>
      <c r="Z1256" t="s">
        <v>106</v>
      </c>
      <c r="AA1256" t="s">
        <v>69</v>
      </c>
      <c r="AB1256" t="str" cm="1">
        <f t="array" ref="AB1256">_xlfn.IFS(cleaned_data[[#This Row],[YearsAtCompany]]&lt;=5, "0-5",cleaned_data[[#This Row],[YearsAtCompany]]&lt;=10,"6-10",TRUE,"10+")</f>
        <v>0-5</v>
      </c>
    </row>
    <row r="1257" spans="1:28" x14ac:dyDescent="0.3">
      <c r="A1257" s="2">
        <v>33</v>
      </c>
      <c r="B1257" t="s">
        <v>35</v>
      </c>
      <c r="C1257">
        <v>1</v>
      </c>
      <c r="D1257" t="s">
        <v>36</v>
      </c>
      <c r="E1257" t="s">
        <v>37</v>
      </c>
      <c r="F1257">
        <v>16</v>
      </c>
      <c r="G1257" t="s">
        <v>38</v>
      </c>
      <c r="H1257" t="s">
        <v>1327</v>
      </c>
      <c r="I1257">
        <v>1</v>
      </c>
      <c r="J1257" t="s">
        <v>39</v>
      </c>
      <c r="K1257">
        <v>3</v>
      </c>
      <c r="L1257">
        <v>3</v>
      </c>
      <c r="M1257" t="s">
        <v>40</v>
      </c>
      <c r="N1257">
        <v>1</v>
      </c>
      <c r="O1257" t="s">
        <v>41</v>
      </c>
      <c r="P1257" s="6">
        <v>8564</v>
      </c>
      <c r="Q1257" t="s">
        <v>67</v>
      </c>
      <c r="R1257" t="s">
        <v>35</v>
      </c>
      <c r="S1257">
        <v>4</v>
      </c>
      <c r="T1257">
        <v>11</v>
      </c>
      <c r="U1257">
        <v>2</v>
      </c>
      <c r="V1257">
        <v>0</v>
      </c>
      <c r="W1257">
        <v>0</v>
      </c>
      <c r="X1257">
        <v>0</v>
      </c>
      <c r="Y1257">
        <v>0</v>
      </c>
      <c r="Z1257" t="s">
        <v>1551</v>
      </c>
      <c r="AA1257" t="s">
        <v>69</v>
      </c>
      <c r="AB1257" t="str" cm="1">
        <f t="array" ref="AB1257">_xlfn.IFS(cleaned_data[[#This Row],[YearsAtCompany]]&lt;=5, "0-5",cleaned_data[[#This Row],[YearsAtCompany]]&lt;=10,"6-10",TRUE,"10+")</f>
        <v>0-5</v>
      </c>
    </row>
    <row r="1258" spans="1:28" x14ac:dyDescent="0.3">
      <c r="A1258" s="2">
        <v>38</v>
      </c>
      <c r="B1258" t="s">
        <v>43</v>
      </c>
      <c r="C1258">
        <v>0</v>
      </c>
      <c r="D1258" t="s">
        <v>44</v>
      </c>
      <c r="E1258" t="s">
        <v>45</v>
      </c>
      <c r="F1258">
        <v>2</v>
      </c>
      <c r="G1258" t="s">
        <v>51</v>
      </c>
      <c r="H1258" t="s">
        <v>1328</v>
      </c>
      <c r="I1258">
        <v>3</v>
      </c>
      <c r="J1258" t="s">
        <v>39</v>
      </c>
      <c r="K1258">
        <v>2</v>
      </c>
      <c r="L1258">
        <v>1</v>
      </c>
      <c r="M1258" t="s">
        <v>50</v>
      </c>
      <c r="N1258">
        <v>2</v>
      </c>
      <c r="O1258" t="s">
        <v>48</v>
      </c>
      <c r="P1258" s="1">
        <v>2468</v>
      </c>
      <c r="Q1258" t="s">
        <v>72</v>
      </c>
      <c r="R1258" t="s">
        <v>43</v>
      </c>
      <c r="S1258">
        <v>3</v>
      </c>
      <c r="T1258">
        <v>9</v>
      </c>
      <c r="U1258">
        <v>2</v>
      </c>
      <c r="V1258">
        <v>6</v>
      </c>
      <c r="W1258">
        <v>1</v>
      </c>
      <c r="X1258">
        <v>0</v>
      </c>
      <c r="Y1258">
        <v>5</v>
      </c>
      <c r="Z1258" t="s">
        <v>1550</v>
      </c>
      <c r="AA1258" t="s">
        <v>69</v>
      </c>
      <c r="AB1258" t="str" cm="1">
        <f t="array" ref="AB1258">_xlfn.IFS(cleaned_data[[#This Row],[YearsAtCompany]]&lt;=5, "0-5",cleaned_data[[#This Row],[YearsAtCompany]]&lt;=10,"6-10",TRUE,"10+")</f>
        <v>6-10</v>
      </c>
    </row>
    <row r="1259" spans="1:28" x14ac:dyDescent="0.3">
      <c r="A1259" s="2">
        <v>31</v>
      </c>
      <c r="B1259" t="s">
        <v>35</v>
      </c>
      <c r="C1259">
        <v>1</v>
      </c>
      <c r="D1259" t="s">
        <v>36</v>
      </c>
      <c r="E1259" t="s">
        <v>37</v>
      </c>
      <c r="F1259">
        <v>16</v>
      </c>
      <c r="G1259" t="s">
        <v>59</v>
      </c>
      <c r="H1259" t="s">
        <v>1329</v>
      </c>
      <c r="I1259">
        <v>1</v>
      </c>
      <c r="J1259" t="s">
        <v>46</v>
      </c>
      <c r="K1259">
        <v>3</v>
      </c>
      <c r="L1259">
        <v>3</v>
      </c>
      <c r="M1259" t="s">
        <v>40</v>
      </c>
      <c r="N1259">
        <v>3</v>
      </c>
      <c r="O1259" t="s">
        <v>48</v>
      </c>
      <c r="P1259" s="1">
        <v>8161</v>
      </c>
      <c r="Q1259" t="s">
        <v>67</v>
      </c>
      <c r="R1259" t="s">
        <v>43</v>
      </c>
      <c r="S1259">
        <v>3</v>
      </c>
      <c r="T1259">
        <v>10</v>
      </c>
      <c r="U1259">
        <v>3</v>
      </c>
      <c r="V1259">
        <v>1</v>
      </c>
      <c r="W1259">
        <v>0</v>
      </c>
      <c r="X1259">
        <v>0</v>
      </c>
      <c r="Y1259">
        <v>0</v>
      </c>
      <c r="Z1259" t="s">
        <v>1551</v>
      </c>
      <c r="AA1259" t="s">
        <v>69</v>
      </c>
      <c r="AB1259" t="str" cm="1">
        <f t="array" ref="AB1259">_xlfn.IFS(cleaned_data[[#This Row],[YearsAtCompany]]&lt;=5, "0-5",cleaned_data[[#This Row],[YearsAtCompany]]&lt;=10,"6-10",TRUE,"10+")</f>
        <v>0-5</v>
      </c>
    </row>
    <row r="1260" spans="1:28" x14ac:dyDescent="0.3">
      <c r="A1260" s="2">
        <v>29</v>
      </c>
      <c r="B1260" t="s">
        <v>43</v>
      </c>
      <c r="C1260">
        <v>0</v>
      </c>
      <c r="D1260" t="s">
        <v>36</v>
      </c>
      <c r="E1260" t="s">
        <v>45</v>
      </c>
      <c r="F1260">
        <v>4</v>
      </c>
      <c r="G1260" t="s">
        <v>60</v>
      </c>
      <c r="H1260" t="s">
        <v>1330</v>
      </c>
      <c r="I1260">
        <v>4</v>
      </c>
      <c r="J1260" t="s">
        <v>39</v>
      </c>
      <c r="K1260">
        <v>2</v>
      </c>
      <c r="L1260">
        <v>1</v>
      </c>
      <c r="M1260" t="s">
        <v>47</v>
      </c>
      <c r="N1260">
        <v>1</v>
      </c>
      <c r="O1260" t="s">
        <v>52</v>
      </c>
      <c r="P1260" s="6">
        <v>2109</v>
      </c>
      <c r="Q1260" t="s">
        <v>72</v>
      </c>
      <c r="R1260" t="s">
        <v>43</v>
      </c>
      <c r="S1260">
        <v>3</v>
      </c>
      <c r="T1260">
        <v>1</v>
      </c>
      <c r="U1260">
        <v>3</v>
      </c>
      <c r="V1260">
        <v>1</v>
      </c>
      <c r="W1260">
        <v>0</v>
      </c>
      <c r="X1260">
        <v>0</v>
      </c>
      <c r="Y1260">
        <v>0</v>
      </c>
      <c r="Z1260" t="s">
        <v>1551</v>
      </c>
      <c r="AA1260" t="s">
        <v>78</v>
      </c>
      <c r="AB1260" t="str" cm="1">
        <f t="array" ref="AB1260">_xlfn.IFS(cleaned_data[[#This Row],[YearsAtCompany]]&lt;=5, "0-5",cleaned_data[[#This Row],[YearsAtCompany]]&lt;=10,"6-10",TRUE,"10+")</f>
        <v>0-5</v>
      </c>
    </row>
    <row r="1261" spans="1:28" x14ac:dyDescent="0.3">
      <c r="A1261" s="2">
        <v>30</v>
      </c>
      <c r="B1261" t="s">
        <v>43</v>
      </c>
      <c r="C1261">
        <v>0</v>
      </c>
      <c r="D1261" t="s">
        <v>36</v>
      </c>
      <c r="E1261" t="s">
        <v>45</v>
      </c>
      <c r="F1261">
        <v>16</v>
      </c>
      <c r="G1261" t="s">
        <v>38</v>
      </c>
      <c r="H1261" t="s">
        <v>1331</v>
      </c>
      <c r="I1261">
        <v>3</v>
      </c>
      <c r="J1261" t="s">
        <v>46</v>
      </c>
      <c r="K1261">
        <v>4</v>
      </c>
      <c r="L1261">
        <v>2</v>
      </c>
      <c r="M1261" t="s">
        <v>54</v>
      </c>
      <c r="N1261">
        <v>3</v>
      </c>
      <c r="O1261" t="s">
        <v>48</v>
      </c>
      <c r="P1261" s="1">
        <v>5294</v>
      </c>
      <c r="Q1261" t="s">
        <v>67</v>
      </c>
      <c r="R1261" t="s">
        <v>43</v>
      </c>
      <c r="S1261">
        <v>3</v>
      </c>
      <c r="T1261">
        <v>10</v>
      </c>
      <c r="U1261">
        <v>3</v>
      </c>
      <c r="V1261">
        <v>7</v>
      </c>
      <c r="W1261">
        <v>0</v>
      </c>
      <c r="X1261">
        <v>1</v>
      </c>
      <c r="Y1261">
        <v>7</v>
      </c>
      <c r="Z1261" t="s">
        <v>1551</v>
      </c>
      <c r="AA1261" t="s">
        <v>69</v>
      </c>
      <c r="AB1261" t="str" cm="1">
        <f t="array" ref="AB1261">_xlfn.IFS(cleaned_data[[#This Row],[YearsAtCompany]]&lt;=5, "0-5",cleaned_data[[#This Row],[YearsAtCompany]]&lt;=10,"6-10",TRUE,"10+")</f>
        <v>6-10</v>
      </c>
    </row>
    <row r="1262" spans="1:28" x14ac:dyDescent="0.3">
      <c r="A1262" s="2">
        <v>32</v>
      </c>
      <c r="B1262" t="s">
        <v>43</v>
      </c>
      <c r="C1262">
        <v>0</v>
      </c>
      <c r="D1262" t="s">
        <v>55</v>
      </c>
      <c r="E1262" t="s">
        <v>45</v>
      </c>
      <c r="F1262">
        <v>5</v>
      </c>
      <c r="G1262" t="s">
        <v>60</v>
      </c>
      <c r="H1262" t="s">
        <v>1332</v>
      </c>
      <c r="I1262">
        <v>2</v>
      </c>
      <c r="J1262" t="s">
        <v>46</v>
      </c>
      <c r="K1262">
        <v>3</v>
      </c>
      <c r="L1262">
        <v>1</v>
      </c>
      <c r="M1262" t="s">
        <v>47</v>
      </c>
      <c r="N1262">
        <v>2</v>
      </c>
      <c r="O1262" t="s">
        <v>41</v>
      </c>
      <c r="P1262" s="1">
        <v>2718</v>
      </c>
      <c r="Q1262" t="s">
        <v>72</v>
      </c>
      <c r="R1262" t="s">
        <v>43</v>
      </c>
      <c r="S1262">
        <v>3</v>
      </c>
      <c r="T1262">
        <v>12</v>
      </c>
      <c r="U1262">
        <v>3</v>
      </c>
      <c r="V1262">
        <v>7</v>
      </c>
      <c r="W1262">
        <v>7</v>
      </c>
      <c r="X1262">
        <v>0</v>
      </c>
      <c r="Y1262">
        <v>7</v>
      </c>
      <c r="Z1262" t="s">
        <v>1551</v>
      </c>
      <c r="AA1262" t="s">
        <v>69</v>
      </c>
      <c r="AB1262" t="str" cm="1">
        <f t="array" ref="AB1262">_xlfn.IFS(cleaned_data[[#This Row],[YearsAtCompany]]&lt;=5, "0-5",cleaned_data[[#This Row],[YearsAtCompany]]&lt;=10,"6-10",TRUE,"10+")</f>
        <v>6-10</v>
      </c>
    </row>
    <row r="1263" spans="1:28" x14ac:dyDescent="0.3">
      <c r="A1263" s="2">
        <v>38</v>
      </c>
      <c r="B1263" t="s">
        <v>43</v>
      </c>
      <c r="C1263">
        <v>0</v>
      </c>
      <c r="D1263" t="s">
        <v>36</v>
      </c>
      <c r="E1263" t="s">
        <v>45</v>
      </c>
      <c r="F1263">
        <v>18</v>
      </c>
      <c r="G1263" t="s">
        <v>51</v>
      </c>
      <c r="H1263" t="s">
        <v>1333</v>
      </c>
      <c r="I1263">
        <v>2</v>
      </c>
      <c r="J1263" t="s">
        <v>46</v>
      </c>
      <c r="K1263">
        <v>1</v>
      </c>
      <c r="L1263">
        <v>2</v>
      </c>
      <c r="M1263" t="s">
        <v>54</v>
      </c>
      <c r="N1263">
        <v>4</v>
      </c>
      <c r="O1263" t="s">
        <v>48</v>
      </c>
      <c r="P1263" s="1">
        <v>5811</v>
      </c>
      <c r="Q1263" t="s">
        <v>67</v>
      </c>
      <c r="R1263" t="s">
        <v>35</v>
      </c>
      <c r="S1263">
        <v>3</v>
      </c>
      <c r="T1263">
        <v>15</v>
      </c>
      <c r="U1263">
        <v>3</v>
      </c>
      <c r="V1263">
        <v>1</v>
      </c>
      <c r="W1263">
        <v>0</v>
      </c>
      <c r="X1263">
        <v>1</v>
      </c>
      <c r="Y1263">
        <v>0</v>
      </c>
      <c r="Z1263" t="s">
        <v>1550</v>
      </c>
      <c r="AA1263" t="s">
        <v>69</v>
      </c>
      <c r="AB1263" t="str" cm="1">
        <f t="array" ref="AB1263">_xlfn.IFS(cleaned_data[[#This Row],[YearsAtCompany]]&lt;=5, "0-5",cleaned_data[[#This Row],[YearsAtCompany]]&lt;=10,"6-10",TRUE,"10+")</f>
        <v>0-5</v>
      </c>
    </row>
    <row r="1264" spans="1:28" x14ac:dyDescent="0.3">
      <c r="A1264" s="2">
        <v>43</v>
      </c>
      <c r="B1264" t="s">
        <v>35</v>
      </c>
      <c r="C1264">
        <v>1</v>
      </c>
      <c r="D1264" t="s">
        <v>44</v>
      </c>
      <c r="E1264" t="s">
        <v>45</v>
      </c>
      <c r="F1264">
        <v>17</v>
      </c>
      <c r="G1264" t="s">
        <v>60</v>
      </c>
      <c r="H1264" t="s">
        <v>1334</v>
      </c>
      <c r="I1264">
        <v>3</v>
      </c>
      <c r="J1264" t="s">
        <v>46</v>
      </c>
      <c r="K1264">
        <v>2</v>
      </c>
      <c r="L1264">
        <v>1</v>
      </c>
      <c r="M1264" t="s">
        <v>47</v>
      </c>
      <c r="N1264">
        <v>3</v>
      </c>
      <c r="O1264" t="s">
        <v>48</v>
      </c>
      <c r="P1264" s="1">
        <v>2437</v>
      </c>
      <c r="Q1264" t="s">
        <v>72</v>
      </c>
      <c r="R1264" t="s">
        <v>35</v>
      </c>
      <c r="S1264">
        <v>3</v>
      </c>
      <c r="T1264">
        <v>6</v>
      </c>
      <c r="U1264">
        <v>3</v>
      </c>
      <c r="V1264">
        <v>1</v>
      </c>
      <c r="W1264">
        <v>0</v>
      </c>
      <c r="X1264">
        <v>0</v>
      </c>
      <c r="Y1264">
        <v>0</v>
      </c>
      <c r="Z1264" t="s">
        <v>1550</v>
      </c>
      <c r="AA1264" t="s">
        <v>69</v>
      </c>
      <c r="AB1264" t="str" cm="1">
        <f t="array" ref="AB1264">_xlfn.IFS(cleaned_data[[#This Row],[YearsAtCompany]]&lt;=5, "0-5",cleaned_data[[#This Row],[YearsAtCompany]]&lt;=10,"6-10",TRUE,"10+")</f>
        <v>0-5</v>
      </c>
    </row>
    <row r="1265" spans="1:28" x14ac:dyDescent="0.3">
      <c r="A1265" s="2">
        <v>42</v>
      </c>
      <c r="B1265" t="s">
        <v>43</v>
      </c>
      <c r="C1265">
        <v>0</v>
      </c>
      <c r="D1265" t="s">
        <v>36</v>
      </c>
      <c r="E1265" t="s">
        <v>45</v>
      </c>
      <c r="F1265">
        <v>12</v>
      </c>
      <c r="G1265" t="s">
        <v>51</v>
      </c>
      <c r="H1265" t="s">
        <v>1335</v>
      </c>
      <c r="I1265">
        <v>2</v>
      </c>
      <c r="J1265" t="s">
        <v>46</v>
      </c>
      <c r="K1265">
        <v>3</v>
      </c>
      <c r="L1265">
        <v>1</v>
      </c>
      <c r="M1265" t="s">
        <v>50</v>
      </c>
      <c r="N1265">
        <v>2</v>
      </c>
      <c r="O1265" t="s">
        <v>52</v>
      </c>
      <c r="P1265" s="1">
        <v>2766</v>
      </c>
      <c r="Q1265" t="s">
        <v>72</v>
      </c>
      <c r="R1265" t="s">
        <v>43</v>
      </c>
      <c r="S1265">
        <v>4</v>
      </c>
      <c r="T1265">
        <v>7</v>
      </c>
      <c r="U1265">
        <v>2</v>
      </c>
      <c r="V1265">
        <v>5</v>
      </c>
      <c r="W1265">
        <v>3</v>
      </c>
      <c r="X1265">
        <v>0</v>
      </c>
      <c r="Y1265">
        <v>4</v>
      </c>
      <c r="Z1265" t="s">
        <v>1550</v>
      </c>
      <c r="AA1265" t="s">
        <v>69</v>
      </c>
      <c r="AB1265" t="str" cm="1">
        <f t="array" ref="AB1265">_xlfn.IFS(cleaned_data[[#This Row],[YearsAtCompany]]&lt;=5, "0-5",cleaned_data[[#This Row],[YearsAtCompany]]&lt;=10,"6-10",TRUE,"10+")</f>
        <v>0-5</v>
      </c>
    </row>
    <row r="1266" spans="1:28" x14ac:dyDescent="0.3">
      <c r="A1266" s="2">
        <v>55</v>
      </c>
      <c r="B1266" t="s">
        <v>43</v>
      </c>
      <c r="C1266">
        <v>0</v>
      </c>
      <c r="D1266" t="s">
        <v>36</v>
      </c>
      <c r="E1266" t="s">
        <v>45</v>
      </c>
      <c r="F1266">
        <v>2</v>
      </c>
      <c r="G1266" t="s">
        <v>51</v>
      </c>
      <c r="H1266" t="s">
        <v>1336</v>
      </c>
      <c r="I1266">
        <v>3</v>
      </c>
      <c r="J1266" t="s">
        <v>46</v>
      </c>
      <c r="K1266">
        <v>2</v>
      </c>
      <c r="L1266">
        <v>5</v>
      </c>
      <c r="M1266" t="s">
        <v>58</v>
      </c>
      <c r="N1266">
        <v>1</v>
      </c>
      <c r="O1266" t="s">
        <v>48</v>
      </c>
      <c r="P1266" s="6">
        <v>19038</v>
      </c>
      <c r="Q1266" t="s">
        <v>90</v>
      </c>
      <c r="R1266" t="s">
        <v>43</v>
      </c>
      <c r="S1266">
        <v>3</v>
      </c>
      <c r="T1266">
        <v>34</v>
      </c>
      <c r="U1266">
        <v>3</v>
      </c>
      <c r="V1266">
        <v>1</v>
      </c>
      <c r="W1266">
        <v>0</v>
      </c>
      <c r="X1266">
        <v>0</v>
      </c>
      <c r="Y1266">
        <v>0</v>
      </c>
      <c r="Z1266" t="s">
        <v>106</v>
      </c>
      <c r="AA1266" t="s">
        <v>82</v>
      </c>
      <c r="AB1266" t="str" cm="1">
        <f t="array" ref="AB1266">_xlfn.IFS(cleaned_data[[#This Row],[YearsAtCompany]]&lt;=5, "0-5",cleaned_data[[#This Row],[YearsAtCompany]]&lt;=10,"6-10",TRUE,"10+")</f>
        <v>0-5</v>
      </c>
    </row>
    <row r="1267" spans="1:28" x14ac:dyDescent="0.3">
      <c r="A1267" s="2">
        <v>33</v>
      </c>
      <c r="B1267" t="s">
        <v>43</v>
      </c>
      <c r="C1267">
        <v>0</v>
      </c>
      <c r="D1267" t="s">
        <v>55</v>
      </c>
      <c r="E1267" t="s">
        <v>45</v>
      </c>
      <c r="F1267">
        <v>4</v>
      </c>
      <c r="G1267" t="s">
        <v>60</v>
      </c>
      <c r="H1267" t="s">
        <v>1337</v>
      </c>
      <c r="I1267">
        <v>4</v>
      </c>
      <c r="J1267" t="s">
        <v>46</v>
      </c>
      <c r="K1267">
        <v>3</v>
      </c>
      <c r="L1267">
        <v>2</v>
      </c>
      <c r="M1267" t="s">
        <v>47</v>
      </c>
      <c r="N1267">
        <v>2</v>
      </c>
      <c r="O1267" t="s">
        <v>52</v>
      </c>
      <c r="P1267" s="1">
        <v>3055</v>
      </c>
      <c r="Q1267" t="s">
        <v>72</v>
      </c>
      <c r="R1267" t="s">
        <v>43</v>
      </c>
      <c r="S1267">
        <v>3</v>
      </c>
      <c r="T1267">
        <v>11</v>
      </c>
      <c r="U1267">
        <v>2</v>
      </c>
      <c r="V1267">
        <v>9</v>
      </c>
      <c r="W1267">
        <v>8</v>
      </c>
      <c r="X1267">
        <v>1</v>
      </c>
      <c r="Y1267">
        <v>7</v>
      </c>
      <c r="Z1267" t="s">
        <v>1551</v>
      </c>
      <c r="AA1267" t="s">
        <v>69</v>
      </c>
      <c r="AB1267" t="str" cm="1">
        <f t="array" ref="AB1267">_xlfn.IFS(cleaned_data[[#This Row],[YearsAtCompany]]&lt;=5, "0-5",cleaned_data[[#This Row],[YearsAtCompany]]&lt;=10,"6-10",TRUE,"10+")</f>
        <v>6-10</v>
      </c>
    </row>
    <row r="1268" spans="1:28" x14ac:dyDescent="0.3">
      <c r="A1268" s="2">
        <v>41</v>
      </c>
      <c r="B1268" t="s">
        <v>43</v>
      </c>
      <c r="C1268">
        <v>0</v>
      </c>
      <c r="D1268" t="s">
        <v>36</v>
      </c>
      <c r="E1268" t="s">
        <v>45</v>
      </c>
      <c r="F1268">
        <v>9</v>
      </c>
      <c r="G1268" t="s">
        <v>38</v>
      </c>
      <c r="H1268" t="s">
        <v>1338</v>
      </c>
      <c r="I1268">
        <v>3</v>
      </c>
      <c r="J1268" t="s">
        <v>46</v>
      </c>
      <c r="K1268">
        <v>3</v>
      </c>
      <c r="L1268">
        <v>1</v>
      </c>
      <c r="M1268" t="s">
        <v>50</v>
      </c>
      <c r="N1268">
        <v>1</v>
      </c>
      <c r="O1268" t="s">
        <v>52</v>
      </c>
      <c r="P1268" s="6">
        <v>2289</v>
      </c>
      <c r="Q1268" t="s">
        <v>72</v>
      </c>
      <c r="R1268" t="s">
        <v>43</v>
      </c>
      <c r="S1268">
        <v>4</v>
      </c>
      <c r="T1268">
        <v>5</v>
      </c>
      <c r="U1268">
        <v>3</v>
      </c>
      <c r="V1268">
        <v>5</v>
      </c>
      <c r="W1268">
        <v>3</v>
      </c>
      <c r="X1268">
        <v>0</v>
      </c>
      <c r="Y1268">
        <v>4</v>
      </c>
      <c r="Z1268" t="s">
        <v>1550</v>
      </c>
      <c r="AA1268" t="s">
        <v>78</v>
      </c>
      <c r="AB1268" t="str" cm="1">
        <f t="array" ref="AB1268">_xlfn.IFS(cleaned_data[[#This Row],[YearsAtCompany]]&lt;=5, "0-5",cleaned_data[[#This Row],[YearsAtCompany]]&lt;=10,"6-10",TRUE,"10+")</f>
        <v>0-5</v>
      </c>
    </row>
    <row r="1269" spans="1:28" x14ac:dyDescent="0.3">
      <c r="A1269" s="2">
        <v>34</v>
      </c>
      <c r="B1269" t="s">
        <v>43</v>
      </c>
      <c r="C1269">
        <v>0</v>
      </c>
      <c r="D1269" t="s">
        <v>55</v>
      </c>
      <c r="E1269" t="s">
        <v>37</v>
      </c>
      <c r="F1269">
        <v>10</v>
      </c>
      <c r="G1269" t="s">
        <v>38</v>
      </c>
      <c r="H1269" t="s">
        <v>1339</v>
      </c>
      <c r="I1269">
        <v>4</v>
      </c>
      <c r="J1269" t="s">
        <v>46</v>
      </c>
      <c r="K1269">
        <v>3</v>
      </c>
      <c r="L1269">
        <v>2</v>
      </c>
      <c r="M1269" t="s">
        <v>40</v>
      </c>
      <c r="N1269">
        <v>3</v>
      </c>
      <c r="O1269" t="s">
        <v>52</v>
      </c>
      <c r="P1269" s="1">
        <v>4001</v>
      </c>
      <c r="Q1269" t="s">
        <v>72</v>
      </c>
      <c r="R1269" t="s">
        <v>35</v>
      </c>
      <c r="S1269">
        <v>3</v>
      </c>
      <c r="T1269">
        <v>15</v>
      </c>
      <c r="U1269">
        <v>3</v>
      </c>
      <c r="V1269">
        <v>15</v>
      </c>
      <c r="W1269">
        <v>14</v>
      </c>
      <c r="X1269">
        <v>0</v>
      </c>
      <c r="Y1269">
        <v>7</v>
      </c>
      <c r="Z1269" t="s">
        <v>1551</v>
      </c>
      <c r="AA1269" t="s">
        <v>69</v>
      </c>
      <c r="AB1269" t="str" cm="1">
        <f t="array" ref="AB1269">_xlfn.IFS(cleaned_data[[#This Row],[YearsAtCompany]]&lt;=5, "0-5",cleaned_data[[#This Row],[YearsAtCompany]]&lt;=10,"6-10",TRUE,"10+")</f>
        <v>10+</v>
      </c>
    </row>
    <row r="1270" spans="1:28" x14ac:dyDescent="0.3">
      <c r="A1270" s="2">
        <v>53</v>
      </c>
      <c r="B1270" t="s">
        <v>43</v>
      </c>
      <c r="C1270">
        <v>0</v>
      </c>
      <c r="D1270" t="s">
        <v>55</v>
      </c>
      <c r="E1270" t="s">
        <v>45</v>
      </c>
      <c r="F1270">
        <v>1</v>
      </c>
      <c r="G1270" t="s">
        <v>51</v>
      </c>
      <c r="H1270" t="s">
        <v>1340</v>
      </c>
      <c r="I1270">
        <v>1</v>
      </c>
      <c r="J1270" t="s">
        <v>39</v>
      </c>
      <c r="K1270">
        <v>2</v>
      </c>
      <c r="L1270">
        <v>4</v>
      </c>
      <c r="M1270" t="s">
        <v>53</v>
      </c>
      <c r="N1270">
        <v>3</v>
      </c>
      <c r="O1270" t="s">
        <v>48</v>
      </c>
      <c r="P1270" s="1">
        <v>12965</v>
      </c>
      <c r="Q1270" t="s">
        <v>90</v>
      </c>
      <c r="R1270" t="s">
        <v>35</v>
      </c>
      <c r="S1270">
        <v>4</v>
      </c>
      <c r="T1270">
        <v>27</v>
      </c>
      <c r="U1270">
        <v>2</v>
      </c>
      <c r="V1270">
        <v>3</v>
      </c>
      <c r="W1270">
        <v>2</v>
      </c>
      <c r="X1270">
        <v>0</v>
      </c>
      <c r="Y1270">
        <v>2</v>
      </c>
      <c r="Z1270" t="s">
        <v>106</v>
      </c>
      <c r="AA1270" t="s">
        <v>82</v>
      </c>
      <c r="AB1270" t="str" cm="1">
        <f t="array" ref="AB1270">_xlfn.IFS(cleaned_data[[#This Row],[YearsAtCompany]]&lt;=5, "0-5",cleaned_data[[#This Row],[YearsAtCompany]]&lt;=10,"6-10",TRUE,"10+")</f>
        <v>0-5</v>
      </c>
    </row>
    <row r="1271" spans="1:28" x14ac:dyDescent="0.3">
      <c r="A1271" s="2">
        <v>43</v>
      </c>
      <c r="B1271" t="s">
        <v>43</v>
      </c>
      <c r="C1271">
        <v>0</v>
      </c>
      <c r="D1271" t="s">
        <v>36</v>
      </c>
      <c r="E1271" t="s">
        <v>61</v>
      </c>
      <c r="F1271">
        <v>2</v>
      </c>
      <c r="G1271" t="s">
        <v>38</v>
      </c>
      <c r="H1271" t="s">
        <v>1341</v>
      </c>
      <c r="I1271">
        <v>2</v>
      </c>
      <c r="J1271" t="s">
        <v>46</v>
      </c>
      <c r="K1271">
        <v>3</v>
      </c>
      <c r="L1271">
        <v>1</v>
      </c>
      <c r="M1271" t="s">
        <v>61</v>
      </c>
      <c r="N1271">
        <v>4</v>
      </c>
      <c r="O1271" t="s">
        <v>41</v>
      </c>
      <c r="P1271" s="1">
        <v>3539</v>
      </c>
      <c r="Q1271" t="s">
        <v>72</v>
      </c>
      <c r="R1271" t="s">
        <v>43</v>
      </c>
      <c r="S1271">
        <v>3</v>
      </c>
      <c r="T1271">
        <v>10</v>
      </c>
      <c r="U1271">
        <v>3</v>
      </c>
      <c r="V1271">
        <v>9</v>
      </c>
      <c r="W1271">
        <v>7</v>
      </c>
      <c r="X1271">
        <v>1</v>
      </c>
      <c r="Y1271">
        <v>8</v>
      </c>
      <c r="Z1271" t="s">
        <v>1550</v>
      </c>
      <c r="AA1271" t="s">
        <v>69</v>
      </c>
      <c r="AB1271" t="str" cm="1">
        <f t="array" ref="AB1271">_xlfn.IFS(cleaned_data[[#This Row],[YearsAtCompany]]&lt;=5, "0-5",cleaned_data[[#This Row],[YearsAtCompany]]&lt;=10,"6-10",TRUE,"10+")</f>
        <v>6-10</v>
      </c>
    </row>
    <row r="1272" spans="1:28" x14ac:dyDescent="0.3">
      <c r="A1272" s="2">
        <v>34</v>
      </c>
      <c r="B1272" t="s">
        <v>43</v>
      </c>
      <c r="C1272">
        <v>0</v>
      </c>
      <c r="D1272" t="s">
        <v>36</v>
      </c>
      <c r="E1272" t="s">
        <v>37</v>
      </c>
      <c r="F1272">
        <v>3</v>
      </c>
      <c r="G1272" t="s">
        <v>38</v>
      </c>
      <c r="H1272" t="s">
        <v>1342</v>
      </c>
      <c r="I1272">
        <v>4</v>
      </c>
      <c r="J1272" t="s">
        <v>39</v>
      </c>
      <c r="K1272">
        <v>1</v>
      </c>
      <c r="L1272">
        <v>2</v>
      </c>
      <c r="M1272" t="s">
        <v>40</v>
      </c>
      <c r="N1272">
        <v>4</v>
      </c>
      <c r="O1272" t="s">
        <v>41</v>
      </c>
      <c r="P1272" s="1">
        <v>6029</v>
      </c>
      <c r="Q1272" t="s">
        <v>67</v>
      </c>
      <c r="R1272" t="s">
        <v>43</v>
      </c>
      <c r="S1272">
        <v>3</v>
      </c>
      <c r="T1272">
        <v>6</v>
      </c>
      <c r="U1272">
        <v>3</v>
      </c>
      <c r="V1272">
        <v>2</v>
      </c>
      <c r="W1272">
        <v>2</v>
      </c>
      <c r="X1272">
        <v>2</v>
      </c>
      <c r="Y1272">
        <v>2</v>
      </c>
      <c r="Z1272" t="s">
        <v>1551</v>
      </c>
      <c r="AA1272" t="s">
        <v>69</v>
      </c>
      <c r="AB1272" t="str" cm="1">
        <f t="array" ref="AB1272">_xlfn.IFS(cleaned_data[[#This Row],[YearsAtCompany]]&lt;=5, "0-5",cleaned_data[[#This Row],[YearsAtCompany]]&lt;=10,"6-10",TRUE,"10+")</f>
        <v>0-5</v>
      </c>
    </row>
    <row r="1273" spans="1:28" x14ac:dyDescent="0.3">
      <c r="A1273" s="2">
        <v>21</v>
      </c>
      <c r="B1273" t="s">
        <v>35</v>
      </c>
      <c r="C1273">
        <v>1</v>
      </c>
      <c r="D1273" t="s">
        <v>36</v>
      </c>
      <c r="E1273" t="s">
        <v>37</v>
      </c>
      <c r="F1273">
        <v>7</v>
      </c>
      <c r="G1273" t="s">
        <v>59</v>
      </c>
      <c r="H1273" t="s">
        <v>1343</v>
      </c>
      <c r="I1273">
        <v>2</v>
      </c>
      <c r="J1273" t="s">
        <v>46</v>
      </c>
      <c r="K1273">
        <v>3</v>
      </c>
      <c r="L1273">
        <v>1</v>
      </c>
      <c r="M1273" t="s">
        <v>57</v>
      </c>
      <c r="N1273">
        <v>2</v>
      </c>
      <c r="O1273" t="s">
        <v>41</v>
      </c>
      <c r="P1273" s="1">
        <v>2679</v>
      </c>
      <c r="Q1273" t="s">
        <v>72</v>
      </c>
      <c r="R1273" t="s">
        <v>43</v>
      </c>
      <c r="S1273">
        <v>3</v>
      </c>
      <c r="T1273">
        <v>1</v>
      </c>
      <c r="U1273">
        <v>3</v>
      </c>
      <c r="V1273">
        <v>1</v>
      </c>
      <c r="W1273">
        <v>0</v>
      </c>
      <c r="X1273">
        <v>1</v>
      </c>
      <c r="Y1273">
        <v>0</v>
      </c>
      <c r="Z1273" t="s">
        <v>68</v>
      </c>
      <c r="AA1273" t="s">
        <v>78</v>
      </c>
      <c r="AB1273" t="str" cm="1">
        <f t="array" ref="AB1273">_xlfn.IFS(cleaned_data[[#This Row],[YearsAtCompany]]&lt;=5, "0-5",cleaned_data[[#This Row],[YearsAtCompany]]&lt;=10,"6-10",TRUE,"10+")</f>
        <v>0-5</v>
      </c>
    </row>
    <row r="1274" spans="1:28" x14ac:dyDescent="0.3">
      <c r="A1274" s="2">
        <v>38</v>
      </c>
      <c r="B1274" t="s">
        <v>43</v>
      </c>
      <c r="C1274">
        <v>0</v>
      </c>
      <c r="D1274" t="s">
        <v>36</v>
      </c>
      <c r="E1274" t="s">
        <v>45</v>
      </c>
      <c r="F1274">
        <v>6</v>
      </c>
      <c r="G1274" t="s">
        <v>49</v>
      </c>
      <c r="H1274" t="s">
        <v>1344</v>
      </c>
      <c r="I1274">
        <v>4</v>
      </c>
      <c r="J1274" t="s">
        <v>39</v>
      </c>
      <c r="K1274">
        <v>2</v>
      </c>
      <c r="L1274">
        <v>1</v>
      </c>
      <c r="M1274" t="s">
        <v>50</v>
      </c>
      <c r="N1274">
        <v>3</v>
      </c>
      <c r="O1274" t="s">
        <v>48</v>
      </c>
      <c r="P1274" s="1">
        <v>3702</v>
      </c>
      <c r="Q1274" t="s">
        <v>72</v>
      </c>
      <c r="R1274" t="s">
        <v>43</v>
      </c>
      <c r="S1274">
        <v>3</v>
      </c>
      <c r="T1274">
        <v>5</v>
      </c>
      <c r="U1274">
        <v>3</v>
      </c>
      <c r="V1274">
        <v>5</v>
      </c>
      <c r="W1274">
        <v>4</v>
      </c>
      <c r="X1274">
        <v>0</v>
      </c>
      <c r="Y1274">
        <v>4</v>
      </c>
      <c r="Z1274" t="s">
        <v>1550</v>
      </c>
      <c r="AA1274" t="s">
        <v>78</v>
      </c>
      <c r="AB1274" t="str" cm="1">
        <f t="array" ref="AB1274">_xlfn.IFS(cleaned_data[[#This Row],[YearsAtCompany]]&lt;=5, "0-5",cleaned_data[[#This Row],[YearsAtCompany]]&lt;=10,"6-10",TRUE,"10+")</f>
        <v>0-5</v>
      </c>
    </row>
    <row r="1275" spans="1:28" x14ac:dyDescent="0.3">
      <c r="A1275" s="2">
        <v>22</v>
      </c>
      <c r="B1275" t="s">
        <v>35</v>
      </c>
      <c r="C1275">
        <v>1</v>
      </c>
      <c r="D1275" t="s">
        <v>36</v>
      </c>
      <c r="E1275" t="s">
        <v>45</v>
      </c>
      <c r="F1275">
        <v>8</v>
      </c>
      <c r="G1275" t="s">
        <v>51</v>
      </c>
      <c r="H1275" t="s">
        <v>1345</v>
      </c>
      <c r="I1275">
        <v>3</v>
      </c>
      <c r="J1275" t="s">
        <v>39</v>
      </c>
      <c r="K1275">
        <v>3</v>
      </c>
      <c r="L1275">
        <v>1</v>
      </c>
      <c r="M1275" t="s">
        <v>50</v>
      </c>
      <c r="N1275">
        <v>1</v>
      </c>
      <c r="O1275" t="s">
        <v>48</v>
      </c>
      <c r="P1275" s="6">
        <v>2398</v>
      </c>
      <c r="Q1275" t="s">
        <v>72</v>
      </c>
      <c r="R1275" t="s">
        <v>35</v>
      </c>
      <c r="S1275">
        <v>3</v>
      </c>
      <c r="T1275">
        <v>1</v>
      </c>
      <c r="U1275">
        <v>3</v>
      </c>
      <c r="V1275">
        <v>1</v>
      </c>
      <c r="W1275">
        <v>0</v>
      </c>
      <c r="X1275">
        <v>0</v>
      </c>
      <c r="Y1275">
        <v>0</v>
      </c>
      <c r="Z1275" t="s">
        <v>68</v>
      </c>
      <c r="AA1275" t="s">
        <v>78</v>
      </c>
      <c r="AB1275" t="str" cm="1">
        <f t="array" ref="AB1275">_xlfn.IFS(cleaned_data[[#This Row],[YearsAtCompany]]&lt;=5, "0-5",cleaned_data[[#This Row],[YearsAtCompany]]&lt;=10,"6-10",TRUE,"10+")</f>
        <v>0-5</v>
      </c>
    </row>
    <row r="1276" spans="1:28" x14ac:dyDescent="0.3">
      <c r="A1276" s="2">
        <v>31</v>
      </c>
      <c r="B1276" t="s">
        <v>43</v>
      </c>
      <c r="C1276">
        <v>0</v>
      </c>
      <c r="D1276" t="s">
        <v>36</v>
      </c>
      <c r="E1276" t="s">
        <v>37</v>
      </c>
      <c r="F1276">
        <v>29</v>
      </c>
      <c r="G1276" t="s">
        <v>59</v>
      </c>
      <c r="H1276" t="s">
        <v>1346</v>
      </c>
      <c r="I1276">
        <v>1</v>
      </c>
      <c r="J1276" t="s">
        <v>39</v>
      </c>
      <c r="K1276">
        <v>2</v>
      </c>
      <c r="L1276">
        <v>2</v>
      </c>
      <c r="M1276" t="s">
        <v>40</v>
      </c>
      <c r="N1276">
        <v>4</v>
      </c>
      <c r="O1276" t="s">
        <v>48</v>
      </c>
      <c r="P1276" s="1">
        <v>5468</v>
      </c>
      <c r="Q1276" t="s">
        <v>67</v>
      </c>
      <c r="R1276" t="s">
        <v>43</v>
      </c>
      <c r="S1276">
        <v>3</v>
      </c>
      <c r="T1276">
        <v>13</v>
      </c>
      <c r="U1276">
        <v>3</v>
      </c>
      <c r="V1276">
        <v>12</v>
      </c>
      <c r="W1276">
        <v>7</v>
      </c>
      <c r="X1276">
        <v>5</v>
      </c>
      <c r="Y1276">
        <v>7</v>
      </c>
      <c r="Z1276" t="s">
        <v>1551</v>
      </c>
      <c r="AA1276" t="s">
        <v>69</v>
      </c>
      <c r="AB1276" t="str" cm="1">
        <f t="array" ref="AB1276">_xlfn.IFS(cleaned_data[[#This Row],[YearsAtCompany]]&lt;=5, "0-5",cleaned_data[[#This Row],[YearsAtCompany]]&lt;=10,"6-10",TRUE,"10+")</f>
        <v>10+</v>
      </c>
    </row>
    <row r="1277" spans="1:28" x14ac:dyDescent="0.3">
      <c r="A1277" s="2">
        <v>51</v>
      </c>
      <c r="B1277" t="s">
        <v>43</v>
      </c>
      <c r="C1277">
        <v>0</v>
      </c>
      <c r="D1277" t="s">
        <v>36</v>
      </c>
      <c r="E1277" t="s">
        <v>45</v>
      </c>
      <c r="F1277">
        <v>3</v>
      </c>
      <c r="G1277" t="s">
        <v>60</v>
      </c>
      <c r="H1277" t="s">
        <v>1347</v>
      </c>
      <c r="I1277">
        <v>1</v>
      </c>
      <c r="J1277" t="s">
        <v>39</v>
      </c>
      <c r="K1277">
        <v>3</v>
      </c>
      <c r="L1277">
        <v>3</v>
      </c>
      <c r="M1277" t="s">
        <v>56</v>
      </c>
      <c r="N1277">
        <v>3</v>
      </c>
      <c r="O1277" t="s">
        <v>48</v>
      </c>
      <c r="P1277" s="1">
        <v>13116</v>
      </c>
      <c r="Q1277" t="s">
        <v>90</v>
      </c>
      <c r="R1277" t="s">
        <v>43</v>
      </c>
      <c r="S1277">
        <v>3</v>
      </c>
      <c r="T1277">
        <v>15</v>
      </c>
      <c r="U1277">
        <v>3</v>
      </c>
      <c r="V1277">
        <v>2</v>
      </c>
      <c r="W1277">
        <v>2</v>
      </c>
      <c r="X1277">
        <v>2</v>
      </c>
      <c r="Y1277">
        <v>2</v>
      </c>
      <c r="Z1277" t="s">
        <v>106</v>
      </c>
      <c r="AA1277" t="s">
        <v>69</v>
      </c>
      <c r="AB1277" t="str" cm="1">
        <f t="array" ref="AB1277">_xlfn.IFS(cleaned_data[[#This Row],[YearsAtCompany]]&lt;=5, "0-5",cleaned_data[[#This Row],[YearsAtCompany]]&lt;=10,"6-10",TRUE,"10+")</f>
        <v>0-5</v>
      </c>
    </row>
    <row r="1278" spans="1:28" x14ac:dyDescent="0.3">
      <c r="A1278" s="2">
        <v>37</v>
      </c>
      <c r="B1278" t="s">
        <v>43</v>
      </c>
      <c r="C1278">
        <v>0</v>
      </c>
      <c r="D1278" t="s">
        <v>36</v>
      </c>
      <c r="E1278" t="s">
        <v>37</v>
      </c>
      <c r="F1278">
        <v>9</v>
      </c>
      <c r="G1278" t="s">
        <v>59</v>
      </c>
      <c r="H1278" t="s">
        <v>1348</v>
      </c>
      <c r="I1278">
        <v>2</v>
      </c>
      <c r="J1278" t="s">
        <v>46</v>
      </c>
      <c r="K1278">
        <v>2</v>
      </c>
      <c r="L1278">
        <v>2</v>
      </c>
      <c r="M1278" t="s">
        <v>40</v>
      </c>
      <c r="N1278">
        <v>2</v>
      </c>
      <c r="O1278" t="s">
        <v>48</v>
      </c>
      <c r="P1278" s="1">
        <v>4189</v>
      </c>
      <c r="Q1278" t="s">
        <v>72</v>
      </c>
      <c r="R1278" t="s">
        <v>43</v>
      </c>
      <c r="S1278">
        <v>3</v>
      </c>
      <c r="T1278">
        <v>5</v>
      </c>
      <c r="U1278">
        <v>3</v>
      </c>
      <c r="V1278">
        <v>5</v>
      </c>
      <c r="W1278">
        <v>2</v>
      </c>
      <c r="X1278">
        <v>0</v>
      </c>
      <c r="Y1278">
        <v>3</v>
      </c>
      <c r="Z1278" t="s">
        <v>1550</v>
      </c>
      <c r="AA1278" t="s">
        <v>78</v>
      </c>
      <c r="AB1278" t="str" cm="1">
        <f t="array" ref="AB1278">_xlfn.IFS(cleaned_data[[#This Row],[YearsAtCompany]]&lt;=5, "0-5",cleaned_data[[#This Row],[YearsAtCompany]]&lt;=10,"6-10",TRUE,"10+")</f>
        <v>0-5</v>
      </c>
    </row>
    <row r="1279" spans="1:28" x14ac:dyDescent="0.3">
      <c r="A1279" s="2">
        <v>46</v>
      </c>
      <c r="B1279" t="s">
        <v>43</v>
      </c>
      <c r="C1279">
        <v>0</v>
      </c>
      <c r="D1279" t="s">
        <v>36</v>
      </c>
      <c r="E1279" t="s">
        <v>45</v>
      </c>
      <c r="F1279">
        <v>2</v>
      </c>
      <c r="G1279" t="s">
        <v>51</v>
      </c>
      <c r="H1279" t="s">
        <v>1349</v>
      </c>
      <c r="I1279">
        <v>3</v>
      </c>
      <c r="J1279" t="s">
        <v>46</v>
      </c>
      <c r="K1279">
        <v>3</v>
      </c>
      <c r="L1279">
        <v>5</v>
      </c>
      <c r="M1279" t="s">
        <v>58</v>
      </c>
      <c r="N1279">
        <v>4</v>
      </c>
      <c r="O1279" t="s">
        <v>52</v>
      </c>
      <c r="P1279" s="1">
        <v>19328</v>
      </c>
      <c r="Q1279" t="s">
        <v>90</v>
      </c>
      <c r="R1279" t="s">
        <v>35</v>
      </c>
      <c r="S1279">
        <v>3</v>
      </c>
      <c r="T1279">
        <v>24</v>
      </c>
      <c r="U1279">
        <v>3</v>
      </c>
      <c r="V1279">
        <v>2</v>
      </c>
      <c r="W1279">
        <v>1</v>
      </c>
      <c r="X1279">
        <v>2</v>
      </c>
      <c r="Y1279">
        <v>2</v>
      </c>
      <c r="Z1279" t="s">
        <v>106</v>
      </c>
      <c r="AA1279" t="s">
        <v>82</v>
      </c>
      <c r="AB1279" t="str" cm="1">
        <f t="array" ref="AB1279">_xlfn.IFS(cleaned_data[[#This Row],[YearsAtCompany]]&lt;=5, "0-5",cleaned_data[[#This Row],[YearsAtCompany]]&lt;=10,"6-10",TRUE,"10+")</f>
        <v>0-5</v>
      </c>
    </row>
    <row r="1280" spans="1:28" x14ac:dyDescent="0.3">
      <c r="A1280" s="2">
        <v>36</v>
      </c>
      <c r="B1280" t="s">
        <v>43</v>
      </c>
      <c r="C1280">
        <v>0</v>
      </c>
      <c r="D1280" t="s">
        <v>36</v>
      </c>
      <c r="E1280" t="s">
        <v>45</v>
      </c>
      <c r="F1280">
        <v>10</v>
      </c>
      <c r="G1280" t="s">
        <v>38</v>
      </c>
      <c r="H1280" t="s">
        <v>1350</v>
      </c>
      <c r="I1280">
        <v>4</v>
      </c>
      <c r="J1280" t="s">
        <v>46</v>
      </c>
      <c r="K1280">
        <v>3</v>
      </c>
      <c r="L1280">
        <v>3</v>
      </c>
      <c r="M1280" t="s">
        <v>54</v>
      </c>
      <c r="N1280">
        <v>1</v>
      </c>
      <c r="O1280" t="s">
        <v>48</v>
      </c>
      <c r="P1280" s="6">
        <v>8321</v>
      </c>
      <c r="Q1280" t="s">
        <v>67</v>
      </c>
      <c r="R1280" t="s">
        <v>35</v>
      </c>
      <c r="S1280">
        <v>3</v>
      </c>
      <c r="T1280">
        <v>15</v>
      </c>
      <c r="U1280">
        <v>3</v>
      </c>
      <c r="V1280">
        <v>12</v>
      </c>
      <c r="W1280">
        <v>8</v>
      </c>
      <c r="X1280">
        <v>5</v>
      </c>
      <c r="Y1280">
        <v>7</v>
      </c>
      <c r="Z1280" t="s">
        <v>1550</v>
      </c>
      <c r="AA1280" t="s">
        <v>69</v>
      </c>
      <c r="AB1280" t="str" cm="1">
        <f t="array" ref="AB1280">_xlfn.IFS(cleaned_data[[#This Row],[YearsAtCompany]]&lt;=5, "0-5",cleaned_data[[#This Row],[YearsAtCompany]]&lt;=10,"6-10",TRUE,"10+")</f>
        <v>10+</v>
      </c>
    </row>
    <row r="1281" spans="1:28" x14ac:dyDescent="0.3">
      <c r="A1281" s="2">
        <v>44</v>
      </c>
      <c r="B1281" t="s">
        <v>35</v>
      </c>
      <c r="C1281">
        <v>1</v>
      </c>
      <c r="D1281" t="s">
        <v>44</v>
      </c>
      <c r="E1281" t="s">
        <v>45</v>
      </c>
      <c r="F1281">
        <v>1</v>
      </c>
      <c r="G1281" t="s">
        <v>51</v>
      </c>
      <c r="H1281" t="s">
        <v>1351</v>
      </c>
      <c r="I1281">
        <v>3</v>
      </c>
      <c r="J1281" t="s">
        <v>46</v>
      </c>
      <c r="K1281">
        <v>3</v>
      </c>
      <c r="L1281">
        <v>1</v>
      </c>
      <c r="M1281" t="s">
        <v>47</v>
      </c>
      <c r="N1281">
        <v>2</v>
      </c>
      <c r="O1281" t="s">
        <v>52</v>
      </c>
      <c r="P1281" s="1">
        <v>2342</v>
      </c>
      <c r="Q1281" t="s">
        <v>72</v>
      </c>
      <c r="R1281" t="s">
        <v>35</v>
      </c>
      <c r="S1281">
        <v>3</v>
      </c>
      <c r="T1281">
        <v>6</v>
      </c>
      <c r="U1281">
        <v>2</v>
      </c>
      <c r="V1281">
        <v>5</v>
      </c>
      <c r="W1281">
        <v>3</v>
      </c>
      <c r="X1281">
        <v>2</v>
      </c>
      <c r="Y1281">
        <v>3</v>
      </c>
      <c r="Z1281" t="s">
        <v>1550</v>
      </c>
      <c r="AA1281" t="s">
        <v>69</v>
      </c>
      <c r="AB1281" t="str" cm="1">
        <f t="array" ref="AB1281">_xlfn.IFS(cleaned_data[[#This Row],[YearsAtCompany]]&lt;=5, "0-5",cleaned_data[[#This Row],[YearsAtCompany]]&lt;=10,"6-10",TRUE,"10+")</f>
        <v>0-5</v>
      </c>
    </row>
    <row r="1282" spans="1:28" x14ac:dyDescent="0.3">
      <c r="A1282" s="2">
        <v>37</v>
      </c>
      <c r="B1282" t="s">
        <v>43</v>
      </c>
      <c r="C1282">
        <v>0</v>
      </c>
      <c r="D1282" t="s">
        <v>36</v>
      </c>
      <c r="E1282" t="s">
        <v>61</v>
      </c>
      <c r="F1282">
        <v>8</v>
      </c>
      <c r="G1282" t="s">
        <v>49</v>
      </c>
      <c r="H1282" t="s">
        <v>1352</v>
      </c>
      <c r="I1282">
        <v>3</v>
      </c>
      <c r="J1282" t="s">
        <v>46</v>
      </c>
      <c r="K1282">
        <v>3</v>
      </c>
      <c r="L1282">
        <v>2</v>
      </c>
      <c r="M1282" t="s">
        <v>61</v>
      </c>
      <c r="N1282">
        <v>2</v>
      </c>
      <c r="O1282" t="s">
        <v>52</v>
      </c>
      <c r="P1282" s="1">
        <v>4071</v>
      </c>
      <c r="Q1282" t="s">
        <v>72</v>
      </c>
      <c r="R1282" t="s">
        <v>43</v>
      </c>
      <c r="S1282">
        <v>3</v>
      </c>
      <c r="T1282">
        <v>19</v>
      </c>
      <c r="U1282">
        <v>2</v>
      </c>
      <c r="V1282">
        <v>10</v>
      </c>
      <c r="W1282">
        <v>0</v>
      </c>
      <c r="X1282">
        <v>4</v>
      </c>
      <c r="Y1282">
        <v>7</v>
      </c>
      <c r="Z1282" t="s">
        <v>1550</v>
      </c>
      <c r="AA1282" t="s">
        <v>82</v>
      </c>
      <c r="AB1282" t="str" cm="1">
        <f t="array" ref="AB1282">_xlfn.IFS(cleaned_data[[#This Row],[YearsAtCompany]]&lt;=5, "0-5",cleaned_data[[#This Row],[YearsAtCompany]]&lt;=10,"6-10",TRUE,"10+")</f>
        <v>6-10</v>
      </c>
    </row>
    <row r="1283" spans="1:28" x14ac:dyDescent="0.3">
      <c r="A1283" s="2">
        <v>35</v>
      </c>
      <c r="B1283" t="s">
        <v>35</v>
      </c>
      <c r="C1283">
        <v>1</v>
      </c>
      <c r="D1283" t="s">
        <v>36</v>
      </c>
      <c r="E1283" t="s">
        <v>37</v>
      </c>
      <c r="F1283">
        <v>27</v>
      </c>
      <c r="G1283" t="s">
        <v>38</v>
      </c>
      <c r="H1283" t="s">
        <v>1353</v>
      </c>
      <c r="I1283">
        <v>3</v>
      </c>
      <c r="J1283" t="s">
        <v>46</v>
      </c>
      <c r="K1283">
        <v>3</v>
      </c>
      <c r="L1283">
        <v>2</v>
      </c>
      <c r="M1283" t="s">
        <v>40</v>
      </c>
      <c r="N1283">
        <v>4</v>
      </c>
      <c r="O1283" t="s">
        <v>41</v>
      </c>
      <c r="P1283" s="1">
        <v>5813</v>
      </c>
      <c r="Q1283" t="s">
        <v>67</v>
      </c>
      <c r="R1283" t="s">
        <v>35</v>
      </c>
      <c r="S1283">
        <v>3</v>
      </c>
      <c r="T1283">
        <v>10</v>
      </c>
      <c r="U1283">
        <v>3</v>
      </c>
      <c r="V1283">
        <v>10</v>
      </c>
      <c r="W1283">
        <v>7</v>
      </c>
      <c r="X1283">
        <v>7</v>
      </c>
      <c r="Y1283">
        <v>7</v>
      </c>
      <c r="Z1283" t="s">
        <v>1551</v>
      </c>
      <c r="AA1283" t="s">
        <v>69</v>
      </c>
      <c r="AB1283" t="str" cm="1">
        <f t="array" ref="AB1283">_xlfn.IFS(cleaned_data[[#This Row],[YearsAtCompany]]&lt;=5, "0-5",cleaned_data[[#This Row],[YearsAtCompany]]&lt;=10,"6-10",TRUE,"10+")</f>
        <v>6-10</v>
      </c>
    </row>
    <row r="1284" spans="1:28" x14ac:dyDescent="0.3">
      <c r="A1284" s="2">
        <v>33</v>
      </c>
      <c r="B1284" t="s">
        <v>43</v>
      </c>
      <c r="C1284">
        <v>0</v>
      </c>
      <c r="D1284" t="s">
        <v>36</v>
      </c>
      <c r="E1284" t="s">
        <v>45</v>
      </c>
      <c r="F1284">
        <v>8</v>
      </c>
      <c r="G1284" t="s">
        <v>38</v>
      </c>
      <c r="H1284" t="s">
        <v>1354</v>
      </c>
      <c r="I1284">
        <v>4</v>
      </c>
      <c r="J1284" t="s">
        <v>46</v>
      </c>
      <c r="K1284">
        <v>4</v>
      </c>
      <c r="L1284">
        <v>1</v>
      </c>
      <c r="M1284" t="s">
        <v>47</v>
      </c>
      <c r="N1284">
        <v>1</v>
      </c>
      <c r="O1284" t="s">
        <v>48</v>
      </c>
      <c r="P1284" s="6">
        <v>3143</v>
      </c>
      <c r="Q1284" t="s">
        <v>72</v>
      </c>
      <c r="R1284" t="s">
        <v>43</v>
      </c>
      <c r="S1284">
        <v>3</v>
      </c>
      <c r="T1284">
        <v>14</v>
      </c>
      <c r="U1284">
        <v>3</v>
      </c>
      <c r="V1284">
        <v>10</v>
      </c>
      <c r="W1284">
        <v>8</v>
      </c>
      <c r="X1284">
        <v>7</v>
      </c>
      <c r="Y1284">
        <v>6</v>
      </c>
      <c r="Z1284" t="s">
        <v>1551</v>
      </c>
      <c r="AA1284" t="s">
        <v>69</v>
      </c>
      <c r="AB1284" t="str" cm="1">
        <f t="array" ref="AB1284">_xlfn.IFS(cleaned_data[[#This Row],[YearsAtCompany]]&lt;=5, "0-5",cleaned_data[[#This Row],[YearsAtCompany]]&lt;=10,"6-10",TRUE,"10+")</f>
        <v>6-10</v>
      </c>
    </row>
    <row r="1285" spans="1:28" x14ac:dyDescent="0.3">
      <c r="A1285" s="2">
        <v>28</v>
      </c>
      <c r="B1285" t="s">
        <v>43</v>
      </c>
      <c r="C1285">
        <v>0</v>
      </c>
      <c r="D1285" t="s">
        <v>36</v>
      </c>
      <c r="E1285" t="s">
        <v>45</v>
      </c>
      <c r="F1285">
        <v>1</v>
      </c>
      <c r="G1285" t="s">
        <v>38</v>
      </c>
      <c r="H1285" t="s">
        <v>1355</v>
      </c>
      <c r="I1285">
        <v>3</v>
      </c>
      <c r="J1285" t="s">
        <v>46</v>
      </c>
      <c r="K1285">
        <v>3</v>
      </c>
      <c r="L1285">
        <v>1</v>
      </c>
      <c r="M1285" t="s">
        <v>47</v>
      </c>
      <c r="N1285">
        <v>4</v>
      </c>
      <c r="O1285" t="s">
        <v>48</v>
      </c>
      <c r="P1285" s="1">
        <v>2044</v>
      </c>
      <c r="Q1285" t="s">
        <v>72</v>
      </c>
      <c r="R1285" t="s">
        <v>43</v>
      </c>
      <c r="S1285">
        <v>3</v>
      </c>
      <c r="T1285">
        <v>5</v>
      </c>
      <c r="U1285">
        <v>4</v>
      </c>
      <c r="V1285">
        <v>5</v>
      </c>
      <c r="W1285">
        <v>3</v>
      </c>
      <c r="X1285">
        <v>0</v>
      </c>
      <c r="Y1285">
        <v>3</v>
      </c>
      <c r="Z1285" t="s">
        <v>1551</v>
      </c>
      <c r="AA1285" t="s">
        <v>78</v>
      </c>
      <c r="AB1285" t="str" cm="1">
        <f t="array" ref="AB1285">_xlfn.IFS(cleaned_data[[#This Row],[YearsAtCompany]]&lt;=5, "0-5",cleaned_data[[#This Row],[YearsAtCompany]]&lt;=10,"6-10",TRUE,"10+")</f>
        <v>0-5</v>
      </c>
    </row>
    <row r="1286" spans="1:28" x14ac:dyDescent="0.3">
      <c r="A1286" s="2">
        <v>39</v>
      </c>
      <c r="B1286" t="s">
        <v>43</v>
      </c>
      <c r="C1286">
        <v>0</v>
      </c>
      <c r="D1286" t="s">
        <v>36</v>
      </c>
      <c r="E1286" t="s">
        <v>45</v>
      </c>
      <c r="F1286">
        <v>10</v>
      </c>
      <c r="G1286" t="s">
        <v>51</v>
      </c>
      <c r="H1286" t="s">
        <v>1356</v>
      </c>
      <c r="I1286">
        <v>3</v>
      </c>
      <c r="J1286" t="s">
        <v>46</v>
      </c>
      <c r="K1286">
        <v>3</v>
      </c>
      <c r="L1286">
        <v>3</v>
      </c>
      <c r="M1286" t="s">
        <v>58</v>
      </c>
      <c r="N1286">
        <v>3</v>
      </c>
      <c r="O1286" t="s">
        <v>41</v>
      </c>
      <c r="P1286" s="1">
        <v>13464</v>
      </c>
      <c r="Q1286" t="s">
        <v>90</v>
      </c>
      <c r="R1286" t="s">
        <v>43</v>
      </c>
      <c r="S1286">
        <v>4</v>
      </c>
      <c r="T1286">
        <v>9</v>
      </c>
      <c r="U1286">
        <v>3</v>
      </c>
      <c r="V1286">
        <v>4</v>
      </c>
      <c r="W1286">
        <v>3</v>
      </c>
      <c r="X1286">
        <v>2</v>
      </c>
      <c r="Y1286">
        <v>2</v>
      </c>
      <c r="Z1286" t="s">
        <v>1550</v>
      </c>
      <c r="AA1286" t="s">
        <v>69</v>
      </c>
      <c r="AB1286" t="str" cm="1">
        <f t="array" ref="AB1286">_xlfn.IFS(cleaned_data[[#This Row],[YearsAtCompany]]&lt;=5, "0-5",cleaned_data[[#This Row],[YearsAtCompany]]&lt;=10,"6-10",TRUE,"10+")</f>
        <v>0-5</v>
      </c>
    </row>
    <row r="1287" spans="1:28" x14ac:dyDescent="0.3">
      <c r="A1287" s="2">
        <v>46</v>
      </c>
      <c r="B1287" t="s">
        <v>43</v>
      </c>
      <c r="C1287">
        <v>0</v>
      </c>
      <c r="D1287" t="s">
        <v>55</v>
      </c>
      <c r="E1287" t="s">
        <v>37</v>
      </c>
      <c r="F1287">
        <v>26</v>
      </c>
      <c r="G1287" t="s">
        <v>38</v>
      </c>
      <c r="H1287" t="s">
        <v>1357</v>
      </c>
      <c r="I1287">
        <v>2</v>
      </c>
      <c r="J1287" t="s">
        <v>46</v>
      </c>
      <c r="K1287">
        <v>2</v>
      </c>
      <c r="L1287">
        <v>2</v>
      </c>
      <c r="M1287" t="s">
        <v>40</v>
      </c>
      <c r="N1287">
        <v>2</v>
      </c>
      <c r="O1287" t="s">
        <v>41</v>
      </c>
      <c r="P1287" s="1">
        <v>7991</v>
      </c>
      <c r="Q1287" t="s">
        <v>67</v>
      </c>
      <c r="R1287" t="s">
        <v>43</v>
      </c>
      <c r="S1287">
        <v>3</v>
      </c>
      <c r="T1287">
        <v>6</v>
      </c>
      <c r="U1287">
        <v>3</v>
      </c>
      <c r="V1287">
        <v>2</v>
      </c>
      <c r="W1287">
        <v>2</v>
      </c>
      <c r="X1287">
        <v>2</v>
      </c>
      <c r="Y1287">
        <v>2</v>
      </c>
      <c r="Z1287" t="s">
        <v>106</v>
      </c>
      <c r="AA1287" t="s">
        <v>69</v>
      </c>
      <c r="AB1287" t="str" cm="1">
        <f t="array" ref="AB1287">_xlfn.IFS(cleaned_data[[#This Row],[YearsAtCompany]]&lt;=5, "0-5",cleaned_data[[#This Row],[YearsAtCompany]]&lt;=10,"6-10",TRUE,"10+")</f>
        <v>0-5</v>
      </c>
    </row>
    <row r="1288" spans="1:28" x14ac:dyDescent="0.3">
      <c r="A1288" s="2">
        <v>40</v>
      </c>
      <c r="B1288" t="s">
        <v>43</v>
      </c>
      <c r="C1288">
        <v>0</v>
      </c>
      <c r="D1288" t="s">
        <v>36</v>
      </c>
      <c r="E1288" t="s">
        <v>45</v>
      </c>
      <c r="F1288">
        <v>2</v>
      </c>
      <c r="G1288" t="s">
        <v>38</v>
      </c>
      <c r="H1288" t="s">
        <v>1358</v>
      </c>
      <c r="I1288">
        <v>3</v>
      </c>
      <c r="J1288" t="s">
        <v>39</v>
      </c>
      <c r="K1288">
        <v>3</v>
      </c>
      <c r="L1288">
        <v>1</v>
      </c>
      <c r="M1288" t="s">
        <v>50</v>
      </c>
      <c r="N1288">
        <v>1</v>
      </c>
      <c r="O1288" t="s">
        <v>48</v>
      </c>
      <c r="P1288" s="6">
        <v>3377</v>
      </c>
      <c r="Q1288" t="s">
        <v>72</v>
      </c>
      <c r="R1288" t="s">
        <v>43</v>
      </c>
      <c r="S1288">
        <v>3</v>
      </c>
      <c r="T1288">
        <v>7</v>
      </c>
      <c r="U1288">
        <v>2</v>
      </c>
      <c r="V1288">
        <v>4</v>
      </c>
      <c r="W1288">
        <v>3</v>
      </c>
      <c r="X1288">
        <v>0</v>
      </c>
      <c r="Y1288">
        <v>2</v>
      </c>
      <c r="Z1288" t="s">
        <v>1550</v>
      </c>
      <c r="AA1288" t="s">
        <v>69</v>
      </c>
      <c r="AB1288" t="str" cm="1">
        <f t="array" ref="AB1288">_xlfn.IFS(cleaned_data[[#This Row],[YearsAtCompany]]&lt;=5, "0-5",cleaned_data[[#This Row],[YearsAtCompany]]&lt;=10,"6-10",TRUE,"10+")</f>
        <v>0-5</v>
      </c>
    </row>
    <row r="1289" spans="1:28" x14ac:dyDescent="0.3">
      <c r="A1289" s="2">
        <v>42</v>
      </c>
      <c r="B1289" t="s">
        <v>43</v>
      </c>
      <c r="C1289">
        <v>0</v>
      </c>
      <c r="D1289" t="s">
        <v>36</v>
      </c>
      <c r="E1289" t="s">
        <v>45</v>
      </c>
      <c r="F1289">
        <v>13</v>
      </c>
      <c r="G1289" t="s">
        <v>51</v>
      </c>
      <c r="H1289" t="s">
        <v>1359</v>
      </c>
      <c r="I1289">
        <v>2</v>
      </c>
      <c r="J1289" t="s">
        <v>46</v>
      </c>
      <c r="K1289">
        <v>4</v>
      </c>
      <c r="L1289">
        <v>2</v>
      </c>
      <c r="M1289" t="s">
        <v>54</v>
      </c>
      <c r="N1289">
        <v>1</v>
      </c>
      <c r="O1289" t="s">
        <v>48</v>
      </c>
      <c r="P1289" s="6">
        <v>5538</v>
      </c>
      <c r="Q1289" t="s">
        <v>67</v>
      </c>
      <c r="R1289" t="s">
        <v>43</v>
      </c>
      <c r="S1289">
        <v>3</v>
      </c>
      <c r="T1289">
        <v>10</v>
      </c>
      <c r="U1289">
        <v>2</v>
      </c>
      <c r="V1289">
        <v>0</v>
      </c>
      <c r="W1289">
        <v>0</v>
      </c>
      <c r="X1289">
        <v>0</v>
      </c>
      <c r="Y1289">
        <v>0</v>
      </c>
      <c r="Z1289" t="s">
        <v>1550</v>
      </c>
      <c r="AA1289" t="s">
        <v>69</v>
      </c>
      <c r="AB1289" t="str" cm="1">
        <f t="array" ref="AB1289">_xlfn.IFS(cleaned_data[[#This Row],[YearsAtCompany]]&lt;=5, "0-5",cleaned_data[[#This Row],[YearsAtCompany]]&lt;=10,"6-10",TRUE,"10+")</f>
        <v>0-5</v>
      </c>
    </row>
    <row r="1290" spans="1:28" x14ac:dyDescent="0.3">
      <c r="A1290" s="2">
        <v>35</v>
      </c>
      <c r="B1290" t="s">
        <v>43</v>
      </c>
      <c r="C1290">
        <v>0</v>
      </c>
      <c r="D1290" t="s">
        <v>55</v>
      </c>
      <c r="E1290" t="s">
        <v>45</v>
      </c>
      <c r="F1290">
        <v>2</v>
      </c>
      <c r="G1290" t="s">
        <v>51</v>
      </c>
      <c r="H1290" t="s">
        <v>1360</v>
      </c>
      <c r="I1290">
        <v>2</v>
      </c>
      <c r="J1290" t="s">
        <v>46</v>
      </c>
      <c r="K1290">
        <v>3</v>
      </c>
      <c r="L1290">
        <v>2</v>
      </c>
      <c r="M1290" t="s">
        <v>53</v>
      </c>
      <c r="N1290">
        <v>4</v>
      </c>
      <c r="O1290" t="s">
        <v>52</v>
      </c>
      <c r="P1290" s="1">
        <v>5762</v>
      </c>
      <c r="Q1290" t="s">
        <v>67</v>
      </c>
      <c r="R1290" t="s">
        <v>43</v>
      </c>
      <c r="S1290">
        <v>3</v>
      </c>
      <c r="T1290">
        <v>15</v>
      </c>
      <c r="U1290">
        <v>3</v>
      </c>
      <c r="V1290">
        <v>7</v>
      </c>
      <c r="W1290">
        <v>7</v>
      </c>
      <c r="X1290">
        <v>1</v>
      </c>
      <c r="Y1290">
        <v>7</v>
      </c>
      <c r="Z1290" t="s">
        <v>1551</v>
      </c>
      <c r="AA1290" t="s">
        <v>69</v>
      </c>
      <c r="AB1290" t="str" cm="1">
        <f t="array" ref="AB1290">_xlfn.IFS(cleaned_data[[#This Row],[YearsAtCompany]]&lt;=5, "0-5",cleaned_data[[#This Row],[YearsAtCompany]]&lt;=10,"6-10",TRUE,"10+")</f>
        <v>6-10</v>
      </c>
    </row>
    <row r="1291" spans="1:28" x14ac:dyDescent="0.3">
      <c r="A1291" s="2">
        <v>38</v>
      </c>
      <c r="B1291" t="s">
        <v>43</v>
      </c>
      <c r="C1291">
        <v>0</v>
      </c>
      <c r="D1291" t="s">
        <v>55</v>
      </c>
      <c r="E1291" t="s">
        <v>61</v>
      </c>
      <c r="F1291">
        <v>2</v>
      </c>
      <c r="G1291" t="s">
        <v>61</v>
      </c>
      <c r="H1291" t="s">
        <v>1361</v>
      </c>
      <c r="I1291">
        <v>1</v>
      </c>
      <c r="J1291" t="s">
        <v>46</v>
      </c>
      <c r="K1291">
        <v>3</v>
      </c>
      <c r="L1291">
        <v>1</v>
      </c>
      <c r="M1291" t="s">
        <v>61</v>
      </c>
      <c r="N1291">
        <v>2</v>
      </c>
      <c r="O1291" t="s">
        <v>52</v>
      </c>
      <c r="P1291" s="1">
        <v>2592</v>
      </c>
      <c r="Q1291" t="s">
        <v>72</v>
      </c>
      <c r="R1291" t="s">
        <v>43</v>
      </c>
      <c r="S1291">
        <v>3</v>
      </c>
      <c r="T1291">
        <v>13</v>
      </c>
      <c r="U1291">
        <v>3</v>
      </c>
      <c r="V1291">
        <v>11</v>
      </c>
      <c r="W1291">
        <v>10</v>
      </c>
      <c r="X1291">
        <v>3</v>
      </c>
      <c r="Y1291">
        <v>8</v>
      </c>
      <c r="Z1291" t="s">
        <v>1550</v>
      </c>
      <c r="AA1291" t="s">
        <v>69</v>
      </c>
      <c r="AB1291" t="str" cm="1">
        <f t="array" ref="AB1291">_xlfn.IFS(cleaned_data[[#This Row],[YearsAtCompany]]&lt;=5, "0-5",cleaned_data[[#This Row],[YearsAtCompany]]&lt;=10,"6-10",TRUE,"10+")</f>
        <v>10+</v>
      </c>
    </row>
    <row r="1292" spans="1:28" x14ac:dyDescent="0.3">
      <c r="A1292" s="2">
        <v>34</v>
      </c>
      <c r="B1292" t="s">
        <v>35</v>
      </c>
      <c r="C1292">
        <v>1</v>
      </c>
      <c r="D1292" t="s">
        <v>44</v>
      </c>
      <c r="E1292" t="s">
        <v>45</v>
      </c>
      <c r="F1292">
        <v>9</v>
      </c>
      <c r="G1292" t="s">
        <v>38</v>
      </c>
      <c r="H1292" t="s">
        <v>1362</v>
      </c>
      <c r="I1292">
        <v>4</v>
      </c>
      <c r="J1292" t="s">
        <v>46</v>
      </c>
      <c r="K1292">
        <v>3</v>
      </c>
      <c r="L1292">
        <v>2</v>
      </c>
      <c r="M1292" t="s">
        <v>50</v>
      </c>
      <c r="N1292">
        <v>1</v>
      </c>
      <c r="O1292" t="s">
        <v>48</v>
      </c>
      <c r="P1292" s="6">
        <v>5346</v>
      </c>
      <c r="Q1292" t="s">
        <v>67</v>
      </c>
      <c r="R1292" t="s">
        <v>43</v>
      </c>
      <c r="S1292">
        <v>3</v>
      </c>
      <c r="T1292">
        <v>11</v>
      </c>
      <c r="U1292">
        <v>2</v>
      </c>
      <c r="V1292">
        <v>7</v>
      </c>
      <c r="W1292">
        <v>1</v>
      </c>
      <c r="X1292">
        <v>0</v>
      </c>
      <c r="Y1292">
        <v>7</v>
      </c>
      <c r="Z1292" t="s">
        <v>1551</v>
      </c>
      <c r="AA1292" t="s">
        <v>69</v>
      </c>
      <c r="AB1292" t="str" cm="1">
        <f t="array" ref="AB1292">_xlfn.IFS(cleaned_data[[#This Row],[YearsAtCompany]]&lt;=5, "0-5",cleaned_data[[#This Row],[YearsAtCompany]]&lt;=10,"6-10",TRUE,"10+")</f>
        <v>6-10</v>
      </c>
    </row>
    <row r="1293" spans="1:28" x14ac:dyDescent="0.3">
      <c r="A1293" s="2">
        <v>37</v>
      </c>
      <c r="B1293" t="s">
        <v>35</v>
      </c>
      <c r="C1293">
        <v>1</v>
      </c>
      <c r="D1293" t="s">
        <v>36</v>
      </c>
      <c r="E1293" t="s">
        <v>45</v>
      </c>
      <c r="F1293">
        <v>10</v>
      </c>
      <c r="G1293" t="s">
        <v>51</v>
      </c>
      <c r="H1293" t="s">
        <v>1363</v>
      </c>
      <c r="I1293">
        <v>4</v>
      </c>
      <c r="J1293" t="s">
        <v>46</v>
      </c>
      <c r="K1293">
        <v>3</v>
      </c>
      <c r="L1293">
        <v>2</v>
      </c>
      <c r="M1293" t="s">
        <v>53</v>
      </c>
      <c r="N1293">
        <v>1</v>
      </c>
      <c r="O1293" t="s">
        <v>41</v>
      </c>
      <c r="P1293" s="6">
        <v>4213</v>
      </c>
      <c r="Q1293" t="s">
        <v>72</v>
      </c>
      <c r="R1293" t="s">
        <v>43</v>
      </c>
      <c r="S1293">
        <v>3</v>
      </c>
      <c r="T1293">
        <v>10</v>
      </c>
      <c r="U1293">
        <v>1</v>
      </c>
      <c r="V1293">
        <v>10</v>
      </c>
      <c r="W1293">
        <v>3</v>
      </c>
      <c r="X1293">
        <v>0</v>
      </c>
      <c r="Y1293">
        <v>8</v>
      </c>
      <c r="Z1293" t="s">
        <v>1550</v>
      </c>
      <c r="AA1293" t="s">
        <v>69</v>
      </c>
      <c r="AB1293" t="str" cm="1">
        <f t="array" ref="AB1293">_xlfn.IFS(cleaned_data[[#This Row],[YearsAtCompany]]&lt;=5, "0-5",cleaned_data[[#This Row],[YearsAtCompany]]&lt;=10,"6-10",TRUE,"10+")</f>
        <v>6-10</v>
      </c>
    </row>
    <row r="1294" spans="1:28" x14ac:dyDescent="0.3">
      <c r="A1294" s="2">
        <v>39</v>
      </c>
      <c r="B1294" t="s">
        <v>43</v>
      </c>
      <c r="C1294">
        <v>0</v>
      </c>
      <c r="D1294" t="s">
        <v>44</v>
      </c>
      <c r="E1294" t="s">
        <v>37</v>
      </c>
      <c r="F1294">
        <v>20</v>
      </c>
      <c r="G1294" t="s">
        <v>38</v>
      </c>
      <c r="H1294" t="s">
        <v>1364</v>
      </c>
      <c r="I1294">
        <v>3</v>
      </c>
      <c r="J1294" t="s">
        <v>46</v>
      </c>
      <c r="K1294">
        <v>3</v>
      </c>
      <c r="L1294">
        <v>2</v>
      </c>
      <c r="M1294" t="s">
        <v>40</v>
      </c>
      <c r="N1294">
        <v>4</v>
      </c>
      <c r="O1294" t="s">
        <v>52</v>
      </c>
      <c r="P1294" s="1">
        <v>4127</v>
      </c>
      <c r="Q1294" t="s">
        <v>72</v>
      </c>
      <c r="R1294" t="s">
        <v>43</v>
      </c>
      <c r="S1294">
        <v>3</v>
      </c>
      <c r="T1294">
        <v>7</v>
      </c>
      <c r="U1294">
        <v>3</v>
      </c>
      <c r="V1294">
        <v>2</v>
      </c>
      <c r="W1294">
        <v>1</v>
      </c>
      <c r="X1294">
        <v>2</v>
      </c>
      <c r="Y1294">
        <v>2</v>
      </c>
      <c r="Z1294" t="s">
        <v>1550</v>
      </c>
      <c r="AA1294" t="s">
        <v>69</v>
      </c>
      <c r="AB1294" t="str" cm="1">
        <f t="array" ref="AB1294">_xlfn.IFS(cleaned_data[[#This Row],[YearsAtCompany]]&lt;=5, "0-5",cleaned_data[[#This Row],[YearsAtCompany]]&lt;=10,"6-10",TRUE,"10+")</f>
        <v>0-5</v>
      </c>
    </row>
    <row r="1295" spans="1:28" x14ac:dyDescent="0.3">
      <c r="A1295" s="2">
        <v>43</v>
      </c>
      <c r="B1295" t="s">
        <v>43</v>
      </c>
      <c r="C1295">
        <v>0</v>
      </c>
      <c r="D1295" t="s">
        <v>55</v>
      </c>
      <c r="E1295" t="s">
        <v>45</v>
      </c>
      <c r="F1295">
        <v>9</v>
      </c>
      <c r="G1295" t="s">
        <v>38</v>
      </c>
      <c r="H1295" t="s">
        <v>1365</v>
      </c>
      <c r="I1295">
        <v>1</v>
      </c>
      <c r="J1295" t="s">
        <v>46</v>
      </c>
      <c r="K1295">
        <v>3</v>
      </c>
      <c r="L1295">
        <v>1</v>
      </c>
      <c r="M1295" t="s">
        <v>47</v>
      </c>
      <c r="N1295">
        <v>3</v>
      </c>
      <c r="O1295" t="s">
        <v>41</v>
      </c>
      <c r="P1295" s="1">
        <v>2438</v>
      </c>
      <c r="Q1295" t="s">
        <v>72</v>
      </c>
      <c r="R1295" t="s">
        <v>43</v>
      </c>
      <c r="S1295">
        <v>3</v>
      </c>
      <c r="T1295">
        <v>7</v>
      </c>
      <c r="U1295">
        <v>2</v>
      </c>
      <c r="V1295">
        <v>3</v>
      </c>
      <c r="W1295">
        <v>2</v>
      </c>
      <c r="X1295">
        <v>1</v>
      </c>
      <c r="Y1295">
        <v>2</v>
      </c>
      <c r="Z1295" t="s">
        <v>1550</v>
      </c>
      <c r="AA1295" t="s">
        <v>69</v>
      </c>
      <c r="AB1295" t="str" cm="1">
        <f t="array" ref="AB1295">_xlfn.IFS(cleaned_data[[#This Row],[YearsAtCompany]]&lt;=5, "0-5",cleaned_data[[#This Row],[YearsAtCompany]]&lt;=10,"6-10",TRUE,"10+")</f>
        <v>0-5</v>
      </c>
    </row>
    <row r="1296" spans="1:28" x14ac:dyDescent="0.3">
      <c r="A1296" s="2">
        <v>41</v>
      </c>
      <c r="B1296" t="s">
        <v>43</v>
      </c>
      <c r="C1296">
        <v>0</v>
      </c>
      <c r="D1296" t="s">
        <v>36</v>
      </c>
      <c r="E1296" t="s">
        <v>45</v>
      </c>
      <c r="F1296">
        <v>5</v>
      </c>
      <c r="G1296" t="s">
        <v>38</v>
      </c>
      <c r="H1296" t="s">
        <v>1366</v>
      </c>
      <c r="I1296">
        <v>2</v>
      </c>
      <c r="J1296" t="s">
        <v>46</v>
      </c>
      <c r="K1296">
        <v>4</v>
      </c>
      <c r="L1296">
        <v>2</v>
      </c>
      <c r="M1296" t="s">
        <v>54</v>
      </c>
      <c r="N1296">
        <v>2</v>
      </c>
      <c r="O1296" t="s">
        <v>41</v>
      </c>
      <c r="P1296" s="1">
        <v>6870</v>
      </c>
      <c r="Q1296" t="s">
        <v>67</v>
      </c>
      <c r="R1296" t="s">
        <v>43</v>
      </c>
      <c r="S1296">
        <v>3</v>
      </c>
      <c r="T1296">
        <v>11</v>
      </c>
      <c r="U1296">
        <v>1</v>
      </c>
      <c r="V1296">
        <v>3</v>
      </c>
      <c r="W1296">
        <v>2</v>
      </c>
      <c r="X1296">
        <v>1</v>
      </c>
      <c r="Y1296">
        <v>2</v>
      </c>
      <c r="Z1296" t="s">
        <v>1550</v>
      </c>
      <c r="AA1296" t="s">
        <v>69</v>
      </c>
      <c r="AB1296" t="str" cm="1">
        <f t="array" ref="AB1296">_xlfn.IFS(cleaned_data[[#This Row],[YearsAtCompany]]&lt;=5, "0-5",cleaned_data[[#This Row],[YearsAtCompany]]&lt;=10,"6-10",TRUE,"10+")</f>
        <v>0-5</v>
      </c>
    </row>
    <row r="1297" spans="1:28" x14ac:dyDescent="0.3">
      <c r="A1297" s="2">
        <v>41</v>
      </c>
      <c r="B1297" t="s">
        <v>43</v>
      </c>
      <c r="C1297">
        <v>0</v>
      </c>
      <c r="D1297" t="s">
        <v>36</v>
      </c>
      <c r="E1297" t="s">
        <v>37</v>
      </c>
      <c r="F1297">
        <v>4</v>
      </c>
      <c r="G1297" t="s">
        <v>59</v>
      </c>
      <c r="H1297" t="s">
        <v>1367</v>
      </c>
      <c r="I1297">
        <v>3</v>
      </c>
      <c r="J1297" t="s">
        <v>39</v>
      </c>
      <c r="K1297">
        <v>3</v>
      </c>
      <c r="L1297">
        <v>3</v>
      </c>
      <c r="M1297" t="s">
        <v>40</v>
      </c>
      <c r="N1297">
        <v>3</v>
      </c>
      <c r="O1297" t="s">
        <v>52</v>
      </c>
      <c r="P1297" s="1">
        <v>10447</v>
      </c>
      <c r="Q1297" t="s">
        <v>67</v>
      </c>
      <c r="R1297" t="s">
        <v>35</v>
      </c>
      <c r="S1297">
        <v>3</v>
      </c>
      <c r="T1297">
        <v>23</v>
      </c>
      <c r="U1297">
        <v>4</v>
      </c>
      <c r="V1297">
        <v>22</v>
      </c>
      <c r="W1297">
        <v>14</v>
      </c>
      <c r="X1297">
        <v>13</v>
      </c>
      <c r="Y1297">
        <v>5</v>
      </c>
      <c r="Z1297" t="s">
        <v>1550</v>
      </c>
      <c r="AA1297" t="s">
        <v>82</v>
      </c>
      <c r="AB1297" t="str" cm="1">
        <f t="array" ref="AB1297">_xlfn.IFS(cleaned_data[[#This Row],[YearsAtCompany]]&lt;=5, "0-5",cleaned_data[[#This Row],[YearsAtCompany]]&lt;=10,"6-10",TRUE,"10+")</f>
        <v>10+</v>
      </c>
    </row>
    <row r="1298" spans="1:28" x14ac:dyDescent="0.3">
      <c r="A1298" s="2">
        <v>30</v>
      </c>
      <c r="B1298" t="s">
        <v>43</v>
      </c>
      <c r="C1298">
        <v>0</v>
      </c>
      <c r="D1298" t="s">
        <v>36</v>
      </c>
      <c r="E1298" t="s">
        <v>45</v>
      </c>
      <c r="F1298">
        <v>10</v>
      </c>
      <c r="G1298" t="s">
        <v>51</v>
      </c>
      <c r="H1298" t="s">
        <v>1368</v>
      </c>
      <c r="I1298">
        <v>1</v>
      </c>
      <c r="J1298" t="s">
        <v>39</v>
      </c>
      <c r="K1298">
        <v>3</v>
      </c>
      <c r="L1298">
        <v>3</v>
      </c>
      <c r="M1298" t="s">
        <v>53</v>
      </c>
      <c r="N1298">
        <v>3</v>
      </c>
      <c r="O1298" t="s">
        <v>41</v>
      </c>
      <c r="P1298" s="1">
        <v>9667</v>
      </c>
      <c r="Q1298" t="s">
        <v>67</v>
      </c>
      <c r="R1298" t="s">
        <v>43</v>
      </c>
      <c r="S1298">
        <v>3</v>
      </c>
      <c r="T1298">
        <v>9</v>
      </c>
      <c r="U1298">
        <v>3</v>
      </c>
      <c r="V1298">
        <v>7</v>
      </c>
      <c r="W1298">
        <v>7</v>
      </c>
      <c r="X1298">
        <v>0</v>
      </c>
      <c r="Y1298">
        <v>2</v>
      </c>
      <c r="Z1298" t="s">
        <v>1551</v>
      </c>
      <c r="AA1298" t="s">
        <v>69</v>
      </c>
      <c r="AB1298" t="str" cm="1">
        <f t="array" ref="AB1298">_xlfn.IFS(cleaned_data[[#This Row],[YearsAtCompany]]&lt;=5, "0-5",cleaned_data[[#This Row],[YearsAtCompany]]&lt;=10,"6-10",TRUE,"10+")</f>
        <v>6-10</v>
      </c>
    </row>
    <row r="1299" spans="1:28" x14ac:dyDescent="0.3">
      <c r="A1299" s="2">
        <v>26</v>
      </c>
      <c r="B1299" t="s">
        <v>35</v>
      </c>
      <c r="C1299">
        <v>1</v>
      </c>
      <c r="D1299" t="s">
        <v>36</v>
      </c>
      <c r="E1299" t="s">
        <v>61</v>
      </c>
      <c r="F1299">
        <v>20</v>
      </c>
      <c r="G1299" t="s">
        <v>51</v>
      </c>
      <c r="H1299" t="s">
        <v>1369</v>
      </c>
      <c r="I1299">
        <v>4</v>
      </c>
      <c r="J1299" t="s">
        <v>39</v>
      </c>
      <c r="K1299">
        <v>3</v>
      </c>
      <c r="L1299">
        <v>1</v>
      </c>
      <c r="M1299" t="s">
        <v>61</v>
      </c>
      <c r="N1299">
        <v>2</v>
      </c>
      <c r="O1299" t="s">
        <v>48</v>
      </c>
      <c r="P1299" s="1">
        <v>2148</v>
      </c>
      <c r="Q1299" t="s">
        <v>72</v>
      </c>
      <c r="R1299" t="s">
        <v>35</v>
      </c>
      <c r="S1299">
        <v>3</v>
      </c>
      <c r="T1299">
        <v>6</v>
      </c>
      <c r="U1299">
        <v>3</v>
      </c>
      <c r="V1299">
        <v>5</v>
      </c>
      <c r="W1299">
        <v>1</v>
      </c>
      <c r="X1299">
        <v>1</v>
      </c>
      <c r="Y1299">
        <v>4</v>
      </c>
      <c r="Z1299" t="s">
        <v>1551</v>
      </c>
      <c r="AA1299" t="s">
        <v>69</v>
      </c>
      <c r="AB1299" t="str" cm="1">
        <f t="array" ref="AB1299">_xlfn.IFS(cleaned_data[[#This Row],[YearsAtCompany]]&lt;=5, "0-5",cleaned_data[[#This Row],[YearsAtCompany]]&lt;=10,"6-10",TRUE,"10+")</f>
        <v>0-5</v>
      </c>
    </row>
    <row r="1300" spans="1:28" x14ac:dyDescent="0.3">
      <c r="A1300" s="2">
        <v>46</v>
      </c>
      <c r="B1300" t="s">
        <v>35</v>
      </c>
      <c r="C1300">
        <v>1</v>
      </c>
      <c r="D1300" t="s">
        <v>36</v>
      </c>
      <c r="E1300" t="s">
        <v>45</v>
      </c>
      <c r="F1300">
        <v>21</v>
      </c>
      <c r="G1300" t="s">
        <v>51</v>
      </c>
      <c r="H1300" t="s">
        <v>1370</v>
      </c>
      <c r="I1300">
        <v>4</v>
      </c>
      <c r="J1300" t="s">
        <v>39</v>
      </c>
      <c r="K1300">
        <v>3</v>
      </c>
      <c r="L1300">
        <v>2</v>
      </c>
      <c r="M1300" t="s">
        <v>54</v>
      </c>
      <c r="N1300">
        <v>2</v>
      </c>
      <c r="O1300" t="s">
        <v>48</v>
      </c>
      <c r="P1300" s="1">
        <v>8926</v>
      </c>
      <c r="Q1300" t="s">
        <v>67</v>
      </c>
      <c r="R1300" t="s">
        <v>43</v>
      </c>
      <c r="S1300">
        <v>4</v>
      </c>
      <c r="T1300">
        <v>13</v>
      </c>
      <c r="U1300">
        <v>4</v>
      </c>
      <c r="V1300">
        <v>9</v>
      </c>
      <c r="W1300">
        <v>7</v>
      </c>
      <c r="X1300">
        <v>3</v>
      </c>
      <c r="Y1300">
        <v>7</v>
      </c>
      <c r="Z1300" t="s">
        <v>106</v>
      </c>
      <c r="AA1300" t="s">
        <v>69</v>
      </c>
      <c r="AB1300" t="str" cm="1">
        <f t="array" ref="AB1300">_xlfn.IFS(cleaned_data[[#This Row],[YearsAtCompany]]&lt;=5, "0-5",cleaned_data[[#This Row],[YearsAtCompany]]&lt;=10,"6-10",TRUE,"10+")</f>
        <v>6-10</v>
      </c>
    </row>
    <row r="1301" spans="1:28" x14ac:dyDescent="0.3">
      <c r="A1301" s="2">
        <v>40</v>
      </c>
      <c r="B1301" t="s">
        <v>43</v>
      </c>
      <c r="C1301">
        <v>0</v>
      </c>
      <c r="D1301" t="s">
        <v>36</v>
      </c>
      <c r="E1301" t="s">
        <v>45</v>
      </c>
      <c r="F1301">
        <v>1</v>
      </c>
      <c r="G1301" t="s">
        <v>38</v>
      </c>
      <c r="H1301" t="s">
        <v>1371</v>
      </c>
      <c r="I1301">
        <v>3</v>
      </c>
      <c r="J1301" t="s">
        <v>39</v>
      </c>
      <c r="K1301">
        <v>3</v>
      </c>
      <c r="L1301">
        <v>2</v>
      </c>
      <c r="M1301" t="s">
        <v>54</v>
      </c>
      <c r="N1301">
        <v>4</v>
      </c>
      <c r="O1301" t="s">
        <v>52</v>
      </c>
      <c r="P1301" s="1">
        <v>6513</v>
      </c>
      <c r="Q1301" t="s">
        <v>67</v>
      </c>
      <c r="R1301" t="s">
        <v>43</v>
      </c>
      <c r="S1301">
        <v>3</v>
      </c>
      <c r="T1301">
        <v>12</v>
      </c>
      <c r="U1301">
        <v>3</v>
      </c>
      <c r="V1301">
        <v>5</v>
      </c>
      <c r="W1301">
        <v>3</v>
      </c>
      <c r="X1301">
        <v>0</v>
      </c>
      <c r="Y1301">
        <v>3</v>
      </c>
      <c r="Z1301" t="s">
        <v>1550</v>
      </c>
      <c r="AA1301" t="s">
        <v>69</v>
      </c>
      <c r="AB1301" t="str" cm="1">
        <f t="array" ref="AB1301">_xlfn.IFS(cleaned_data[[#This Row],[YearsAtCompany]]&lt;=5, "0-5",cleaned_data[[#This Row],[YearsAtCompany]]&lt;=10,"6-10",TRUE,"10+")</f>
        <v>0-5</v>
      </c>
    </row>
    <row r="1302" spans="1:28" x14ac:dyDescent="0.3">
      <c r="A1302" s="2">
        <v>34</v>
      </c>
      <c r="B1302" t="s">
        <v>43</v>
      </c>
      <c r="C1302">
        <v>0</v>
      </c>
      <c r="D1302" t="s">
        <v>36</v>
      </c>
      <c r="E1302" t="s">
        <v>37</v>
      </c>
      <c r="F1302">
        <v>8</v>
      </c>
      <c r="G1302" t="s">
        <v>60</v>
      </c>
      <c r="H1302" t="s">
        <v>1372</v>
      </c>
      <c r="I1302">
        <v>2</v>
      </c>
      <c r="J1302" t="s">
        <v>46</v>
      </c>
      <c r="K1302">
        <v>4</v>
      </c>
      <c r="L1302">
        <v>2</v>
      </c>
      <c r="M1302" t="s">
        <v>40</v>
      </c>
      <c r="N1302">
        <v>3</v>
      </c>
      <c r="O1302" t="s">
        <v>48</v>
      </c>
      <c r="P1302" s="1">
        <v>6799</v>
      </c>
      <c r="Q1302" t="s">
        <v>67</v>
      </c>
      <c r="R1302" t="s">
        <v>43</v>
      </c>
      <c r="S1302">
        <v>4</v>
      </c>
      <c r="T1302">
        <v>10</v>
      </c>
      <c r="U1302">
        <v>3</v>
      </c>
      <c r="V1302">
        <v>10</v>
      </c>
      <c r="W1302">
        <v>8</v>
      </c>
      <c r="X1302">
        <v>4</v>
      </c>
      <c r="Y1302">
        <v>8</v>
      </c>
      <c r="Z1302" t="s">
        <v>1551</v>
      </c>
      <c r="AA1302" t="s">
        <v>69</v>
      </c>
      <c r="AB1302" t="str" cm="1">
        <f t="array" ref="AB1302">_xlfn.IFS(cleaned_data[[#This Row],[YearsAtCompany]]&lt;=5, "0-5",cleaned_data[[#This Row],[YearsAtCompany]]&lt;=10,"6-10",TRUE,"10+")</f>
        <v>6-10</v>
      </c>
    </row>
    <row r="1303" spans="1:28" x14ac:dyDescent="0.3">
      <c r="A1303" s="2">
        <v>58</v>
      </c>
      <c r="B1303" t="s">
        <v>43</v>
      </c>
      <c r="C1303">
        <v>0</v>
      </c>
      <c r="D1303" t="s">
        <v>55</v>
      </c>
      <c r="E1303" t="s">
        <v>37</v>
      </c>
      <c r="F1303">
        <v>2</v>
      </c>
      <c r="G1303" t="s">
        <v>51</v>
      </c>
      <c r="H1303" t="s">
        <v>1373</v>
      </c>
      <c r="I1303">
        <v>2</v>
      </c>
      <c r="J1303" t="s">
        <v>46</v>
      </c>
      <c r="K1303">
        <v>3</v>
      </c>
      <c r="L1303">
        <v>4</v>
      </c>
      <c r="M1303" t="s">
        <v>56</v>
      </c>
      <c r="N1303">
        <v>2</v>
      </c>
      <c r="O1303" t="s">
        <v>52</v>
      </c>
      <c r="P1303" s="1">
        <v>16291</v>
      </c>
      <c r="Q1303" t="s">
        <v>90</v>
      </c>
      <c r="R1303" t="s">
        <v>43</v>
      </c>
      <c r="S1303">
        <v>4</v>
      </c>
      <c r="T1303">
        <v>37</v>
      </c>
      <c r="U1303">
        <v>2</v>
      </c>
      <c r="V1303">
        <v>16</v>
      </c>
      <c r="W1303">
        <v>9</v>
      </c>
      <c r="X1303">
        <v>14</v>
      </c>
      <c r="Y1303">
        <v>14</v>
      </c>
      <c r="Z1303" t="s">
        <v>106</v>
      </c>
      <c r="AA1303" t="s">
        <v>82</v>
      </c>
      <c r="AB1303" t="str" cm="1">
        <f t="array" ref="AB1303">_xlfn.IFS(cleaned_data[[#This Row],[YearsAtCompany]]&lt;=5, "0-5",cleaned_data[[#This Row],[YearsAtCompany]]&lt;=10,"6-10",TRUE,"10+")</f>
        <v>10+</v>
      </c>
    </row>
    <row r="1304" spans="1:28" x14ac:dyDescent="0.3">
      <c r="A1304" s="2">
        <v>35</v>
      </c>
      <c r="B1304" t="s">
        <v>43</v>
      </c>
      <c r="C1304">
        <v>0</v>
      </c>
      <c r="D1304" t="s">
        <v>36</v>
      </c>
      <c r="E1304" t="s">
        <v>45</v>
      </c>
      <c r="F1304">
        <v>23</v>
      </c>
      <c r="G1304" t="s">
        <v>51</v>
      </c>
      <c r="H1304" t="s">
        <v>1374</v>
      </c>
      <c r="I1304">
        <v>2</v>
      </c>
      <c r="J1304" t="s">
        <v>46</v>
      </c>
      <c r="K1304">
        <v>1</v>
      </c>
      <c r="L1304">
        <v>1</v>
      </c>
      <c r="M1304" t="s">
        <v>50</v>
      </c>
      <c r="N1304">
        <v>3</v>
      </c>
      <c r="O1304" t="s">
        <v>48</v>
      </c>
      <c r="P1304" s="1">
        <v>2705</v>
      </c>
      <c r="Q1304" t="s">
        <v>72</v>
      </c>
      <c r="R1304" t="s">
        <v>43</v>
      </c>
      <c r="S1304">
        <v>3</v>
      </c>
      <c r="T1304">
        <v>6</v>
      </c>
      <c r="U1304">
        <v>4</v>
      </c>
      <c r="V1304">
        <v>5</v>
      </c>
      <c r="W1304">
        <v>4</v>
      </c>
      <c r="X1304">
        <v>0</v>
      </c>
      <c r="Y1304">
        <v>3</v>
      </c>
      <c r="Z1304" t="s">
        <v>1551</v>
      </c>
      <c r="AA1304" t="s">
        <v>69</v>
      </c>
      <c r="AB1304" t="str" cm="1">
        <f t="array" ref="AB1304">_xlfn.IFS(cleaned_data[[#This Row],[YearsAtCompany]]&lt;=5, "0-5",cleaned_data[[#This Row],[YearsAtCompany]]&lt;=10,"6-10",TRUE,"10+")</f>
        <v>0-5</v>
      </c>
    </row>
    <row r="1305" spans="1:28" x14ac:dyDescent="0.3">
      <c r="A1305" s="2">
        <v>47</v>
      </c>
      <c r="B1305" t="s">
        <v>43</v>
      </c>
      <c r="C1305">
        <v>0</v>
      </c>
      <c r="D1305" t="s">
        <v>36</v>
      </c>
      <c r="E1305" t="s">
        <v>45</v>
      </c>
      <c r="F1305">
        <v>4</v>
      </c>
      <c r="G1305" t="s">
        <v>38</v>
      </c>
      <c r="H1305" t="s">
        <v>1375</v>
      </c>
      <c r="I1305">
        <v>3</v>
      </c>
      <c r="J1305" t="s">
        <v>39</v>
      </c>
      <c r="K1305">
        <v>2</v>
      </c>
      <c r="L1305">
        <v>3</v>
      </c>
      <c r="M1305" t="s">
        <v>53</v>
      </c>
      <c r="N1305">
        <v>2</v>
      </c>
      <c r="O1305" t="s">
        <v>52</v>
      </c>
      <c r="P1305" s="1">
        <v>10333</v>
      </c>
      <c r="Q1305" t="s">
        <v>67</v>
      </c>
      <c r="R1305" t="s">
        <v>35</v>
      </c>
      <c r="S1305">
        <v>3</v>
      </c>
      <c r="T1305">
        <v>28</v>
      </c>
      <c r="U1305">
        <v>3</v>
      </c>
      <c r="V1305">
        <v>22</v>
      </c>
      <c r="W1305">
        <v>11</v>
      </c>
      <c r="X1305">
        <v>14</v>
      </c>
      <c r="Y1305">
        <v>10</v>
      </c>
      <c r="Z1305" t="s">
        <v>106</v>
      </c>
      <c r="AA1305" t="s">
        <v>82</v>
      </c>
      <c r="AB1305" t="str" cm="1">
        <f t="array" ref="AB1305">_xlfn.IFS(cleaned_data[[#This Row],[YearsAtCompany]]&lt;=5, "0-5",cleaned_data[[#This Row],[YearsAtCompany]]&lt;=10,"6-10",TRUE,"10+")</f>
        <v>10+</v>
      </c>
    </row>
    <row r="1306" spans="1:28" x14ac:dyDescent="0.3">
      <c r="A1306" s="2">
        <v>40</v>
      </c>
      <c r="B1306" t="s">
        <v>43</v>
      </c>
      <c r="C1306">
        <v>0</v>
      </c>
      <c r="D1306" t="s">
        <v>36</v>
      </c>
      <c r="E1306" t="s">
        <v>45</v>
      </c>
      <c r="F1306">
        <v>12</v>
      </c>
      <c r="G1306" t="s">
        <v>38</v>
      </c>
      <c r="H1306" t="s">
        <v>1376</v>
      </c>
      <c r="I1306">
        <v>2</v>
      </c>
      <c r="J1306" t="s">
        <v>39</v>
      </c>
      <c r="K1306">
        <v>3</v>
      </c>
      <c r="L1306">
        <v>2</v>
      </c>
      <c r="M1306" t="s">
        <v>54</v>
      </c>
      <c r="N1306">
        <v>1</v>
      </c>
      <c r="O1306" t="s">
        <v>52</v>
      </c>
      <c r="P1306" s="6">
        <v>4448</v>
      </c>
      <c r="Q1306" t="s">
        <v>72</v>
      </c>
      <c r="R1306" t="s">
        <v>43</v>
      </c>
      <c r="S1306">
        <v>3</v>
      </c>
      <c r="T1306">
        <v>15</v>
      </c>
      <c r="U1306">
        <v>3</v>
      </c>
      <c r="V1306">
        <v>7</v>
      </c>
      <c r="W1306">
        <v>4</v>
      </c>
      <c r="X1306">
        <v>7</v>
      </c>
      <c r="Y1306">
        <v>7</v>
      </c>
      <c r="Z1306" t="s">
        <v>1550</v>
      </c>
      <c r="AA1306" t="s">
        <v>69</v>
      </c>
      <c r="AB1306" t="str" cm="1">
        <f t="array" ref="AB1306">_xlfn.IFS(cleaned_data[[#This Row],[YearsAtCompany]]&lt;=5, "0-5",cleaned_data[[#This Row],[YearsAtCompany]]&lt;=10,"6-10",TRUE,"10+")</f>
        <v>6-10</v>
      </c>
    </row>
    <row r="1307" spans="1:28" x14ac:dyDescent="0.3">
      <c r="A1307" s="2">
        <v>54</v>
      </c>
      <c r="B1307" t="s">
        <v>43</v>
      </c>
      <c r="C1307">
        <v>0</v>
      </c>
      <c r="D1307" t="s">
        <v>36</v>
      </c>
      <c r="E1307" t="s">
        <v>45</v>
      </c>
      <c r="F1307">
        <v>7</v>
      </c>
      <c r="G1307" t="s">
        <v>51</v>
      </c>
      <c r="H1307" t="s">
        <v>1377</v>
      </c>
      <c r="I1307">
        <v>4</v>
      </c>
      <c r="J1307" t="s">
        <v>39</v>
      </c>
      <c r="K1307">
        <v>3</v>
      </c>
      <c r="L1307">
        <v>2</v>
      </c>
      <c r="M1307" t="s">
        <v>47</v>
      </c>
      <c r="N1307">
        <v>4</v>
      </c>
      <c r="O1307" t="s">
        <v>48</v>
      </c>
      <c r="P1307" s="1">
        <v>6854</v>
      </c>
      <c r="Q1307" t="s">
        <v>67</v>
      </c>
      <c r="R1307" t="s">
        <v>43</v>
      </c>
      <c r="S1307">
        <v>3</v>
      </c>
      <c r="T1307">
        <v>14</v>
      </c>
      <c r="U1307">
        <v>2</v>
      </c>
      <c r="V1307">
        <v>7</v>
      </c>
      <c r="W1307">
        <v>1</v>
      </c>
      <c r="X1307">
        <v>1</v>
      </c>
      <c r="Y1307">
        <v>7</v>
      </c>
      <c r="Z1307" t="s">
        <v>106</v>
      </c>
      <c r="AA1307" t="s">
        <v>69</v>
      </c>
      <c r="AB1307" t="str" cm="1">
        <f t="array" ref="AB1307">_xlfn.IFS(cleaned_data[[#This Row],[YearsAtCompany]]&lt;=5, "0-5",cleaned_data[[#This Row],[YearsAtCompany]]&lt;=10,"6-10",TRUE,"10+")</f>
        <v>6-10</v>
      </c>
    </row>
    <row r="1308" spans="1:28" x14ac:dyDescent="0.3">
      <c r="A1308" s="2">
        <v>31</v>
      </c>
      <c r="B1308" t="s">
        <v>43</v>
      </c>
      <c r="C1308">
        <v>0</v>
      </c>
      <c r="D1308" t="s">
        <v>44</v>
      </c>
      <c r="E1308" t="s">
        <v>37</v>
      </c>
      <c r="F1308">
        <v>7</v>
      </c>
      <c r="G1308" t="s">
        <v>59</v>
      </c>
      <c r="H1308" t="s">
        <v>1378</v>
      </c>
      <c r="I1308">
        <v>1</v>
      </c>
      <c r="J1308" t="s">
        <v>39</v>
      </c>
      <c r="K1308">
        <v>3</v>
      </c>
      <c r="L1308">
        <v>3</v>
      </c>
      <c r="M1308" t="s">
        <v>40</v>
      </c>
      <c r="N1308">
        <v>1</v>
      </c>
      <c r="O1308" t="s">
        <v>48</v>
      </c>
      <c r="P1308" s="6">
        <v>9637</v>
      </c>
      <c r="Q1308" t="s">
        <v>67</v>
      </c>
      <c r="R1308" t="s">
        <v>43</v>
      </c>
      <c r="S1308">
        <v>3</v>
      </c>
      <c r="T1308">
        <v>9</v>
      </c>
      <c r="U1308">
        <v>3</v>
      </c>
      <c r="V1308">
        <v>3</v>
      </c>
      <c r="W1308">
        <v>2</v>
      </c>
      <c r="X1308">
        <v>2</v>
      </c>
      <c r="Y1308">
        <v>2</v>
      </c>
      <c r="Z1308" t="s">
        <v>1551</v>
      </c>
      <c r="AA1308" t="s">
        <v>69</v>
      </c>
      <c r="AB1308" t="str" cm="1">
        <f t="array" ref="AB1308">_xlfn.IFS(cleaned_data[[#This Row],[YearsAtCompany]]&lt;=5, "0-5",cleaned_data[[#This Row],[YearsAtCompany]]&lt;=10,"6-10",TRUE,"10+")</f>
        <v>0-5</v>
      </c>
    </row>
    <row r="1309" spans="1:28" x14ac:dyDescent="0.3">
      <c r="A1309" s="2">
        <v>28</v>
      </c>
      <c r="B1309" t="s">
        <v>43</v>
      </c>
      <c r="C1309">
        <v>0</v>
      </c>
      <c r="D1309" t="s">
        <v>36</v>
      </c>
      <c r="E1309" t="s">
        <v>45</v>
      </c>
      <c r="F1309">
        <v>1</v>
      </c>
      <c r="G1309" t="s">
        <v>51</v>
      </c>
      <c r="H1309" t="s">
        <v>1379</v>
      </c>
      <c r="I1309">
        <v>3</v>
      </c>
      <c r="J1309" t="s">
        <v>39</v>
      </c>
      <c r="K1309">
        <v>3</v>
      </c>
      <c r="L1309">
        <v>1</v>
      </c>
      <c r="M1309" t="s">
        <v>47</v>
      </c>
      <c r="N1309">
        <v>1</v>
      </c>
      <c r="O1309" t="s">
        <v>48</v>
      </c>
      <c r="P1309" s="6">
        <v>3591</v>
      </c>
      <c r="Q1309" t="s">
        <v>72</v>
      </c>
      <c r="R1309" t="s">
        <v>43</v>
      </c>
      <c r="S1309">
        <v>4</v>
      </c>
      <c r="T1309">
        <v>3</v>
      </c>
      <c r="U1309">
        <v>3</v>
      </c>
      <c r="V1309">
        <v>3</v>
      </c>
      <c r="W1309">
        <v>2</v>
      </c>
      <c r="X1309">
        <v>1</v>
      </c>
      <c r="Y1309">
        <v>2</v>
      </c>
      <c r="Z1309" t="s">
        <v>1551</v>
      </c>
      <c r="AA1309" t="s">
        <v>78</v>
      </c>
      <c r="AB1309" t="str" cm="1">
        <f t="array" ref="AB1309">_xlfn.IFS(cleaned_data[[#This Row],[YearsAtCompany]]&lt;=5, "0-5",cleaned_data[[#This Row],[YearsAtCompany]]&lt;=10,"6-10",TRUE,"10+")</f>
        <v>0-5</v>
      </c>
    </row>
    <row r="1310" spans="1:28" x14ac:dyDescent="0.3">
      <c r="A1310" s="2">
        <v>38</v>
      </c>
      <c r="B1310" t="s">
        <v>43</v>
      </c>
      <c r="C1310">
        <v>0</v>
      </c>
      <c r="D1310" t="s">
        <v>36</v>
      </c>
      <c r="E1310" t="s">
        <v>37</v>
      </c>
      <c r="F1310">
        <v>2</v>
      </c>
      <c r="G1310" t="s">
        <v>59</v>
      </c>
      <c r="H1310" t="s">
        <v>1380</v>
      </c>
      <c r="I1310">
        <v>2</v>
      </c>
      <c r="J1310" t="s">
        <v>39</v>
      </c>
      <c r="K1310">
        <v>1</v>
      </c>
      <c r="L1310">
        <v>2</v>
      </c>
      <c r="M1310" t="s">
        <v>57</v>
      </c>
      <c r="N1310">
        <v>4</v>
      </c>
      <c r="O1310" t="s">
        <v>48</v>
      </c>
      <c r="P1310" s="1">
        <v>5405</v>
      </c>
      <c r="Q1310" t="s">
        <v>67</v>
      </c>
      <c r="R1310" t="s">
        <v>35</v>
      </c>
      <c r="S1310">
        <v>4</v>
      </c>
      <c r="T1310">
        <v>20</v>
      </c>
      <c r="U1310">
        <v>2</v>
      </c>
      <c r="V1310">
        <v>4</v>
      </c>
      <c r="W1310">
        <v>2</v>
      </c>
      <c r="X1310">
        <v>0</v>
      </c>
      <c r="Y1310">
        <v>3</v>
      </c>
      <c r="Z1310" t="s">
        <v>1550</v>
      </c>
      <c r="AA1310" t="s">
        <v>82</v>
      </c>
      <c r="AB1310" t="str" cm="1">
        <f t="array" ref="AB1310">_xlfn.IFS(cleaned_data[[#This Row],[YearsAtCompany]]&lt;=5, "0-5",cleaned_data[[#This Row],[YearsAtCompany]]&lt;=10,"6-10",TRUE,"10+")</f>
        <v>0-5</v>
      </c>
    </row>
    <row r="1311" spans="1:28" x14ac:dyDescent="0.3">
      <c r="A1311" s="2">
        <v>26</v>
      </c>
      <c r="B1311" t="s">
        <v>43</v>
      </c>
      <c r="C1311">
        <v>0</v>
      </c>
      <c r="D1311" t="s">
        <v>36</v>
      </c>
      <c r="E1311" t="s">
        <v>37</v>
      </c>
      <c r="F1311">
        <v>10</v>
      </c>
      <c r="G1311" t="s">
        <v>51</v>
      </c>
      <c r="H1311" t="s">
        <v>1381</v>
      </c>
      <c r="I1311">
        <v>3</v>
      </c>
      <c r="J1311" t="s">
        <v>46</v>
      </c>
      <c r="K1311">
        <v>3</v>
      </c>
      <c r="L1311">
        <v>2</v>
      </c>
      <c r="M1311" t="s">
        <v>40</v>
      </c>
      <c r="N1311">
        <v>4</v>
      </c>
      <c r="O1311" t="s">
        <v>41</v>
      </c>
      <c r="P1311" s="1">
        <v>4684</v>
      </c>
      <c r="Q1311" t="s">
        <v>72</v>
      </c>
      <c r="R1311" t="s">
        <v>43</v>
      </c>
      <c r="S1311">
        <v>3</v>
      </c>
      <c r="T1311">
        <v>5</v>
      </c>
      <c r="U1311">
        <v>3</v>
      </c>
      <c r="V1311">
        <v>5</v>
      </c>
      <c r="W1311">
        <v>3</v>
      </c>
      <c r="X1311">
        <v>1</v>
      </c>
      <c r="Y1311">
        <v>2</v>
      </c>
      <c r="Z1311" t="s">
        <v>1551</v>
      </c>
      <c r="AA1311" t="s">
        <v>78</v>
      </c>
      <c r="AB1311" t="str" cm="1">
        <f t="array" ref="AB1311">_xlfn.IFS(cleaned_data[[#This Row],[YearsAtCompany]]&lt;=5, "0-5",cleaned_data[[#This Row],[YearsAtCompany]]&lt;=10,"6-10",TRUE,"10+")</f>
        <v>0-5</v>
      </c>
    </row>
    <row r="1312" spans="1:28" x14ac:dyDescent="0.3">
      <c r="A1312" s="2">
        <v>58</v>
      </c>
      <c r="B1312" t="s">
        <v>43</v>
      </c>
      <c r="C1312">
        <v>0</v>
      </c>
      <c r="D1312" t="s">
        <v>44</v>
      </c>
      <c r="E1312" t="s">
        <v>45</v>
      </c>
      <c r="F1312">
        <v>15</v>
      </c>
      <c r="G1312" t="s">
        <v>38</v>
      </c>
      <c r="H1312" t="s">
        <v>1382</v>
      </c>
      <c r="I1312">
        <v>1</v>
      </c>
      <c r="J1312" t="s">
        <v>46</v>
      </c>
      <c r="K1312">
        <v>3</v>
      </c>
      <c r="L1312">
        <v>4</v>
      </c>
      <c r="M1312" t="s">
        <v>58</v>
      </c>
      <c r="N1312">
        <v>3</v>
      </c>
      <c r="O1312" t="s">
        <v>48</v>
      </c>
      <c r="P1312" s="1">
        <v>15787</v>
      </c>
      <c r="Q1312" t="s">
        <v>90</v>
      </c>
      <c r="R1312" t="s">
        <v>35</v>
      </c>
      <c r="S1312">
        <v>3</v>
      </c>
      <c r="T1312">
        <v>23</v>
      </c>
      <c r="U1312">
        <v>3</v>
      </c>
      <c r="V1312">
        <v>2</v>
      </c>
      <c r="W1312">
        <v>2</v>
      </c>
      <c r="X1312">
        <v>2</v>
      </c>
      <c r="Y1312">
        <v>2</v>
      </c>
      <c r="Z1312" t="s">
        <v>106</v>
      </c>
      <c r="AA1312" t="s">
        <v>82</v>
      </c>
      <c r="AB1312" t="str" cm="1">
        <f t="array" ref="AB1312">_xlfn.IFS(cleaned_data[[#This Row],[YearsAtCompany]]&lt;=5, "0-5",cleaned_data[[#This Row],[YearsAtCompany]]&lt;=10,"6-10",TRUE,"10+")</f>
        <v>0-5</v>
      </c>
    </row>
    <row r="1313" spans="1:28" x14ac:dyDescent="0.3">
      <c r="A1313" s="2">
        <v>18</v>
      </c>
      <c r="B1313" t="s">
        <v>43</v>
      </c>
      <c r="C1313">
        <v>0</v>
      </c>
      <c r="D1313" t="s">
        <v>55</v>
      </c>
      <c r="E1313" t="s">
        <v>45</v>
      </c>
      <c r="F1313">
        <v>14</v>
      </c>
      <c r="G1313" t="s">
        <v>51</v>
      </c>
      <c r="H1313" t="s">
        <v>1383</v>
      </c>
      <c r="I1313">
        <v>2</v>
      </c>
      <c r="J1313" t="s">
        <v>39</v>
      </c>
      <c r="K1313">
        <v>3</v>
      </c>
      <c r="L1313">
        <v>1</v>
      </c>
      <c r="M1313" t="s">
        <v>47</v>
      </c>
      <c r="N1313">
        <v>3</v>
      </c>
      <c r="O1313" t="s">
        <v>41</v>
      </c>
      <c r="P1313" s="1">
        <v>1514</v>
      </c>
      <c r="Q1313" t="s">
        <v>72</v>
      </c>
      <c r="R1313" t="s">
        <v>43</v>
      </c>
      <c r="S1313">
        <v>3</v>
      </c>
      <c r="T1313">
        <v>0</v>
      </c>
      <c r="U1313">
        <v>1</v>
      </c>
      <c r="V1313">
        <v>0</v>
      </c>
      <c r="W1313">
        <v>0</v>
      </c>
      <c r="X1313">
        <v>0</v>
      </c>
      <c r="Y1313">
        <v>0</v>
      </c>
      <c r="Z1313" t="s">
        <v>68</v>
      </c>
      <c r="AA1313" t="s">
        <v>78</v>
      </c>
      <c r="AB1313" t="str" cm="1">
        <f t="array" ref="AB1313">_xlfn.IFS(cleaned_data[[#This Row],[YearsAtCompany]]&lt;=5, "0-5",cleaned_data[[#This Row],[YearsAtCompany]]&lt;=10,"6-10",TRUE,"10+")</f>
        <v>0-5</v>
      </c>
    </row>
    <row r="1314" spans="1:28" x14ac:dyDescent="0.3">
      <c r="A1314" s="2">
        <v>31</v>
      </c>
      <c r="B1314" t="s">
        <v>35</v>
      </c>
      <c r="C1314">
        <v>1</v>
      </c>
      <c r="D1314" t="s">
        <v>36</v>
      </c>
      <c r="E1314" t="s">
        <v>61</v>
      </c>
      <c r="F1314">
        <v>18</v>
      </c>
      <c r="G1314" t="s">
        <v>61</v>
      </c>
      <c r="H1314" t="s">
        <v>1384</v>
      </c>
      <c r="I1314">
        <v>4</v>
      </c>
      <c r="J1314" t="s">
        <v>46</v>
      </c>
      <c r="K1314">
        <v>4</v>
      </c>
      <c r="L1314">
        <v>1</v>
      </c>
      <c r="M1314" t="s">
        <v>61</v>
      </c>
      <c r="N1314">
        <v>1</v>
      </c>
      <c r="O1314" t="s">
        <v>48</v>
      </c>
      <c r="P1314" s="6">
        <v>2956</v>
      </c>
      <c r="Q1314" t="s">
        <v>72</v>
      </c>
      <c r="R1314" t="s">
        <v>43</v>
      </c>
      <c r="S1314">
        <v>3</v>
      </c>
      <c r="T1314">
        <v>2</v>
      </c>
      <c r="U1314">
        <v>3</v>
      </c>
      <c r="V1314">
        <v>1</v>
      </c>
      <c r="W1314">
        <v>0</v>
      </c>
      <c r="X1314">
        <v>0</v>
      </c>
      <c r="Y1314">
        <v>0</v>
      </c>
      <c r="Z1314" t="s">
        <v>1551</v>
      </c>
      <c r="AA1314" t="s">
        <v>78</v>
      </c>
      <c r="AB1314" t="str" cm="1">
        <f t="array" ref="AB1314">_xlfn.IFS(cleaned_data[[#This Row],[YearsAtCompany]]&lt;=5, "0-5",cleaned_data[[#This Row],[YearsAtCompany]]&lt;=10,"6-10",TRUE,"10+")</f>
        <v>0-5</v>
      </c>
    </row>
    <row r="1315" spans="1:28" x14ac:dyDescent="0.3">
      <c r="A1315" s="2">
        <v>29</v>
      </c>
      <c r="B1315" t="s">
        <v>35</v>
      </c>
      <c r="C1315">
        <v>1</v>
      </c>
      <c r="D1315" t="s">
        <v>36</v>
      </c>
      <c r="E1315" t="s">
        <v>61</v>
      </c>
      <c r="F1315">
        <v>13</v>
      </c>
      <c r="G1315" t="s">
        <v>61</v>
      </c>
      <c r="H1315" t="s">
        <v>1385</v>
      </c>
      <c r="I1315">
        <v>1</v>
      </c>
      <c r="J1315" t="s">
        <v>46</v>
      </c>
      <c r="K1315">
        <v>2</v>
      </c>
      <c r="L1315">
        <v>1</v>
      </c>
      <c r="M1315" t="s">
        <v>61</v>
      </c>
      <c r="N1315">
        <v>1</v>
      </c>
      <c r="O1315" t="s">
        <v>52</v>
      </c>
      <c r="P1315" s="6">
        <v>2335</v>
      </c>
      <c r="Q1315" t="s">
        <v>72</v>
      </c>
      <c r="R1315" t="s">
        <v>35</v>
      </c>
      <c r="S1315">
        <v>3</v>
      </c>
      <c r="T1315">
        <v>4</v>
      </c>
      <c r="U1315">
        <v>3</v>
      </c>
      <c r="V1315">
        <v>2</v>
      </c>
      <c r="W1315">
        <v>2</v>
      </c>
      <c r="X1315">
        <v>2</v>
      </c>
      <c r="Y1315">
        <v>0</v>
      </c>
      <c r="Z1315" t="s">
        <v>1551</v>
      </c>
      <c r="AA1315" t="s">
        <v>78</v>
      </c>
      <c r="AB1315" t="str" cm="1">
        <f t="array" ref="AB1315">_xlfn.IFS(cleaned_data[[#This Row],[YearsAtCompany]]&lt;=5, "0-5",cleaned_data[[#This Row],[YearsAtCompany]]&lt;=10,"6-10",TRUE,"10+")</f>
        <v>0-5</v>
      </c>
    </row>
    <row r="1316" spans="1:28" x14ac:dyDescent="0.3">
      <c r="A1316" s="2">
        <v>45</v>
      </c>
      <c r="B1316" t="s">
        <v>43</v>
      </c>
      <c r="C1316">
        <v>0</v>
      </c>
      <c r="D1316" t="s">
        <v>55</v>
      </c>
      <c r="E1316" t="s">
        <v>37</v>
      </c>
      <c r="F1316">
        <v>2</v>
      </c>
      <c r="G1316" t="s">
        <v>38</v>
      </c>
      <c r="H1316" t="s">
        <v>1386</v>
      </c>
      <c r="I1316">
        <v>3</v>
      </c>
      <c r="J1316" t="s">
        <v>39</v>
      </c>
      <c r="K1316">
        <v>3</v>
      </c>
      <c r="L1316">
        <v>2</v>
      </c>
      <c r="M1316" t="s">
        <v>40</v>
      </c>
      <c r="N1316">
        <v>3</v>
      </c>
      <c r="O1316" t="s">
        <v>48</v>
      </c>
      <c r="P1316" s="1">
        <v>5154</v>
      </c>
      <c r="Q1316" t="s">
        <v>67</v>
      </c>
      <c r="R1316" t="s">
        <v>43</v>
      </c>
      <c r="S1316">
        <v>4</v>
      </c>
      <c r="T1316">
        <v>10</v>
      </c>
      <c r="U1316">
        <v>4</v>
      </c>
      <c r="V1316">
        <v>8</v>
      </c>
      <c r="W1316">
        <v>7</v>
      </c>
      <c r="X1316">
        <v>5</v>
      </c>
      <c r="Y1316">
        <v>7</v>
      </c>
      <c r="Z1316" t="s">
        <v>1550</v>
      </c>
      <c r="AA1316" t="s">
        <v>69</v>
      </c>
      <c r="AB1316" t="str" cm="1">
        <f t="array" ref="AB1316">_xlfn.IFS(cleaned_data[[#This Row],[YearsAtCompany]]&lt;=5, "0-5",cleaned_data[[#This Row],[YearsAtCompany]]&lt;=10,"6-10",TRUE,"10+")</f>
        <v>6-10</v>
      </c>
    </row>
    <row r="1317" spans="1:28" x14ac:dyDescent="0.3">
      <c r="A1317" s="2">
        <v>36</v>
      </c>
      <c r="B1317" t="s">
        <v>43</v>
      </c>
      <c r="C1317">
        <v>0</v>
      </c>
      <c r="D1317" t="s">
        <v>36</v>
      </c>
      <c r="E1317" t="s">
        <v>45</v>
      </c>
      <c r="F1317">
        <v>2</v>
      </c>
      <c r="G1317" t="s">
        <v>49</v>
      </c>
      <c r="H1317" t="s">
        <v>1387</v>
      </c>
      <c r="I1317">
        <v>4</v>
      </c>
      <c r="J1317" t="s">
        <v>39</v>
      </c>
      <c r="K1317">
        <v>3</v>
      </c>
      <c r="L1317">
        <v>2</v>
      </c>
      <c r="M1317" t="s">
        <v>47</v>
      </c>
      <c r="N1317">
        <v>2</v>
      </c>
      <c r="O1317" t="s">
        <v>48</v>
      </c>
      <c r="P1317" s="1">
        <v>6962</v>
      </c>
      <c r="Q1317" t="s">
        <v>67</v>
      </c>
      <c r="R1317" t="s">
        <v>35</v>
      </c>
      <c r="S1317">
        <v>4</v>
      </c>
      <c r="T1317">
        <v>15</v>
      </c>
      <c r="U1317">
        <v>3</v>
      </c>
      <c r="V1317">
        <v>1</v>
      </c>
      <c r="W1317">
        <v>0</v>
      </c>
      <c r="X1317">
        <v>0</v>
      </c>
      <c r="Y1317">
        <v>0</v>
      </c>
      <c r="Z1317" t="s">
        <v>1550</v>
      </c>
      <c r="AA1317" t="s">
        <v>69</v>
      </c>
      <c r="AB1317" t="str" cm="1">
        <f t="array" ref="AB1317">_xlfn.IFS(cleaned_data[[#This Row],[YearsAtCompany]]&lt;=5, "0-5",cleaned_data[[#This Row],[YearsAtCompany]]&lt;=10,"6-10",TRUE,"10+")</f>
        <v>0-5</v>
      </c>
    </row>
    <row r="1318" spans="1:28" x14ac:dyDescent="0.3">
      <c r="A1318" s="2">
        <v>43</v>
      </c>
      <c r="B1318" t="s">
        <v>43</v>
      </c>
      <c r="C1318">
        <v>0</v>
      </c>
      <c r="D1318" t="s">
        <v>44</v>
      </c>
      <c r="E1318" t="s">
        <v>37</v>
      </c>
      <c r="F1318">
        <v>2</v>
      </c>
      <c r="G1318" t="s">
        <v>38</v>
      </c>
      <c r="H1318" t="s">
        <v>1388</v>
      </c>
      <c r="I1318">
        <v>1</v>
      </c>
      <c r="J1318" t="s">
        <v>46</v>
      </c>
      <c r="K1318">
        <v>3</v>
      </c>
      <c r="L1318">
        <v>2</v>
      </c>
      <c r="M1318" t="s">
        <v>40</v>
      </c>
      <c r="N1318">
        <v>4</v>
      </c>
      <c r="O1318" t="s">
        <v>48</v>
      </c>
      <c r="P1318" s="1">
        <v>5675</v>
      </c>
      <c r="Q1318" t="s">
        <v>67</v>
      </c>
      <c r="R1318" t="s">
        <v>43</v>
      </c>
      <c r="S1318">
        <v>4</v>
      </c>
      <c r="T1318">
        <v>7</v>
      </c>
      <c r="U1318">
        <v>3</v>
      </c>
      <c r="V1318">
        <v>7</v>
      </c>
      <c r="W1318">
        <v>7</v>
      </c>
      <c r="X1318">
        <v>7</v>
      </c>
      <c r="Y1318">
        <v>7</v>
      </c>
      <c r="Z1318" t="s">
        <v>1550</v>
      </c>
      <c r="AA1318" t="s">
        <v>69</v>
      </c>
      <c r="AB1318" t="str" cm="1">
        <f t="array" ref="AB1318">_xlfn.IFS(cleaned_data[[#This Row],[YearsAtCompany]]&lt;=5, "0-5",cleaned_data[[#This Row],[YearsAtCompany]]&lt;=10,"6-10",TRUE,"10+")</f>
        <v>6-10</v>
      </c>
    </row>
    <row r="1319" spans="1:28" x14ac:dyDescent="0.3">
      <c r="A1319" s="2">
        <v>27</v>
      </c>
      <c r="B1319" t="s">
        <v>43</v>
      </c>
      <c r="C1319">
        <v>0</v>
      </c>
      <c r="D1319" t="s">
        <v>44</v>
      </c>
      <c r="E1319" t="s">
        <v>45</v>
      </c>
      <c r="F1319">
        <v>5</v>
      </c>
      <c r="G1319" t="s">
        <v>38</v>
      </c>
      <c r="H1319" t="s">
        <v>1389</v>
      </c>
      <c r="I1319">
        <v>4</v>
      </c>
      <c r="J1319" t="s">
        <v>39</v>
      </c>
      <c r="K1319">
        <v>3</v>
      </c>
      <c r="L1319">
        <v>1</v>
      </c>
      <c r="M1319" t="s">
        <v>50</v>
      </c>
      <c r="N1319">
        <v>4</v>
      </c>
      <c r="O1319" t="s">
        <v>41</v>
      </c>
      <c r="P1319" s="1">
        <v>2379</v>
      </c>
      <c r="Q1319" t="s">
        <v>72</v>
      </c>
      <c r="R1319" t="s">
        <v>35</v>
      </c>
      <c r="S1319">
        <v>3</v>
      </c>
      <c r="T1319">
        <v>6</v>
      </c>
      <c r="U1319">
        <v>2</v>
      </c>
      <c r="V1319">
        <v>5</v>
      </c>
      <c r="W1319">
        <v>4</v>
      </c>
      <c r="X1319">
        <v>0</v>
      </c>
      <c r="Y1319">
        <v>2</v>
      </c>
      <c r="Z1319" t="s">
        <v>1551</v>
      </c>
      <c r="AA1319" t="s">
        <v>69</v>
      </c>
      <c r="AB1319" t="str" cm="1">
        <f t="array" ref="AB1319">_xlfn.IFS(cleaned_data[[#This Row],[YearsAtCompany]]&lt;=5, "0-5",cleaned_data[[#This Row],[YearsAtCompany]]&lt;=10,"6-10",TRUE,"10+")</f>
        <v>0-5</v>
      </c>
    </row>
    <row r="1320" spans="1:28" x14ac:dyDescent="0.3">
      <c r="A1320" s="2">
        <v>29</v>
      </c>
      <c r="B1320" t="s">
        <v>43</v>
      </c>
      <c r="C1320">
        <v>0</v>
      </c>
      <c r="D1320" t="s">
        <v>44</v>
      </c>
      <c r="E1320" t="s">
        <v>45</v>
      </c>
      <c r="F1320">
        <v>20</v>
      </c>
      <c r="G1320" t="s">
        <v>51</v>
      </c>
      <c r="H1320" t="s">
        <v>1390</v>
      </c>
      <c r="I1320">
        <v>4</v>
      </c>
      <c r="J1320" t="s">
        <v>46</v>
      </c>
      <c r="K1320">
        <v>3</v>
      </c>
      <c r="L1320">
        <v>1</v>
      </c>
      <c r="M1320" t="s">
        <v>50</v>
      </c>
      <c r="N1320">
        <v>4</v>
      </c>
      <c r="O1320" t="s">
        <v>48</v>
      </c>
      <c r="P1320" s="1">
        <v>3812</v>
      </c>
      <c r="Q1320" t="s">
        <v>72</v>
      </c>
      <c r="R1320" t="s">
        <v>43</v>
      </c>
      <c r="S1320">
        <v>3</v>
      </c>
      <c r="T1320">
        <v>11</v>
      </c>
      <c r="U1320">
        <v>4</v>
      </c>
      <c r="V1320">
        <v>11</v>
      </c>
      <c r="W1320">
        <v>8</v>
      </c>
      <c r="X1320">
        <v>3</v>
      </c>
      <c r="Y1320">
        <v>10</v>
      </c>
      <c r="Z1320" t="s">
        <v>1551</v>
      </c>
      <c r="AA1320" t="s">
        <v>69</v>
      </c>
      <c r="AB1320" t="str" cm="1">
        <f t="array" ref="AB1320">_xlfn.IFS(cleaned_data[[#This Row],[YearsAtCompany]]&lt;=5, "0-5",cleaned_data[[#This Row],[YearsAtCompany]]&lt;=10,"6-10",TRUE,"10+")</f>
        <v>10+</v>
      </c>
    </row>
    <row r="1321" spans="1:28" x14ac:dyDescent="0.3">
      <c r="A1321" s="2">
        <v>32</v>
      </c>
      <c r="B1321" t="s">
        <v>43</v>
      </c>
      <c r="C1321">
        <v>0</v>
      </c>
      <c r="D1321" t="s">
        <v>44</v>
      </c>
      <c r="E1321" t="s">
        <v>37</v>
      </c>
      <c r="F1321">
        <v>10</v>
      </c>
      <c r="G1321" t="s">
        <v>59</v>
      </c>
      <c r="H1321" t="s">
        <v>1391</v>
      </c>
      <c r="I1321">
        <v>4</v>
      </c>
      <c r="J1321" t="s">
        <v>46</v>
      </c>
      <c r="K1321">
        <v>3</v>
      </c>
      <c r="L1321">
        <v>2</v>
      </c>
      <c r="M1321" t="s">
        <v>40</v>
      </c>
      <c r="N1321">
        <v>4</v>
      </c>
      <c r="O1321" t="s">
        <v>41</v>
      </c>
      <c r="P1321" s="1">
        <v>4648</v>
      </c>
      <c r="Q1321" t="s">
        <v>72</v>
      </c>
      <c r="R1321" t="s">
        <v>43</v>
      </c>
      <c r="S1321">
        <v>3</v>
      </c>
      <c r="T1321">
        <v>4</v>
      </c>
      <c r="U1321">
        <v>4</v>
      </c>
      <c r="V1321">
        <v>0</v>
      </c>
      <c r="W1321">
        <v>0</v>
      </c>
      <c r="X1321">
        <v>0</v>
      </c>
      <c r="Y1321">
        <v>0</v>
      </c>
      <c r="Z1321" t="s">
        <v>1551</v>
      </c>
      <c r="AA1321" t="s">
        <v>78</v>
      </c>
      <c r="AB1321" t="str" cm="1">
        <f t="array" ref="AB1321">_xlfn.IFS(cleaned_data[[#This Row],[YearsAtCompany]]&lt;=5, "0-5",cleaned_data[[#This Row],[YearsAtCompany]]&lt;=10,"6-10",TRUE,"10+")</f>
        <v>0-5</v>
      </c>
    </row>
    <row r="1322" spans="1:28" x14ac:dyDescent="0.3">
      <c r="A1322" s="2">
        <v>42</v>
      </c>
      <c r="B1322" t="s">
        <v>43</v>
      </c>
      <c r="C1322">
        <v>0</v>
      </c>
      <c r="D1322" t="s">
        <v>55</v>
      </c>
      <c r="E1322" t="s">
        <v>45</v>
      </c>
      <c r="F1322">
        <v>10</v>
      </c>
      <c r="G1322" t="s">
        <v>60</v>
      </c>
      <c r="H1322" t="s">
        <v>1392</v>
      </c>
      <c r="I1322">
        <v>3</v>
      </c>
      <c r="J1322" t="s">
        <v>46</v>
      </c>
      <c r="K1322">
        <v>3</v>
      </c>
      <c r="L1322">
        <v>1</v>
      </c>
      <c r="M1322" t="s">
        <v>47</v>
      </c>
      <c r="N1322">
        <v>3</v>
      </c>
      <c r="O1322" t="s">
        <v>48</v>
      </c>
      <c r="P1322" s="1">
        <v>2936</v>
      </c>
      <c r="Q1322" t="s">
        <v>72</v>
      </c>
      <c r="R1322" t="s">
        <v>43</v>
      </c>
      <c r="S1322">
        <v>4</v>
      </c>
      <c r="T1322">
        <v>10</v>
      </c>
      <c r="U1322">
        <v>2</v>
      </c>
      <c r="V1322">
        <v>6</v>
      </c>
      <c r="W1322">
        <v>3</v>
      </c>
      <c r="X1322">
        <v>3</v>
      </c>
      <c r="Y1322">
        <v>3</v>
      </c>
      <c r="Z1322" t="s">
        <v>1550</v>
      </c>
      <c r="AA1322" t="s">
        <v>69</v>
      </c>
      <c r="AB1322" t="str" cm="1">
        <f t="array" ref="AB1322">_xlfn.IFS(cleaned_data[[#This Row],[YearsAtCompany]]&lt;=5, "0-5",cleaned_data[[#This Row],[YearsAtCompany]]&lt;=10,"6-10",TRUE,"10+")</f>
        <v>6-10</v>
      </c>
    </row>
    <row r="1323" spans="1:28" x14ac:dyDescent="0.3">
      <c r="A1323" s="2">
        <v>47</v>
      </c>
      <c r="B1323" t="s">
        <v>43</v>
      </c>
      <c r="C1323">
        <v>0</v>
      </c>
      <c r="D1323" t="s">
        <v>36</v>
      </c>
      <c r="E1323" t="s">
        <v>45</v>
      </c>
      <c r="F1323">
        <v>9</v>
      </c>
      <c r="G1323" t="s">
        <v>38</v>
      </c>
      <c r="H1323" t="s">
        <v>1393</v>
      </c>
      <c r="I1323">
        <v>2</v>
      </c>
      <c r="J1323" t="s">
        <v>39</v>
      </c>
      <c r="K1323">
        <v>3</v>
      </c>
      <c r="L1323">
        <v>1</v>
      </c>
      <c r="M1323" t="s">
        <v>50</v>
      </c>
      <c r="N1323">
        <v>3</v>
      </c>
      <c r="O1323" t="s">
        <v>41</v>
      </c>
      <c r="P1323" s="1">
        <v>2105</v>
      </c>
      <c r="Q1323" t="s">
        <v>72</v>
      </c>
      <c r="R1323" t="s">
        <v>43</v>
      </c>
      <c r="S1323">
        <v>3</v>
      </c>
      <c r="T1323">
        <v>7</v>
      </c>
      <c r="U1323">
        <v>3</v>
      </c>
      <c r="V1323">
        <v>2</v>
      </c>
      <c r="W1323">
        <v>2</v>
      </c>
      <c r="X1323">
        <v>2</v>
      </c>
      <c r="Y1323">
        <v>0</v>
      </c>
      <c r="Z1323" t="s">
        <v>106</v>
      </c>
      <c r="AA1323" t="s">
        <v>69</v>
      </c>
      <c r="AB1323" t="str" cm="1">
        <f t="array" ref="AB1323">_xlfn.IFS(cleaned_data[[#This Row],[YearsAtCompany]]&lt;=5, "0-5",cleaned_data[[#This Row],[YearsAtCompany]]&lt;=10,"6-10",TRUE,"10+")</f>
        <v>0-5</v>
      </c>
    </row>
    <row r="1324" spans="1:28" x14ac:dyDescent="0.3">
      <c r="A1324" s="2">
        <v>46</v>
      </c>
      <c r="B1324" t="s">
        <v>43</v>
      </c>
      <c r="C1324">
        <v>0</v>
      </c>
      <c r="D1324" t="s">
        <v>36</v>
      </c>
      <c r="E1324" t="s">
        <v>45</v>
      </c>
      <c r="F1324">
        <v>2</v>
      </c>
      <c r="G1324" t="s">
        <v>38</v>
      </c>
      <c r="H1324" t="s">
        <v>1394</v>
      </c>
      <c r="I1324">
        <v>4</v>
      </c>
      <c r="J1324" t="s">
        <v>46</v>
      </c>
      <c r="K1324">
        <v>3</v>
      </c>
      <c r="L1324">
        <v>3</v>
      </c>
      <c r="M1324" t="s">
        <v>53</v>
      </c>
      <c r="N1324">
        <v>4</v>
      </c>
      <c r="O1324" t="s">
        <v>52</v>
      </c>
      <c r="P1324" s="1">
        <v>8578</v>
      </c>
      <c r="Q1324" t="s">
        <v>67</v>
      </c>
      <c r="R1324" t="s">
        <v>43</v>
      </c>
      <c r="S1324">
        <v>3</v>
      </c>
      <c r="T1324">
        <v>12</v>
      </c>
      <c r="U1324">
        <v>2</v>
      </c>
      <c r="V1324">
        <v>9</v>
      </c>
      <c r="W1324">
        <v>8</v>
      </c>
      <c r="X1324">
        <v>4</v>
      </c>
      <c r="Y1324">
        <v>7</v>
      </c>
      <c r="Z1324" t="s">
        <v>106</v>
      </c>
      <c r="AA1324" t="s">
        <v>69</v>
      </c>
      <c r="AB1324" t="str" cm="1">
        <f t="array" ref="AB1324">_xlfn.IFS(cleaned_data[[#This Row],[YearsAtCompany]]&lt;=5, "0-5",cleaned_data[[#This Row],[YearsAtCompany]]&lt;=10,"6-10",TRUE,"10+")</f>
        <v>6-10</v>
      </c>
    </row>
    <row r="1325" spans="1:28" x14ac:dyDescent="0.3">
      <c r="A1325" s="2">
        <v>28</v>
      </c>
      <c r="B1325" t="s">
        <v>43</v>
      </c>
      <c r="C1325">
        <v>0</v>
      </c>
      <c r="D1325" t="s">
        <v>55</v>
      </c>
      <c r="E1325" t="s">
        <v>61</v>
      </c>
      <c r="F1325">
        <v>1</v>
      </c>
      <c r="G1325" t="s">
        <v>38</v>
      </c>
      <c r="H1325" t="s">
        <v>1395</v>
      </c>
      <c r="I1325">
        <v>3</v>
      </c>
      <c r="J1325" t="s">
        <v>46</v>
      </c>
      <c r="K1325">
        <v>3</v>
      </c>
      <c r="L1325">
        <v>1</v>
      </c>
      <c r="M1325" t="s">
        <v>61</v>
      </c>
      <c r="N1325">
        <v>4</v>
      </c>
      <c r="O1325" t="s">
        <v>52</v>
      </c>
      <c r="P1325" s="1">
        <v>2706</v>
      </c>
      <c r="Q1325" t="s">
        <v>72</v>
      </c>
      <c r="R1325" t="s">
        <v>43</v>
      </c>
      <c r="S1325">
        <v>3</v>
      </c>
      <c r="T1325">
        <v>3</v>
      </c>
      <c r="U1325">
        <v>3</v>
      </c>
      <c r="V1325">
        <v>3</v>
      </c>
      <c r="W1325">
        <v>2</v>
      </c>
      <c r="X1325">
        <v>2</v>
      </c>
      <c r="Y1325">
        <v>2</v>
      </c>
      <c r="Z1325" t="s">
        <v>1551</v>
      </c>
      <c r="AA1325" t="s">
        <v>78</v>
      </c>
      <c r="AB1325" t="str" cm="1">
        <f t="array" ref="AB1325">_xlfn.IFS(cleaned_data[[#This Row],[YearsAtCompany]]&lt;=5, "0-5",cleaned_data[[#This Row],[YearsAtCompany]]&lt;=10,"6-10",TRUE,"10+")</f>
        <v>0-5</v>
      </c>
    </row>
    <row r="1326" spans="1:28" x14ac:dyDescent="0.3">
      <c r="A1326" s="2">
        <v>29</v>
      </c>
      <c r="B1326" t="s">
        <v>43</v>
      </c>
      <c r="C1326">
        <v>0</v>
      </c>
      <c r="D1326" t="s">
        <v>36</v>
      </c>
      <c r="E1326" t="s">
        <v>45</v>
      </c>
      <c r="F1326">
        <v>29</v>
      </c>
      <c r="G1326" t="s">
        <v>38</v>
      </c>
      <c r="H1326" t="s">
        <v>1396</v>
      </c>
      <c r="I1326">
        <v>4</v>
      </c>
      <c r="J1326" t="s">
        <v>46</v>
      </c>
      <c r="K1326">
        <v>1</v>
      </c>
      <c r="L1326">
        <v>2</v>
      </c>
      <c r="M1326" t="s">
        <v>54</v>
      </c>
      <c r="N1326">
        <v>3</v>
      </c>
      <c r="O1326" t="s">
        <v>52</v>
      </c>
      <c r="P1326" s="1">
        <v>6384</v>
      </c>
      <c r="Q1326" t="s">
        <v>67</v>
      </c>
      <c r="R1326" t="s">
        <v>43</v>
      </c>
      <c r="S1326">
        <v>3</v>
      </c>
      <c r="T1326">
        <v>11</v>
      </c>
      <c r="U1326">
        <v>3</v>
      </c>
      <c r="V1326">
        <v>7</v>
      </c>
      <c r="W1326">
        <v>0</v>
      </c>
      <c r="X1326">
        <v>1</v>
      </c>
      <c r="Y1326">
        <v>6</v>
      </c>
      <c r="Z1326" t="s">
        <v>1551</v>
      </c>
      <c r="AA1326" t="s">
        <v>69</v>
      </c>
      <c r="AB1326" t="str" cm="1">
        <f t="array" ref="AB1326">_xlfn.IFS(cleaned_data[[#This Row],[YearsAtCompany]]&lt;=5, "0-5",cleaned_data[[#This Row],[YearsAtCompany]]&lt;=10,"6-10",TRUE,"10+")</f>
        <v>6-10</v>
      </c>
    </row>
    <row r="1327" spans="1:28" x14ac:dyDescent="0.3">
      <c r="A1327" s="2">
        <v>42</v>
      </c>
      <c r="B1327" t="s">
        <v>43</v>
      </c>
      <c r="C1327">
        <v>0</v>
      </c>
      <c r="D1327" t="s">
        <v>36</v>
      </c>
      <c r="E1327" t="s">
        <v>45</v>
      </c>
      <c r="F1327">
        <v>8</v>
      </c>
      <c r="G1327" t="s">
        <v>38</v>
      </c>
      <c r="H1327" t="s">
        <v>1397</v>
      </c>
      <c r="I1327">
        <v>4</v>
      </c>
      <c r="J1327" t="s">
        <v>46</v>
      </c>
      <c r="K1327">
        <v>3</v>
      </c>
      <c r="L1327">
        <v>1</v>
      </c>
      <c r="M1327" t="s">
        <v>50</v>
      </c>
      <c r="N1327">
        <v>3</v>
      </c>
      <c r="O1327" t="s">
        <v>41</v>
      </c>
      <c r="P1327" s="1">
        <v>3968</v>
      </c>
      <c r="Q1327" t="s">
        <v>72</v>
      </c>
      <c r="R1327" t="s">
        <v>43</v>
      </c>
      <c r="S1327">
        <v>3</v>
      </c>
      <c r="T1327">
        <v>8</v>
      </c>
      <c r="U1327">
        <v>3</v>
      </c>
      <c r="V1327">
        <v>0</v>
      </c>
      <c r="W1327">
        <v>0</v>
      </c>
      <c r="X1327">
        <v>0</v>
      </c>
      <c r="Y1327">
        <v>0</v>
      </c>
      <c r="Z1327" t="s">
        <v>1550</v>
      </c>
      <c r="AA1327" t="s">
        <v>69</v>
      </c>
      <c r="AB1327" t="str" cm="1">
        <f t="array" ref="AB1327">_xlfn.IFS(cleaned_data[[#This Row],[YearsAtCompany]]&lt;=5, "0-5",cleaned_data[[#This Row],[YearsAtCompany]]&lt;=10,"6-10",TRUE,"10+")</f>
        <v>0-5</v>
      </c>
    </row>
    <row r="1328" spans="1:28" x14ac:dyDescent="0.3">
      <c r="A1328" s="2">
        <v>32</v>
      </c>
      <c r="B1328" t="s">
        <v>35</v>
      </c>
      <c r="C1328">
        <v>1</v>
      </c>
      <c r="D1328" t="s">
        <v>36</v>
      </c>
      <c r="E1328" t="s">
        <v>37</v>
      </c>
      <c r="F1328">
        <v>2</v>
      </c>
      <c r="G1328" t="s">
        <v>59</v>
      </c>
      <c r="H1328" t="s">
        <v>1398</v>
      </c>
      <c r="I1328">
        <v>3</v>
      </c>
      <c r="J1328" t="s">
        <v>46</v>
      </c>
      <c r="K1328">
        <v>2</v>
      </c>
      <c r="L1328">
        <v>2</v>
      </c>
      <c r="M1328" t="s">
        <v>40</v>
      </c>
      <c r="N1328">
        <v>2</v>
      </c>
      <c r="O1328" t="s">
        <v>41</v>
      </c>
      <c r="P1328" s="1">
        <v>9907</v>
      </c>
      <c r="Q1328" t="s">
        <v>67</v>
      </c>
      <c r="R1328" t="s">
        <v>35</v>
      </c>
      <c r="S1328">
        <v>3</v>
      </c>
      <c r="T1328">
        <v>7</v>
      </c>
      <c r="U1328">
        <v>2</v>
      </c>
      <c r="V1328">
        <v>2</v>
      </c>
      <c r="W1328">
        <v>2</v>
      </c>
      <c r="X1328">
        <v>2</v>
      </c>
      <c r="Y1328">
        <v>2</v>
      </c>
      <c r="Z1328" t="s">
        <v>1551</v>
      </c>
      <c r="AA1328" t="s">
        <v>69</v>
      </c>
      <c r="AB1328" t="str" cm="1">
        <f t="array" ref="AB1328">_xlfn.IFS(cleaned_data[[#This Row],[YearsAtCompany]]&lt;=5, "0-5",cleaned_data[[#This Row],[YearsAtCompany]]&lt;=10,"6-10",TRUE,"10+")</f>
        <v>0-5</v>
      </c>
    </row>
    <row r="1329" spans="1:28" x14ac:dyDescent="0.3">
      <c r="A1329" s="2">
        <v>46</v>
      </c>
      <c r="B1329" t="s">
        <v>43</v>
      </c>
      <c r="C1329">
        <v>0</v>
      </c>
      <c r="D1329" t="s">
        <v>36</v>
      </c>
      <c r="E1329" t="s">
        <v>37</v>
      </c>
      <c r="F1329">
        <v>3</v>
      </c>
      <c r="G1329" t="s">
        <v>60</v>
      </c>
      <c r="H1329" t="s">
        <v>1399</v>
      </c>
      <c r="I1329">
        <v>1</v>
      </c>
      <c r="J1329" t="s">
        <v>39</v>
      </c>
      <c r="K1329">
        <v>4</v>
      </c>
      <c r="L1329">
        <v>4</v>
      </c>
      <c r="M1329" t="s">
        <v>40</v>
      </c>
      <c r="N1329">
        <v>1</v>
      </c>
      <c r="O1329" t="s">
        <v>52</v>
      </c>
      <c r="P1329" s="6">
        <v>13225</v>
      </c>
      <c r="Q1329" t="s">
        <v>90</v>
      </c>
      <c r="R1329" t="s">
        <v>43</v>
      </c>
      <c r="S1329">
        <v>3</v>
      </c>
      <c r="T1329">
        <v>25</v>
      </c>
      <c r="U1329">
        <v>3</v>
      </c>
      <c r="V1329">
        <v>19</v>
      </c>
      <c r="W1329">
        <v>17</v>
      </c>
      <c r="X1329">
        <v>2</v>
      </c>
      <c r="Y1329">
        <v>8</v>
      </c>
      <c r="Z1329" t="s">
        <v>106</v>
      </c>
      <c r="AA1329" t="s">
        <v>82</v>
      </c>
      <c r="AB1329" t="str" cm="1">
        <f t="array" ref="AB1329">_xlfn.IFS(cleaned_data[[#This Row],[YearsAtCompany]]&lt;=5, "0-5",cleaned_data[[#This Row],[YearsAtCompany]]&lt;=10,"6-10",TRUE,"10+")</f>
        <v>10+</v>
      </c>
    </row>
    <row r="1330" spans="1:28" x14ac:dyDescent="0.3">
      <c r="A1330" s="2">
        <v>27</v>
      </c>
      <c r="B1330" t="s">
        <v>43</v>
      </c>
      <c r="C1330">
        <v>0</v>
      </c>
      <c r="D1330" t="s">
        <v>36</v>
      </c>
      <c r="E1330" t="s">
        <v>37</v>
      </c>
      <c r="F1330">
        <v>23</v>
      </c>
      <c r="G1330" t="s">
        <v>51</v>
      </c>
      <c r="H1330" t="s">
        <v>1400</v>
      </c>
      <c r="I1330">
        <v>2</v>
      </c>
      <c r="J1330" t="s">
        <v>39</v>
      </c>
      <c r="K1330">
        <v>2</v>
      </c>
      <c r="L1330">
        <v>2</v>
      </c>
      <c r="M1330" t="s">
        <v>57</v>
      </c>
      <c r="N1330">
        <v>3</v>
      </c>
      <c r="O1330" t="s">
        <v>48</v>
      </c>
      <c r="P1330" s="1">
        <v>3540</v>
      </c>
      <c r="Q1330" t="s">
        <v>72</v>
      </c>
      <c r="R1330" t="s">
        <v>43</v>
      </c>
      <c r="S1330">
        <v>4</v>
      </c>
      <c r="T1330">
        <v>9</v>
      </c>
      <c r="U1330">
        <v>3</v>
      </c>
      <c r="V1330">
        <v>9</v>
      </c>
      <c r="W1330">
        <v>8</v>
      </c>
      <c r="X1330">
        <v>5</v>
      </c>
      <c r="Y1330">
        <v>8</v>
      </c>
      <c r="Z1330" t="s">
        <v>1551</v>
      </c>
      <c r="AA1330" t="s">
        <v>69</v>
      </c>
      <c r="AB1330" t="str" cm="1">
        <f t="array" ref="AB1330">_xlfn.IFS(cleaned_data[[#This Row],[YearsAtCompany]]&lt;=5, "0-5",cleaned_data[[#This Row],[YearsAtCompany]]&lt;=10,"6-10",TRUE,"10+")</f>
        <v>6-10</v>
      </c>
    </row>
    <row r="1331" spans="1:28" x14ac:dyDescent="0.3">
      <c r="A1331" s="2">
        <v>29</v>
      </c>
      <c r="B1331" t="s">
        <v>43</v>
      </c>
      <c r="C1331">
        <v>0</v>
      </c>
      <c r="D1331" t="s">
        <v>36</v>
      </c>
      <c r="E1331" t="s">
        <v>61</v>
      </c>
      <c r="F1331">
        <v>6</v>
      </c>
      <c r="G1331" t="s">
        <v>51</v>
      </c>
      <c r="H1331" t="s">
        <v>1401</v>
      </c>
      <c r="I1331">
        <v>4</v>
      </c>
      <c r="J1331" t="s">
        <v>46</v>
      </c>
      <c r="K1331">
        <v>2</v>
      </c>
      <c r="L1331">
        <v>1</v>
      </c>
      <c r="M1331" t="s">
        <v>61</v>
      </c>
      <c r="N1331">
        <v>2</v>
      </c>
      <c r="O1331" t="s">
        <v>48</v>
      </c>
      <c r="P1331" s="1">
        <v>2804</v>
      </c>
      <c r="Q1331" t="s">
        <v>72</v>
      </c>
      <c r="R1331" t="s">
        <v>43</v>
      </c>
      <c r="S1331">
        <v>3</v>
      </c>
      <c r="T1331">
        <v>1</v>
      </c>
      <c r="U1331">
        <v>3</v>
      </c>
      <c r="V1331">
        <v>1</v>
      </c>
      <c r="W1331">
        <v>0</v>
      </c>
      <c r="X1331">
        <v>0</v>
      </c>
      <c r="Y1331">
        <v>0</v>
      </c>
      <c r="Z1331" t="s">
        <v>1551</v>
      </c>
      <c r="AA1331" t="s">
        <v>78</v>
      </c>
      <c r="AB1331" t="str" cm="1">
        <f t="array" ref="AB1331">_xlfn.IFS(cleaned_data[[#This Row],[YearsAtCompany]]&lt;=5, "0-5",cleaned_data[[#This Row],[YearsAtCompany]]&lt;=10,"6-10",TRUE,"10+")</f>
        <v>0-5</v>
      </c>
    </row>
    <row r="1332" spans="1:28" x14ac:dyDescent="0.3">
      <c r="A1332" s="2">
        <v>43</v>
      </c>
      <c r="B1332" t="s">
        <v>43</v>
      </c>
      <c r="C1332">
        <v>0</v>
      </c>
      <c r="D1332" t="s">
        <v>36</v>
      </c>
      <c r="E1332" t="s">
        <v>45</v>
      </c>
      <c r="F1332">
        <v>6</v>
      </c>
      <c r="G1332" t="s">
        <v>51</v>
      </c>
      <c r="H1332" t="s">
        <v>1402</v>
      </c>
      <c r="I1332">
        <v>1</v>
      </c>
      <c r="J1332" t="s">
        <v>39</v>
      </c>
      <c r="K1332">
        <v>2</v>
      </c>
      <c r="L1332">
        <v>5</v>
      </c>
      <c r="M1332" t="s">
        <v>56</v>
      </c>
      <c r="N1332">
        <v>3</v>
      </c>
      <c r="O1332" t="s">
        <v>48</v>
      </c>
      <c r="P1332" s="1">
        <v>19392</v>
      </c>
      <c r="Q1332" t="s">
        <v>90</v>
      </c>
      <c r="R1332" t="s">
        <v>43</v>
      </c>
      <c r="S1332">
        <v>3</v>
      </c>
      <c r="T1332">
        <v>21</v>
      </c>
      <c r="U1332">
        <v>3</v>
      </c>
      <c r="V1332">
        <v>16</v>
      </c>
      <c r="W1332">
        <v>12</v>
      </c>
      <c r="X1332">
        <v>6</v>
      </c>
      <c r="Y1332">
        <v>14</v>
      </c>
      <c r="Z1332" t="s">
        <v>1550</v>
      </c>
      <c r="AA1332" t="s">
        <v>82</v>
      </c>
      <c r="AB1332" t="str" cm="1">
        <f t="array" ref="AB1332">_xlfn.IFS(cleaned_data[[#This Row],[YearsAtCompany]]&lt;=5, "0-5",cleaned_data[[#This Row],[YearsAtCompany]]&lt;=10,"6-10",TRUE,"10+")</f>
        <v>10+</v>
      </c>
    </row>
    <row r="1333" spans="1:28" x14ac:dyDescent="0.3">
      <c r="A1333" s="2">
        <v>48</v>
      </c>
      <c r="B1333" t="s">
        <v>43</v>
      </c>
      <c r="C1333">
        <v>0</v>
      </c>
      <c r="D1333" t="s">
        <v>36</v>
      </c>
      <c r="E1333" t="s">
        <v>45</v>
      </c>
      <c r="F1333">
        <v>10</v>
      </c>
      <c r="G1333" t="s">
        <v>38</v>
      </c>
      <c r="H1333" t="s">
        <v>1403</v>
      </c>
      <c r="I1333">
        <v>4</v>
      </c>
      <c r="J1333" t="s">
        <v>46</v>
      </c>
      <c r="K1333">
        <v>2</v>
      </c>
      <c r="L1333">
        <v>5</v>
      </c>
      <c r="M1333" t="s">
        <v>58</v>
      </c>
      <c r="N1333">
        <v>2</v>
      </c>
      <c r="O1333" t="s">
        <v>48</v>
      </c>
      <c r="P1333" s="1">
        <v>19665</v>
      </c>
      <c r="Q1333" t="s">
        <v>90</v>
      </c>
      <c r="R1333" t="s">
        <v>43</v>
      </c>
      <c r="S1333">
        <v>3</v>
      </c>
      <c r="T1333">
        <v>29</v>
      </c>
      <c r="U1333">
        <v>3</v>
      </c>
      <c r="V1333">
        <v>22</v>
      </c>
      <c r="W1333">
        <v>10</v>
      </c>
      <c r="X1333">
        <v>12</v>
      </c>
      <c r="Y1333">
        <v>9</v>
      </c>
      <c r="Z1333" t="s">
        <v>106</v>
      </c>
      <c r="AA1333" t="s">
        <v>82</v>
      </c>
      <c r="AB1333" t="str" cm="1">
        <f t="array" ref="AB1333">_xlfn.IFS(cleaned_data[[#This Row],[YearsAtCompany]]&lt;=5, "0-5",cleaned_data[[#This Row],[YearsAtCompany]]&lt;=10,"6-10",TRUE,"10+")</f>
        <v>10+</v>
      </c>
    </row>
    <row r="1334" spans="1:28" x14ac:dyDescent="0.3">
      <c r="A1334" s="2">
        <v>29</v>
      </c>
      <c r="B1334" t="s">
        <v>35</v>
      </c>
      <c r="C1334">
        <v>1</v>
      </c>
      <c r="D1334" t="s">
        <v>44</v>
      </c>
      <c r="E1334" t="s">
        <v>45</v>
      </c>
      <c r="F1334">
        <v>24</v>
      </c>
      <c r="G1334" t="s">
        <v>38</v>
      </c>
      <c r="H1334" t="s">
        <v>1404</v>
      </c>
      <c r="I1334">
        <v>4</v>
      </c>
      <c r="J1334" t="s">
        <v>46</v>
      </c>
      <c r="K1334">
        <v>2</v>
      </c>
      <c r="L1334">
        <v>1</v>
      </c>
      <c r="M1334" t="s">
        <v>47</v>
      </c>
      <c r="N1334">
        <v>4</v>
      </c>
      <c r="O1334" t="s">
        <v>41</v>
      </c>
      <c r="P1334" s="1">
        <v>2439</v>
      </c>
      <c r="Q1334" t="s">
        <v>72</v>
      </c>
      <c r="R1334" t="s">
        <v>35</v>
      </c>
      <c r="S1334">
        <v>4</v>
      </c>
      <c r="T1334">
        <v>1</v>
      </c>
      <c r="U1334">
        <v>2</v>
      </c>
      <c r="V1334">
        <v>1</v>
      </c>
      <c r="W1334">
        <v>0</v>
      </c>
      <c r="X1334">
        <v>1</v>
      </c>
      <c r="Y1334">
        <v>0</v>
      </c>
      <c r="Z1334" t="s">
        <v>1551</v>
      </c>
      <c r="AA1334" t="s">
        <v>78</v>
      </c>
      <c r="AB1334" t="str" cm="1">
        <f t="array" ref="AB1334">_xlfn.IFS(cleaned_data[[#This Row],[YearsAtCompany]]&lt;=5, "0-5",cleaned_data[[#This Row],[YearsAtCompany]]&lt;=10,"6-10",TRUE,"10+")</f>
        <v>0-5</v>
      </c>
    </row>
    <row r="1335" spans="1:28" x14ac:dyDescent="0.3">
      <c r="A1335" s="2">
        <v>46</v>
      </c>
      <c r="B1335" t="s">
        <v>35</v>
      </c>
      <c r="C1335">
        <v>1</v>
      </c>
      <c r="D1335" t="s">
        <v>36</v>
      </c>
      <c r="E1335" t="s">
        <v>37</v>
      </c>
      <c r="F1335">
        <v>10</v>
      </c>
      <c r="G1335" t="s">
        <v>38</v>
      </c>
      <c r="H1335" t="s">
        <v>1405</v>
      </c>
      <c r="I1335">
        <v>3</v>
      </c>
      <c r="J1335" t="s">
        <v>39</v>
      </c>
      <c r="K1335">
        <v>3</v>
      </c>
      <c r="L1335">
        <v>3</v>
      </c>
      <c r="M1335" t="s">
        <v>40</v>
      </c>
      <c r="N1335">
        <v>2</v>
      </c>
      <c r="O1335" t="s">
        <v>48</v>
      </c>
      <c r="P1335" s="1">
        <v>7314</v>
      </c>
      <c r="Q1335" t="s">
        <v>67</v>
      </c>
      <c r="R1335" t="s">
        <v>43</v>
      </c>
      <c r="S1335">
        <v>4</v>
      </c>
      <c r="T1335">
        <v>14</v>
      </c>
      <c r="U1335">
        <v>3</v>
      </c>
      <c r="V1335">
        <v>8</v>
      </c>
      <c r="W1335">
        <v>7</v>
      </c>
      <c r="X1335">
        <v>0</v>
      </c>
      <c r="Y1335">
        <v>7</v>
      </c>
      <c r="Z1335" t="s">
        <v>106</v>
      </c>
      <c r="AA1335" t="s">
        <v>69</v>
      </c>
      <c r="AB1335" t="str" cm="1">
        <f t="array" ref="AB1335">_xlfn.IFS(cleaned_data[[#This Row],[YearsAtCompany]]&lt;=5, "0-5",cleaned_data[[#This Row],[YearsAtCompany]]&lt;=10,"6-10",TRUE,"10+")</f>
        <v>6-10</v>
      </c>
    </row>
    <row r="1336" spans="1:28" x14ac:dyDescent="0.3">
      <c r="A1336" s="2">
        <v>27</v>
      </c>
      <c r="B1336" t="s">
        <v>43</v>
      </c>
      <c r="C1336">
        <v>0</v>
      </c>
      <c r="D1336" t="s">
        <v>44</v>
      </c>
      <c r="E1336" t="s">
        <v>45</v>
      </c>
      <c r="F1336">
        <v>15</v>
      </c>
      <c r="G1336" t="s">
        <v>38</v>
      </c>
      <c r="H1336" t="s">
        <v>1406</v>
      </c>
      <c r="I1336">
        <v>4</v>
      </c>
      <c r="J1336" t="s">
        <v>39</v>
      </c>
      <c r="K1336">
        <v>2</v>
      </c>
      <c r="L1336">
        <v>1</v>
      </c>
      <c r="M1336" t="s">
        <v>47</v>
      </c>
      <c r="N1336">
        <v>1</v>
      </c>
      <c r="O1336" t="s">
        <v>48</v>
      </c>
      <c r="P1336" s="6">
        <v>4774</v>
      </c>
      <c r="Q1336" t="s">
        <v>72</v>
      </c>
      <c r="R1336" t="s">
        <v>43</v>
      </c>
      <c r="S1336">
        <v>3</v>
      </c>
      <c r="T1336">
        <v>8</v>
      </c>
      <c r="U1336">
        <v>2</v>
      </c>
      <c r="V1336">
        <v>7</v>
      </c>
      <c r="W1336">
        <v>6</v>
      </c>
      <c r="X1336">
        <v>7</v>
      </c>
      <c r="Y1336">
        <v>3</v>
      </c>
      <c r="Z1336" t="s">
        <v>1551</v>
      </c>
      <c r="AA1336" t="s">
        <v>69</v>
      </c>
      <c r="AB1336" t="str" cm="1">
        <f t="array" ref="AB1336">_xlfn.IFS(cleaned_data[[#This Row],[YearsAtCompany]]&lt;=5, "0-5",cleaned_data[[#This Row],[YearsAtCompany]]&lt;=10,"6-10",TRUE,"10+")</f>
        <v>6-10</v>
      </c>
    </row>
    <row r="1337" spans="1:28" x14ac:dyDescent="0.3">
      <c r="A1337" s="2">
        <v>39</v>
      </c>
      <c r="B1337" t="s">
        <v>43</v>
      </c>
      <c r="C1337">
        <v>0</v>
      </c>
      <c r="D1337" t="s">
        <v>36</v>
      </c>
      <c r="E1337" t="s">
        <v>45</v>
      </c>
      <c r="F1337">
        <v>19</v>
      </c>
      <c r="G1337" t="s">
        <v>49</v>
      </c>
      <c r="H1337" t="s">
        <v>1407</v>
      </c>
      <c r="I1337">
        <v>4</v>
      </c>
      <c r="J1337" t="s">
        <v>46</v>
      </c>
      <c r="K1337">
        <v>3</v>
      </c>
      <c r="L1337">
        <v>2</v>
      </c>
      <c r="M1337" t="s">
        <v>47</v>
      </c>
      <c r="N1337">
        <v>4</v>
      </c>
      <c r="O1337" t="s">
        <v>52</v>
      </c>
      <c r="P1337" s="1">
        <v>3902</v>
      </c>
      <c r="Q1337" t="s">
        <v>72</v>
      </c>
      <c r="R1337" t="s">
        <v>43</v>
      </c>
      <c r="S1337">
        <v>3</v>
      </c>
      <c r="T1337">
        <v>7</v>
      </c>
      <c r="U1337">
        <v>3</v>
      </c>
      <c r="V1337">
        <v>2</v>
      </c>
      <c r="W1337">
        <v>2</v>
      </c>
      <c r="X1337">
        <v>2</v>
      </c>
      <c r="Y1337">
        <v>2</v>
      </c>
      <c r="Z1337" t="s">
        <v>1550</v>
      </c>
      <c r="AA1337" t="s">
        <v>69</v>
      </c>
      <c r="AB1337" t="str" cm="1">
        <f t="array" ref="AB1337">_xlfn.IFS(cleaned_data[[#This Row],[YearsAtCompany]]&lt;=5, "0-5",cleaned_data[[#This Row],[YearsAtCompany]]&lt;=10,"6-10",TRUE,"10+")</f>
        <v>0-5</v>
      </c>
    </row>
    <row r="1338" spans="1:28" x14ac:dyDescent="0.3">
      <c r="A1338" s="2">
        <v>55</v>
      </c>
      <c r="B1338" t="s">
        <v>43</v>
      </c>
      <c r="C1338">
        <v>0</v>
      </c>
      <c r="D1338" t="s">
        <v>36</v>
      </c>
      <c r="E1338" t="s">
        <v>45</v>
      </c>
      <c r="F1338">
        <v>2</v>
      </c>
      <c r="G1338" t="s">
        <v>60</v>
      </c>
      <c r="H1338" t="s">
        <v>1408</v>
      </c>
      <c r="I1338">
        <v>2</v>
      </c>
      <c r="J1338" t="s">
        <v>46</v>
      </c>
      <c r="K1338">
        <v>2</v>
      </c>
      <c r="L1338">
        <v>1</v>
      </c>
      <c r="M1338" t="s">
        <v>47</v>
      </c>
      <c r="N1338">
        <v>4</v>
      </c>
      <c r="O1338" t="s">
        <v>48</v>
      </c>
      <c r="P1338" s="1">
        <v>2662</v>
      </c>
      <c r="Q1338" t="s">
        <v>72</v>
      </c>
      <c r="R1338" t="s">
        <v>43</v>
      </c>
      <c r="S1338">
        <v>4</v>
      </c>
      <c r="T1338">
        <v>19</v>
      </c>
      <c r="U1338">
        <v>4</v>
      </c>
      <c r="V1338">
        <v>5</v>
      </c>
      <c r="W1338">
        <v>2</v>
      </c>
      <c r="X1338">
        <v>0</v>
      </c>
      <c r="Y1338">
        <v>4</v>
      </c>
      <c r="Z1338" t="s">
        <v>106</v>
      </c>
      <c r="AA1338" t="s">
        <v>82</v>
      </c>
      <c r="AB1338" t="str" cm="1">
        <f t="array" ref="AB1338">_xlfn.IFS(cleaned_data[[#This Row],[YearsAtCompany]]&lt;=5, "0-5",cleaned_data[[#This Row],[YearsAtCompany]]&lt;=10,"6-10",TRUE,"10+")</f>
        <v>0-5</v>
      </c>
    </row>
    <row r="1339" spans="1:28" x14ac:dyDescent="0.3">
      <c r="A1339" s="2">
        <v>28</v>
      </c>
      <c r="B1339" t="s">
        <v>43</v>
      </c>
      <c r="C1339">
        <v>0</v>
      </c>
      <c r="D1339" t="s">
        <v>36</v>
      </c>
      <c r="E1339" t="s">
        <v>37</v>
      </c>
      <c r="F1339">
        <v>3</v>
      </c>
      <c r="G1339" t="s">
        <v>51</v>
      </c>
      <c r="H1339" t="s">
        <v>1409</v>
      </c>
      <c r="I1339">
        <v>2</v>
      </c>
      <c r="J1339" t="s">
        <v>39</v>
      </c>
      <c r="K1339">
        <v>3</v>
      </c>
      <c r="L1339">
        <v>1</v>
      </c>
      <c r="M1339" t="s">
        <v>57</v>
      </c>
      <c r="N1339">
        <v>2</v>
      </c>
      <c r="O1339" t="s">
        <v>48</v>
      </c>
      <c r="P1339" s="1">
        <v>2856</v>
      </c>
      <c r="Q1339" t="s">
        <v>72</v>
      </c>
      <c r="R1339" t="s">
        <v>43</v>
      </c>
      <c r="S1339">
        <v>3</v>
      </c>
      <c r="T1339">
        <v>1</v>
      </c>
      <c r="U1339">
        <v>3</v>
      </c>
      <c r="V1339">
        <v>1</v>
      </c>
      <c r="W1339">
        <v>0</v>
      </c>
      <c r="X1339">
        <v>0</v>
      </c>
      <c r="Y1339">
        <v>0</v>
      </c>
      <c r="Z1339" t="s">
        <v>1551</v>
      </c>
      <c r="AA1339" t="s">
        <v>78</v>
      </c>
      <c r="AB1339" t="str" cm="1">
        <f t="array" ref="AB1339">_xlfn.IFS(cleaned_data[[#This Row],[YearsAtCompany]]&lt;=5, "0-5",cleaned_data[[#This Row],[YearsAtCompany]]&lt;=10,"6-10",TRUE,"10+")</f>
        <v>0-5</v>
      </c>
    </row>
    <row r="1340" spans="1:28" x14ac:dyDescent="0.3">
      <c r="A1340" s="2">
        <v>30</v>
      </c>
      <c r="B1340" t="s">
        <v>35</v>
      </c>
      <c r="C1340">
        <v>1</v>
      </c>
      <c r="D1340" t="s">
        <v>36</v>
      </c>
      <c r="E1340" t="s">
        <v>37</v>
      </c>
      <c r="F1340">
        <v>9</v>
      </c>
      <c r="G1340" t="s">
        <v>51</v>
      </c>
      <c r="H1340" t="s">
        <v>1410</v>
      </c>
      <c r="I1340">
        <v>2</v>
      </c>
      <c r="J1340" t="s">
        <v>46</v>
      </c>
      <c r="K1340">
        <v>3</v>
      </c>
      <c r="L1340">
        <v>1</v>
      </c>
      <c r="M1340" t="s">
        <v>57</v>
      </c>
      <c r="N1340">
        <v>4</v>
      </c>
      <c r="O1340" t="s">
        <v>41</v>
      </c>
      <c r="P1340" s="1">
        <v>1081</v>
      </c>
      <c r="Q1340" t="s">
        <v>72</v>
      </c>
      <c r="R1340" t="s">
        <v>43</v>
      </c>
      <c r="S1340">
        <v>3</v>
      </c>
      <c r="T1340">
        <v>1</v>
      </c>
      <c r="U1340">
        <v>2</v>
      </c>
      <c r="V1340">
        <v>1</v>
      </c>
      <c r="W1340">
        <v>0</v>
      </c>
      <c r="X1340">
        <v>0</v>
      </c>
      <c r="Y1340">
        <v>0</v>
      </c>
      <c r="Z1340" t="s">
        <v>1551</v>
      </c>
      <c r="AA1340" t="s">
        <v>78</v>
      </c>
      <c r="AB1340" t="str" cm="1">
        <f t="array" ref="AB1340">_xlfn.IFS(cleaned_data[[#This Row],[YearsAtCompany]]&lt;=5, "0-5",cleaned_data[[#This Row],[YearsAtCompany]]&lt;=10,"6-10",TRUE,"10+")</f>
        <v>0-5</v>
      </c>
    </row>
    <row r="1341" spans="1:28" x14ac:dyDescent="0.3">
      <c r="A1341" s="2">
        <v>22</v>
      </c>
      <c r="B1341" t="s">
        <v>35</v>
      </c>
      <c r="C1341">
        <v>1</v>
      </c>
      <c r="D1341" t="s">
        <v>36</v>
      </c>
      <c r="E1341" t="s">
        <v>45</v>
      </c>
      <c r="F1341">
        <v>7</v>
      </c>
      <c r="G1341" t="s">
        <v>38</v>
      </c>
      <c r="H1341" t="s">
        <v>1411</v>
      </c>
      <c r="I1341">
        <v>4</v>
      </c>
      <c r="J1341" t="s">
        <v>46</v>
      </c>
      <c r="K1341">
        <v>3</v>
      </c>
      <c r="L1341">
        <v>1</v>
      </c>
      <c r="M1341" t="s">
        <v>47</v>
      </c>
      <c r="N1341">
        <v>2</v>
      </c>
      <c r="O1341" t="s">
        <v>41</v>
      </c>
      <c r="P1341" s="1">
        <v>2472</v>
      </c>
      <c r="Q1341" t="s">
        <v>72</v>
      </c>
      <c r="R1341" t="s">
        <v>35</v>
      </c>
      <c r="S1341">
        <v>4</v>
      </c>
      <c r="T1341">
        <v>1</v>
      </c>
      <c r="U1341">
        <v>3</v>
      </c>
      <c r="V1341">
        <v>1</v>
      </c>
      <c r="W1341">
        <v>0</v>
      </c>
      <c r="X1341">
        <v>0</v>
      </c>
      <c r="Y1341">
        <v>0</v>
      </c>
      <c r="Z1341" t="s">
        <v>68</v>
      </c>
      <c r="AA1341" t="s">
        <v>78</v>
      </c>
      <c r="AB1341" t="str" cm="1">
        <f t="array" ref="AB1341">_xlfn.IFS(cleaned_data[[#This Row],[YearsAtCompany]]&lt;=5, "0-5",cleaned_data[[#This Row],[YearsAtCompany]]&lt;=10,"6-10",TRUE,"10+")</f>
        <v>0-5</v>
      </c>
    </row>
    <row r="1342" spans="1:28" x14ac:dyDescent="0.3">
      <c r="A1342" s="2">
        <v>36</v>
      </c>
      <c r="B1342" t="s">
        <v>43</v>
      </c>
      <c r="C1342">
        <v>0</v>
      </c>
      <c r="D1342" t="s">
        <v>36</v>
      </c>
      <c r="E1342" t="s">
        <v>37</v>
      </c>
      <c r="F1342">
        <v>10</v>
      </c>
      <c r="G1342" t="s">
        <v>60</v>
      </c>
      <c r="H1342" t="s">
        <v>1412</v>
      </c>
      <c r="I1342">
        <v>2</v>
      </c>
      <c r="J1342" t="s">
        <v>39</v>
      </c>
      <c r="K1342">
        <v>2</v>
      </c>
      <c r="L1342">
        <v>2</v>
      </c>
      <c r="M1342" t="s">
        <v>40</v>
      </c>
      <c r="N1342">
        <v>3</v>
      </c>
      <c r="O1342" t="s">
        <v>48</v>
      </c>
      <c r="P1342" s="1">
        <v>5673</v>
      </c>
      <c r="Q1342" t="s">
        <v>67</v>
      </c>
      <c r="R1342" t="s">
        <v>35</v>
      </c>
      <c r="S1342">
        <v>3</v>
      </c>
      <c r="T1342">
        <v>10</v>
      </c>
      <c r="U1342">
        <v>3</v>
      </c>
      <c r="V1342">
        <v>10</v>
      </c>
      <c r="W1342">
        <v>9</v>
      </c>
      <c r="X1342">
        <v>1</v>
      </c>
      <c r="Y1342">
        <v>7</v>
      </c>
      <c r="Z1342" t="s">
        <v>1550</v>
      </c>
      <c r="AA1342" t="s">
        <v>69</v>
      </c>
      <c r="AB1342" t="str" cm="1">
        <f t="array" ref="AB1342">_xlfn.IFS(cleaned_data[[#This Row],[YearsAtCompany]]&lt;=5, "0-5",cleaned_data[[#This Row],[YearsAtCompany]]&lt;=10,"6-10",TRUE,"10+")</f>
        <v>6-10</v>
      </c>
    </row>
    <row r="1343" spans="1:28" x14ac:dyDescent="0.3">
      <c r="A1343" s="2">
        <v>31</v>
      </c>
      <c r="B1343" t="s">
        <v>43</v>
      </c>
      <c r="C1343">
        <v>0</v>
      </c>
      <c r="D1343" t="s">
        <v>36</v>
      </c>
      <c r="E1343" t="s">
        <v>45</v>
      </c>
      <c r="F1343">
        <v>20</v>
      </c>
      <c r="G1343" t="s">
        <v>38</v>
      </c>
      <c r="H1343" t="s">
        <v>1413</v>
      </c>
      <c r="I1343">
        <v>2</v>
      </c>
      <c r="J1343" t="s">
        <v>46</v>
      </c>
      <c r="K1343">
        <v>3</v>
      </c>
      <c r="L1343">
        <v>2</v>
      </c>
      <c r="M1343" t="s">
        <v>50</v>
      </c>
      <c r="N1343">
        <v>3</v>
      </c>
      <c r="O1343" t="s">
        <v>52</v>
      </c>
      <c r="P1343" s="1">
        <v>4197</v>
      </c>
      <c r="Q1343" t="s">
        <v>72</v>
      </c>
      <c r="R1343" t="s">
        <v>43</v>
      </c>
      <c r="S1343">
        <v>3</v>
      </c>
      <c r="T1343">
        <v>10</v>
      </c>
      <c r="U1343">
        <v>3</v>
      </c>
      <c r="V1343">
        <v>10</v>
      </c>
      <c r="W1343">
        <v>8</v>
      </c>
      <c r="X1343">
        <v>0</v>
      </c>
      <c r="Y1343">
        <v>2</v>
      </c>
      <c r="Z1343" t="s">
        <v>1551</v>
      </c>
      <c r="AA1343" t="s">
        <v>69</v>
      </c>
      <c r="AB1343" t="str" cm="1">
        <f t="array" ref="AB1343">_xlfn.IFS(cleaned_data[[#This Row],[YearsAtCompany]]&lt;=5, "0-5",cleaned_data[[#This Row],[YearsAtCompany]]&lt;=10,"6-10",TRUE,"10+")</f>
        <v>6-10</v>
      </c>
    </row>
    <row r="1344" spans="1:28" x14ac:dyDescent="0.3">
      <c r="A1344" s="2">
        <v>34</v>
      </c>
      <c r="B1344" t="s">
        <v>43</v>
      </c>
      <c r="C1344">
        <v>0</v>
      </c>
      <c r="D1344" t="s">
        <v>36</v>
      </c>
      <c r="E1344" t="s">
        <v>37</v>
      </c>
      <c r="F1344">
        <v>4</v>
      </c>
      <c r="G1344" t="s">
        <v>38</v>
      </c>
      <c r="H1344" t="s">
        <v>1414</v>
      </c>
      <c r="I1344">
        <v>3</v>
      </c>
      <c r="J1344" t="s">
        <v>46</v>
      </c>
      <c r="K1344">
        <v>3</v>
      </c>
      <c r="L1344">
        <v>3</v>
      </c>
      <c r="M1344" t="s">
        <v>40</v>
      </c>
      <c r="N1344">
        <v>4</v>
      </c>
      <c r="O1344" t="s">
        <v>48</v>
      </c>
      <c r="P1344" s="1">
        <v>9713</v>
      </c>
      <c r="Q1344" t="s">
        <v>67</v>
      </c>
      <c r="R1344" t="s">
        <v>35</v>
      </c>
      <c r="S1344">
        <v>3</v>
      </c>
      <c r="T1344">
        <v>9</v>
      </c>
      <c r="U1344">
        <v>3</v>
      </c>
      <c r="V1344">
        <v>5</v>
      </c>
      <c r="W1344">
        <v>3</v>
      </c>
      <c r="X1344">
        <v>1</v>
      </c>
      <c r="Y1344">
        <v>0</v>
      </c>
      <c r="Z1344" t="s">
        <v>1551</v>
      </c>
      <c r="AA1344" t="s">
        <v>69</v>
      </c>
      <c r="AB1344" t="str" cm="1">
        <f t="array" ref="AB1344">_xlfn.IFS(cleaned_data[[#This Row],[YearsAtCompany]]&lt;=5, "0-5",cleaned_data[[#This Row],[YearsAtCompany]]&lt;=10,"6-10",TRUE,"10+")</f>
        <v>0-5</v>
      </c>
    </row>
    <row r="1345" spans="1:28" x14ac:dyDescent="0.3">
      <c r="A1345" s="2">
        <v>29</v>
      </c>
      <c r="B1345" t="s">
        <v>43</v>
      </c>
      <c r="C1345">
        <v>0</v>
      </c>
      <c r="D1345" t="s">
        <v>36</v>
      </c>
      <c r="E1345" t="s">
        <v>45</v>
      </c>
      <c r="F1345">
        <v>7</v>
      </c>
      <c r="G1345" t="s">
        <v>38</v>
      </c>
      <c r="H1345" t="s">
        <v>1415</v>
      </c>
      <c r="I1345">
        <v>4</v>
      </c>
      <c r="J1345" t="s">
        <v>46</v>
      </c>
      <c r="K1345">
        <v>3</v>
      </c>
      <c r="L1345">
        <v>1</v>
      </c>
      <c r="M1345" t="s">
        <v>50</v>
      </c>
      <c r="N1345">
        <v>1</v>
      </c>
      <c r="O1345" t="s">
        <v>41</v>
      </c>
      <c r="P1345" s="6">
        <v>2062</v>
      </c>
      <c r="Q1345" t="s">
        <v>72</v>
      </c>
      <c r="R1345" t="s">
        <v>43</v>
      </c>
      <c r="S1345">
        <v>3</v>
      </c>
      <c r="T1345">
        <v>11</v>
      </c>
      <c r="U1345">
        <v>3</v>
      </c>
      <c r="V1345">
        <v>3</v>
      </c>
      <c r="W1345">
        <v>2</v>
      </c>
      <c r="X1345">
        <v>1</v>
      </c>
      <c r="Y1345">
        <v>2</v>
      </c>
      <c r="Z1345" t="s">
        <v>1551</v>
      </c>
      <c r="AA1345" t="s">
        <v>69</v>
      </c>
      <c r="AB1345" t="str" cm="1">
        <f t="array" ref="AB1345">_xlfn.IFS(cleaned_data[[#This Row],[YearsAtCompany]]&lt;=5, "0-5",cleaned_data[[#This Row],[YearsAtCompany]]&lt;=10,"6-10",TRUE,"10+")</f>
        <v>0-5</v>
      </c>
    </row>
    <row r="1346" spans="1:28" x14ac:dyDescent="0.3">
      <c r="A1346" s="2">
        <v>37</v>
      </c>
      <c r="B1346" t="s">
        <v>43</v>
      </c>
      <c r="C1346">
        <v>0</v>
      </c>
      <c r="D1346" t="s">
        <v>36</v>
      </c>
      <c r="E1346" t="s">
        <v>45</v>
      </c>
      <c r="F1346">
        <v>7</v>
      </c>
      <c r="G1346" t="s">
        <v>51</v>
      </c>
      <c r="H1346" t="s">
        <v>1416</v>
      </c>
      <c r="I1346">
        <v>4</v>
      </c>
      <c r="J1346" t="s">
        <v>46</v>
      </c>
      <c r="K1346">
        <v>3</v>
      </c>
      <c r="L1346">
        <v>2</v>
      </c>
      <c r="M1346" t="s">
        <v>47</v>
      </c>
      <c r="N1346">
        <v>1</v>
      </c>
      <c r="O1346" t="s">
        <v>48</v>
      </c>
      <c r="P1346" s="6">
        <v>4284</v>
      </c>
      <c r="Q1346" t="s">
        <v>72</v>
      </c>
      <c r="R1346" t="s">
        <v>35</v>
      </c>
      <c r="S1346">
        <v>4</v>
      </c>
      <c r="T1346">
        <v>16</v>
      </c>
      <c r="U1346">
        <v>3</v>
      </c>
      <c r="V1346">
        <v>5</v>
      </c>
      <c r="W1346">
        <v>3</v>
      </c>
      <c r="X1346">
        <v>0</v>
      </c>
      <c r="Y1346">
        <v>4</v>
      </c>
      <c r="Z1346" t="s">
        <v>1550</v>
      </c>
      <c r="AA1346" t="s">
        <v>82</v>
      </c>
      <c r="AB1346" t="str" cm="1">
        <f t="array" ref="AB1346">_xlfn.IFS(cleaned_data[[#This Row],[YearsAtCompany]]&lt;=5, "0-5",cleaned_data[[#This Row],[YearsAtCompany]]&lt;=10,"6-10",TRUE,"10+")</f>
        <v>0-5</v>
      </c>
    </row>
    <row r="1347" spans="1:28" x14ac:dyDescent="0.3">
      <c r="A1347" s="2">
        <v>35</v>
      </c>
      <c r="B1347" t="s">
        <v>43</v>
      </c>
      <c r="C1347">
        <v>0</v>
      </c>
      <c r="D1347" t="s">
        <v>36</v>
      </c>
      <c r="E1347" t="s">
        <v>45</v>
      </c>
      <c r="F1347">
        <v>16</v>
      </c>
      <c r="G1347" t="s">
        <v>49</v>
      </c>
      <c r="H1347" t="s">
        <v>1417</v>
      </c>
      <c r="I1347">
        <v>4</v>
      </c>
      <c r="J1347" t="s">
        <v>39</v>
      </c>
      <c r="K1347">
        <v>2</v>
      </c>
      <c r="L1347">
        <v>2</v>
      </c>
      <c r="M1347" t="s">
        <v>53</v>
      </c>
      <c r="N1347">
        <v>2</v>
      </c>
      <c r="O1347" t="s">
        <v>48</v>
      </c>
      <c r="P1347" s="1">
        <v>4788</v>
      </c>
      <c r="Q1347" t="s">
        <v>72</v>
      </c>
      <c r="R1347" t="s">
        <v>35</v>
      </c>
      <c r="S1347">
        <v>3</v>
      </c>
      <c r="T1347">
        <v>4</v>
      </c>
      <c r="U1347">
        <v>3</v>
      </c>
      <c r="V1347">
        <v>3</v>
      </c>
      <c r="W1347">
        <v>2</v>
      </c>
      <c r="X1347">
        <v>0</v>
      </c>
      <c r="Y1347">
        <v>2</v>
      </c>
      <c r="Z1347" t="s">
        <v>1551</v>
      </c>
      <c r="AA1347" t="s">
        <v>78</v>
      </c>
      <c r="AB1347" t="str" cm="1">
        <f t="array" ref="AB1347">_xlfn.IFS(cleaned_data[[#This Row],[YearsAtCompany]]&lt;=5, "0-5",cleaned_data[[#This Row],[YearsAtCompany]]&lt;=10,"6-10",TRUE,"10+")</f>
        <v>0-5</v>
      </c>
    </row>
    <row r="1348" spans="1:28" x14ac:dyDescent="0.3">
      <c r="A1348" s="2">
        <v>45</v>
      </c>
      <c r="B1348" t="s">
        <v>43</v>
      </c>
      <c r="C1348">
        <v>0</v>
      </c>
      <c r="D1348" t="s">
        <v>36</v>
      </c>
      <c r="E1348" t="s">
        <v>45</v>
      </c>
      <c r="F1348">
        <v>25</v>
      </c>
      <c r="G1348" t="s">
        <v>38</v>
      </c>
      <c r="H1348" t="s">
        <v>1418</v>
      </c>
      <c r="I1348">
        <v>2</v>
      </c>
      <c r="J1348" t="s">
        <v>39</v>
      </c>
      <c r="K1348">
        <v>2</v>
      </c>
      <c r="L1348">
        <v>2</v>
      </c>
      <c r="M1348" t="s">
        <v>53</v>
      </c>
      <c r="N1348">
        <v>4</v>
      </c>
      <c r="O1348" t="s">
        <v>48</v>
      </c>
      <c r="P1348" s="1">
        <v>5906</v>
      </c>
      <c r="Q1348" t="s">
        <v>67</v>
      </c>
      <c r="R1348" t="s">
        <v>43</v>
      </c>
      <c r="S1348">
        <v>3</v>
      </c>
      <c r="T1348">
        <v>10</v>
      </c>
      <c r="U1348">
        <v>2</v>
      </c>
      <c r="V1348">
        <v>9</v>
      </c>
      <c r="W1348">
        <v>8</v>
      </c>
      <c r="X1348">
        <v>3</v>
      </c>
      <c r="Y1348">
        <v>8</v>
      </c>
      <c r="Z1348" t="s">
        <v>1550</v>
      </c>
      <c r="AA1348" t="s">
        <v>69</v>
      </c>
      <c r="AB1348" t="str" cm="1">
        <f t="array" ref="AB1348">_xlfn.IFS(cleaned_data[[#This Row],[YearsAtCompany]]&lt;=5, "0-5",cleaned_data[[#This Row],[YearsAtCompany]]&lt;=10,"6-10",TRUE,"10+")</f>
        <v>6-10</v>
      </c>
    </row>
    <row r="1349" spans="1:28" x14ac:dyDescent="0.3">
      <c r="A1349" s="2">
        <v>36</v>
      </c>
      <c r="B1349" t="s">
        <v>43</v>
      </c>
      <c r="C1349">
        <v>0</v>
      </c>
      <c r="D1349" t="s">
        <v>44</v>
      </c>
      <c r="E1349" t="s">
        <v>61</v>
      </c>
      <c r="F1349">
        <v>2</v>
      </c>
      <c r="G1349" t="s">
        <v>61</v>
      </c>
      <c r="H1349" t="s">
        <v>1419</v>
      </c>
      <c r="I1349">
        <v>2</v>
      </c>
      <c r="J1349" t="s">
        <v>46</v>
      </c>
      <c r="K1349">
        <v>2</v>
      </c>
      <c r="L1349">
        <v>2</v>
      </c>
      <c r="M1349" t="s">
        <v>61</v>
      </c>
      <c r="N1349">
        <v>4</v>
      </c>
      <c r="O1349" t="s">
        <v>41</v>
      </c>
      <c r="P1349" s="1">
        <v>3886</v>
      </c>
      <c r="Q1349" t="s">
        <v>72</v>
      </c>
      <c r="R1349" t="s">
        <v>43</v>
      </c>
      <c r="S1349">
        <v>4</v>
      </c>
      <c r="T1349">
        <v>10</v>
      </c>
      <c r="U1349">
        <v>2</v>
      </c>
      <c r="V1349">
        <v>10</v>
      </c>
      <c r="W1349">
        <v>1</v>
      </c>
      <c r="X1349">
        <v>0</v>
      </c>
      <c r="Y1349">
        <v>8</v>
      </c>
      <c r="Z1349" t="s">
        <v>1550</v>
      </c>
      <c r="AA1349" t="s">
        <v>69</v>
      </c>
      <c r="AB1349" t="str" cm="1">
        <f t="array" ref="AB1349">_xlfn.IFS(cleaned_data[[#This Row],[YearsAtCompany]]&lt;=5, "0-5",cleaned_data[[#This Row],[YearsAtCompany]]&lt;=10,"6-10",TRUE,"10+")</f>
        <v>6-10</v>
      </c>
    </row>
    <row r="1350" spans="1:28" x14ac:dyDescent="0.3">
      <c r="A1350" s="2">
        <v>40</v>
      </c>
      <c r="B1350" t="s">
        <v>43</v>
      </c>
      <c r="C1350">
        <v>0</v>
      </c>
      <c r="D1350" t="s">
        <v>36</v>
      </c>
      <c r="E1350" t="s">
        <v>45</v>
      </c>
      <c r="F1350">
        <v>1</v>
      </c>
      <c r="G1350" t="s">
        <v>38</v>
      </c>
      <c r="H1350" t="s">
        <v>1420</v>
      </c>
      <c r="I1350">
        <v>1</v>
      </c>
      <c r="J1350" t="s">
        <v>46</v>
      </c>
      <c r="K1350">
        <v>3</v>
      </c>
      <c r="L1350">
        <v>4</v>
      </c>
      <c r="M1350" t="s">
        <v>56</v>
      </c>
      <c r="N1350">
        <v>1</v>
      </c>
      <c r="O1350" t="s">
        <v>52</v>
      </c>
      <c r="P1350" s="6">
        <v>16823</v>
      </c>
      <c r="Q1350" t="s">
        <v>90</v>
      </c>
      <c r="R1350" t="s">
        <v>43</v>
      </c>
      <c r="S1350">
        <v>3</v>
      </c>
      <c r="T1350">
        <v>22</v>
      </c>
      <c r="U1350">
        <v>3</v>
      </c>
      <c r="V1350">
        <v>19</v>
      </c>
      <c r="W1350">
        <v>7</v>
      </c>
      <c r="X1350">
        <v>11</v>
      </c>
      <c r="Y1350">
        <v>16</v>
      </c>
      <c r="Z1350" t="s">
        <v>1550</v>
      </c>
      <c r="AA1350" t="s">
        <v>82</v>
      </c>
      <c r="AB1350" t="str" cm="1">
        <f t="array" ref="AB1350">_xlfn.IFS(cleaned_data[[#This Row],[YearsAtCompany]]&lt;=5, "0-5",cleaned_data[[#This Row],[YearsAtCompany]]&lt;=10,"6-10",TRUE,"10+")</f>
        <v>10+</v>
      </c>
    </row>
    <row r="1351" spans="1:28" x14ac:dyDescent="0.3">
      <c r="A1351" s="2">
        <v>26</v>
      </c>
      <c r="B1351" t="s">
        <v>43</v>
      </c>
      <c r="C1351">
        <v>0</v>
      </c>
      <c r="D1351" t="s">
        <v>36</v>
      </c>
      <c r="E1351" t="s">
        <v>45</v>
      </c>
      <c r="F1351">
        <v>1</v>
      </c>
      <c r="G1351" t="s">
        <v>38</v>
      </c>
      <c r="H1351" t="s">
        <v>1421</v>
      </c>
      <c r="I1351">
        <v>2</v>
      </c>
      <c r="J1351" t="s">
        <v>39</v>
      </c>
      <c r="K1351">
        <v>2</v>
      </c>
      <c r="L1351">
        <v>1</v>
      </c>
      <c r="M1351" t="s">
        <v>47</v>
      </c>
      <c r="N1351">
        <v>3</v>
      </c>
      <c r="O1351" t="s">
        <v>48</v>
      </c>
      <c r="P1351" s="1">
        <v>2933</v>
      </c>
      <c r="Q1351" t="s">
        <v>72</v>
      </c>
      <c r="R1351" t="s">
        <v>35</v>
      </c>
      <c r="S1351">
        <v>3</v>
      </c>
      <c r="T1351">
        <v>1</v>
      </c>
      <c r="U1351">
        <v>2</v>
      </c>
      <c r="V1351">
        <v>1</v>
      </c>
      <c r="W1351">
        <v>0</v>
      </c>
      <c r="X1351">
        <v>1</v>
      </c>
      <c r="Y1351">
        <v>0</v>
      </c>
      <c r="Z1351" t="s">
        <v>1551</v>
      </c>
      <c r="AA1351" t="s">
        <v>78</v>
      </c>
      <c r="AB1351" t="str" cm="1">
        <f t="array" ref="AB1351">_xlfn.IFS(cleaned_data[[#This Row],[YearsAtCompany]]&lt;=5, "0-5",cleaned_data[[#This Row],[YearsAtCompany]]&lt;=10,"6-10",TRUE,"10+")</f>
        <v>0-5</v>
      </c>
    </row>
    <row r="1352" spans="1:28" x14ac:dyDescent="0.3">
      <c r="A1352" s="2">
        <v>27</v>
      </c>
      <c r="B1352" t="s">
        <v>43</v>
      </c>
      <c r="C1352">
        <v>0</v>
      </c>
      <c r="D1352" t="s">
        <v>36</v>
      </c>
      <c r="E1352" t="s">
        <v>37</v>
      </c>
      <c r="F1352">
        <v>2</v>
      </c>
      <c r="G1352" t="s">
        <v>51</v>
      </c>
      <c r="H1352" t="s">
        <v>1422</v>
      </c>
      <c r="I1352">
        <v>1</v>
      </c>
      <c r="J1352" t="s">
        <v>39</v>
      </c>
      <c r="K1352">
        <v>4</v>
      </c>
      <c r="L1352">
        <v>2</v>
      </c>
      <c r="M1352" t="s">
        <v>40</v>
      </c>
      <c r="N1352">
        <v>3</v>
      </c>
      <c r="O1352" t="s">
        <v>41</v>
      </c>
      <c r="P1352" s="1">
        <v>6500</v>
      </c>
      <c r="Q1352" t="s">
        <v>67</v>
      </c>
      <c r="R1352" t="s">
        <v>43</v>
      </c>
      <c r="S1352">
        <v>3</v>
      </c>
      <c r="T1352">
        <v>9</v>
      </c>
      <c r="U1352">
        <v>2</v>
      </c>
      <c r="V1352">
        <v>8</v>
      </c>
      <c r="W1352">
        <v>7</v>
      </c>
      <c r="X1352">
        <v>0</v>
      </c>
      <c r="Y1352">
        <v>7</v>
      </c>
      <c r="Z1352" t="s">
        <v>1551</v>
      </c>
      <c r="AA1352" t="s">
        <v>69</v>
      </c>
      <c r="AB1352" t="str" cm="1">
        <f t="array" ref="AB1352">_xlfn.IFS(cleaned_data[[#This Row],[YearsAtCompany]]&lt;=5, "0-5",cleaned_data[[#This Row],[YearsAtCompany]]&lt;=10,"6-10",TRUE,"10+")</f>
        <v>6-10</v>
      </c>
    </row>
    <row r="1353" spans="1:28" x14ac:dyDescent="0.3">
      <c r="A1353" s="2">
        <v>48</v>
      </c>
      <c r="B1353" t="s">
        <v>43</v>
      </c>
      <c r="C1353">
        <v>0</v>
      </c>
      <c r="D1353" t="s">
        <v>44</v>
      </c>
      <c r="E1353" t="s">
        <v>45</v>
      </c>
      <c r="F1353">
        <v>22</v>
      </c>
      <c r="G1353" t="s">
        <v>51</v>
      </c>
      <c r="H1353" t="s">
        <v>1423</v>
      </c>
      <c r="I1353">
        <v>4</v>
      </c>
      <c r="J1353" t="s">
        <v>39</v>
      </c>
      <c r="K1353">
        <v>3</v>
      </c>
      <c r="L1353">
        <v>4</v>
      </c>
      <c r="M1353" t="s">
        <v>56</v>
      </c>
      <c r="N1353">
        <v>4</v>
      </c>
      <c r="O1353" t="s">
        <v>52</v>
      </c>
      <c r="P1353" s="1">
        <v>17174</v>
      </c>
      <c r="Q1353" t="s">
        <v>90</v>
      </c>
      <c r="R1353" t="s">
        <v>43</v>
      </c>
      <c r="S1353">
        <v>3</v>
      </c>
      <c r="T1353">
        <v>24</v>
      </c>
      <c r="U1353">
        <v>3</v>
      </c>
      <c r="V1353">
        <v>22</v>
      </c>
      <c r="W1353">
        <v>17</v>
      </c>
      <c r="X1353">
        <v>4</v>
      </c>
      <c r="Y1353">
        <v>7</v>
      </c>
      <c r="Z1353" t="s">
        <v>106</v>
      </c>
      <c r="AA1353" t="s">
        <v>82</v>
      </c>
      <c r="AB1353" t="str" cm="1">
        <f t="array" ref="AB1353">_xlfn.IFS(cleaned_data[[#This Row],[YearsAtCompany]]&lt;=5, "0-5",cleaned_data[[#This Row],[YearsAtCompany]]&lt;=10,"6-10",TRUE,"10+")</f>
        <v>10+</v>
      </c>
    </row>
    <row r="1354" spans="1:28" x14ac:dyDescent="0.3">
      <c r="A1354" s="2">
        <v>44</v>
      </c>
      <c r="B1354" t="s">
        <v>43</v>
      </c>
      <c r="C1354">
        <v>0</v>
      </c>
      <c r="D1354" t="s">
        <v>36</v>
      </c>
      <c r="E1354" t="s">
        <v>45</v>
      </c>
      <c r="F1354">
        <v>1</v>
      </c>
      <c r="G1354" t="s">
        <v>38</v>
      </c>
      <c r="H1354" t="s">
        <v>1424</v>
      </c>
      <c r="I1354">
        <v>2</v>
      </c>
      <c r="J1354" t="s">
        <v>46</v>
      </c>
      <c r="K1354">
        <v>4</v>
      </c>
      <c r="L1354">
        <v>2</v>
      </c>
      <c r="M1354" t="s">
        <v>54</v>
      </c>
      <c r="N1354">
        <v>1</v>
      </c>
      <c r="O1354" t="s">
        <v>48</v>
      </c>
      <c r="P1354" s="6">
        <v>5033</v>
      </c>
      <c r="Q1354" t="s">
        <v>67</v>
      </c>
      <c r="R1354" t="s">
        <v>43</v>
      </c>
      <c r="S1354">
        <v>3</v>
      </c>
      <c r="T1354">
        <v>10</v>
      </c>
      <c r="U1354">
        <v>3</v>
      </c>
      <c r="V1354">
        <v>2</v>
      </c>
      <c r="W1354">
        <v>0</v>
      </c>
      <c r="X1354">
        <v>2</v>
      </c>
      <c r="Y1354">
        <v>2</v>
      </c>
      <c r="Z1354" t="s">
        <v>1550</v>
      </c>
      <c r="AA1354" t="s">
        <v>69</v>
      </c>
      <c r="AB1354" t="str" cm="1">
        <f t="array" ref="AB1354">_xlfn.IFS(cleaned_data[[#This Row],[YearsAtCompany]]&lt;=5, "0-5",cleaned_data[[#This Row],[YearsAtCompany]]&lt;=10,"6-10",TRUE,"10+")</f>
        <v>0-5</v>
      </c>
    </row>
    <row r="1355" spans="1:28" x14ac:dyDescent="0.3">
      <c r="A1355" s="2">
        <v>34</v>
      </c>
      <c r="B1355" t="s">
        <v>35</v>
      </c>
      <c r="C1355">
        <v>1</v>
      </c>
      <c r="D1355" t="s">
        <v>55</v>
      </c>
      <c r="E1355" t="s">
        <v>45</v>
      </c>
      <c r="F1355">
        <v>16</v>
      </c>
      <c r="G1355" t="s">
        <v>60</v>
      </c>
      <c r="H1355" t="s">
        <v>1425</v>
      </c>
      <c r="I1355">
        <v>4</v>
      </c>
      <c r="J1355" t="s">
        <v>46</v>
      </c>
      <c r="K1355">
        <v>1</v>
      </c>
      <c r="L1355">
        <v>1</v>
      </c>
      <c r="M1355" t="s">
        <v>47</v>
      </c>
      <c r="N1355">
        <v>1</v>
      </c>
      <c r="O1355" t="s">
        <v>48</v>
      </c>
      <c r="P1355" s="6">
        <v>2307</v>
      </c>
      <c r="Q1355" t="s">
        <v>72</v>
      </c>
      <c r="R1355" t="s">
        <v>35</v>
      </c>
      <c r="S1355">
        <v>4</v>
      </c>
      <c r="T1355">
        <v>5</v>
      </c>
      <c r="U1355">
        <v>3</v>
      </c>
      <c r="V1355">
        <v>5</v>
      </c>
      <c r="W1355">
        <v>2</v>
      </c>
      <c r="X1355">
        <v>3</v>
      </c>
      <c r="Y1355">
        <v>0</v>
      </c>
      <c r="Z1355" t="s">
        <v>1551</v>
      </c>
      <c r="AA1355" t="s">
        <v>78</v>
      </c>
      <c r="AB1355" t="str" cm="1">
        <f t="array" ref="AB1355">_xlfn.IFS(cleaned_data[[#This Row],[YearsAtCompany]]&lt;=5, "0-5",cleaned_data[[#This Row],[YearsAtCompany]]&lt;=10,"6-10",TRUE,"10+")</f>
        <v>0-5</v>
      </c>
    </row>
    <row r="1356" spans="1:28" x14ac:dyDescent="0.3">
      <c r="A1356" s="2">
        <v>56</v>
      </c>
      <c r="B1356" t="s">
        <v>35</v>
      </c>
      <c r="C1356">
        <v>1</v>
      </c>
      <c r="D1356" t="s">
        <v>36</v>
      </c>
      <c r="E1356" t="s">
        <v>45</v>
      </c>
      <c r="F1356">
        <v>24</v>
      </c>
      <c r="G1356" t="s">
        <v>38</v>
      </c>
      <c r="H1356" t="s">
        <v>1426</v>
      </c>
      <c r="I1356">
        <v>1</v>
      </c>
      <c r="J1356" t="s">
        <v>46</v>
      </c>
      <c r="K1356">
        <v>3</v>
      </c>
      <c r="L1356">
        <v>1</v>
      </c>
      <c r="M1356" t="s">
        <v>50</v>
      </c>
      <c r="N1356">
        <v>4</v>
      </c>
      <c r="O1356" t="s">
        <v>41</v>
      </c>
      <c r="P1356" s="1">
        <v>2587</v>
      </c>
      <c r="Q1356" t="s">
        <v>72</v>
      </c>
      <c r="R1356" t="s">
        <v>43</v>
      </c>
      <c r="S1356">
        <v>3</v>
      </c>
      <c r="T1356">
        <v>5</v>
      </c>
      <c r="U1356">
        <v>3</v>
      </c>
      <c r="V1356">
        <v>4</v>
      </c>
      <c r="W1356">
        <v>2</v>
      </c>
      <c r="X1356">
        <v>1</v>
      </c>
      <c r="Y1356">
        <v>0</v>
      </c>
      <c r="Z1356" t="s">
        <v>106</v>
      </c>
      <c r="AA1356" t="s">
        <v>78</v>
      </c>
      <c r="AB1356" t="str" cm="1">
        <f t="array" ref="AB1356">_xlfn.IFS(cleaned_data[[#This Row],[YearsAtCompany]]&lt;=5, "0-5",cleaned_data[[#This Row],[YearsAtCompany]]&lt;=10,"6-10",TRUE,"10+")</f>
        <v>0-5</v>
      </c>
    </row>
    <row r="1357" spans="1:28" x14ac:dyDescent="0.3">
      <c r="A1357" s="2">
        <v>36</v>
      </c>
      <c r="B1357" t="s">
        <v>43</v>
      </c>
      <c r="C1357">
        <v>0</v>
      </c>
      <c r="D1357" t="s">
        <v>36</v>
      </c>
      <c r="E1357" t="s">
        <v>37</v>
      </c>
      <c r="F1357">
        <v>17</v>
      </c>
      <c r="G1357" t="s">
        <v>59</v>
      </c>
      <c r="H1357" t="s">
        <v>1427</v>
      </c>
      <c r="I1357">
        <v>3</v>
      </c>
      <c r="J1357" t="s">
        <v>46</v>
      </c>
      <c r="K1357">
        <v>2</v>
      </c>
      <c r="L1357">
        <v>2</v>
      </c>
      <c r="M1357" t="s">
        <v>40</v>
      </c>
      <c r="N1357">
        <v>2</v>
      </c>
      <c r="O1357" t="s">
        <v>48</v>
      </c>
      <c r="P1357" s="1">
        <v>5507</v>
      </c>
      <c r="Q1357" t="s">
        <v>67</v>
      </c>
      <c r="R1357" t="s">
        <v>43</v>
      </c>
      <c r="S1357">
        <v>3</v>
      </c>
      <c r="T1357">
        <v>12</v>
      </c>
      <c r="U1357">
        <v>1</v>
      </c>
      <c r="V1357">
        <v>4</v>
      </c>
      <c r="W1357">
        <v>2</v>
      </c>
      <c r="X1357">
        <v>1</v>
      </c>
      <c r="Y1357">
        <v>3</v>
      </c>
      <c r="Z1357" t="s">
        <v>1550</v>
      </c>
      <c r="AA1357" t="s">
        <v>69</v>
      </c>
      <c r="AB1357" t="str" cm="1">
        <f t="array" ref="AB1357">_xlfn.IFS(cleaned_data[[#This Row],[YearsAtCompany]]&lt;=5, "0-5",cleaned_data[[#This Row],[YearsAtCompany]]&lt;=10,"6-10",TRUE,"10+")</f>
        <v>0-5</v>
      </c>
    </row>
    <row r="1358" spans="1:28" x14ac:dyDescent="0.3">
      <c r="A1358" s="2">
        <v>41</v>
      </c>
      <c r="B1358" t="s">
        <v>43</v>
      </c>
      <c r="C1358">
        <v>0</v>
      </c>
      <c r="D1358" t="s">
        <v>36</v>
      </c>
      <c r="E1358" t="s">
        <v>37</v>
      </c>
      <c r="F1358">
        <v>8</v>
      </c>
      <c r="G1358" t="s">
        <v>59</v>
      </c>
      <c r="H1358" t="s">
        <v>1428</v>
      </c>
      <c r="I1358">
        <v>3</v>
      </c>
      <c r="J1358" t="s">
        <v>39</v>
      </c>
      <c r="K1358">
        <v>3</v>
      </c>
      <c r="L1358">
        <v>2</v>
      </c>
      <c r="M1358" t="s">
        <v>40</v>
      </c>
      <c r="N1358">
        <v>2</v>
      </c>
      <c r="O1358" t="s">
        <v>48</v>
      </c>
      <c r="P1358" s="1">
        <v>4393</v>
      </c>
      <c r="Q1358" t="s">
        <v>72</v>
      </c>
      <c r="R1358" t="s">
        <v>43</v>
      </c>
      <c r="S1358">
        <v>4</v>
      </c>
      <c r="T1358">
        <v>14</v>
      </c>
      <c r="U1358">
        <v>3</v>
      </c>
      <c r="V1358">
        <v>5</v>
      </c>
      <c r="W1358">
        <v>4</v>
      </c>
      <c r="X1358">
        <v>1</v>
      </c>
      <c r="Y1358">
        <v>4</v>
      </c>
      <c r="Z1358" t="s">
        <v>1550</v>
      </c>
      <c r="AA1358" t="s">
        <v>69</v>
      </c>
      <c r="AB1358" t="str" cm="1">
        <f t="array" ref="AB1358">_xlfn.IFS(cleaned_data[[#This Row],[YearsAtCompany]]&lt;=5, "0-5",cleaned_data[[#This Row],[YearsAtCompany]]&lt;=10,"6-10",TRUE,"10+")</f>
        <v>0-5</v>
      </c>
    </row>
    <row r="1359" spans="1:28" x14ac:dyDescent="0.3">
      <c r="A1359" s="2">
        <v>42</v>
      </c>
      <c r="B1359" t="s">
        <v>43</v>
      </c>
      <c r="C1359">
        <v>0</v>
      </c>
      <c r="D1359" t="s">
        <v>36</v>
      </c>
      <c r="E1359" t="s">
        <v>45</v>
      </c>
      <c r="F1359">
        <v>6</v>
      </c>
      <c r="G1359" t="s">
        <v>51</v>
      </c>
      <c r="H1359" t="s">
        <v>1429</v>
      </c>
      <c r="I1359">
        <v>3</v>
      </c>
      <c r="J1359" t="s">
        <v>46</v>
      </c>
      <c r="K1359">
        <v>3</v>
      </c>
      <c r="L1359">
        <v>3</v>
      </c>
      <c r="M1359" t="s">
        <v>58</v>
      </c>
      <c r="N1359">
        <v>1</v>
      </c>
      <c r="O1359" t="s">
        <v>48</v>
      </c>
      <c r="P1359" s="6">
        <v>13348</v>
      </c>
      <c r="Q1359" t="s">
        <v>90</v>
      </c>
      <c r="R1359" t="s">
        <v>43</v>
      </c>
      <c r="S1359">
        <v>3</v>
      </c>
      <c r="T1359">
        <v>18</v>
      </c>
      <c r="U1359">
        <v>4</v>
      </c>
      <c r="V1359">
        <v>13</v>
      </c>
      <c r="W1359">
        <v>7</v>
      </c>
      <c r="X1359">
        <v>5</v>
      </c>
      <c r="Y1359">
        <v>7</v>
      </c>
      <c r="Z1359" t="s">
        <v>1550</v>
      </c>
      <c r="AA1359" t="s">
        <v>82</v>
      </c>
      <c r="AB1359" t="str" cm="1">
        <f t="array" ref="AB1359">_xlfn.IFS(cleaned_data[[#This Row],[YearsAtCompany]]&lt;=5, "0-5",cleaned_data[[#This Row],[YearsAtCompany]]&lt;=10,"6-10",TRUE,"10+")</f>
        <v>10+</v>
      </c>
    </row>
    <row r="1360" spans="1:28" x14ac:dyDescent="0.3">
      <c r="A1360" s="2">
        <v>31</v>
      </c>
      <c r="B1360" t="s">
        <v>43</v>
      </c>
      <c r="C1360">
        <v>0</v>
      </c>
      <c r="D1360" t="s">
        <v>36</v>
      </c>
      <c r="E1360" t="s">
        <v>37</v>
      </c>
      <c r="F1360">
        <v>10</v>
      </c>
      <c r="G1360" t="s">
        <v>51</v>
      </c>
      <c r="H1360" t="s">
        <v>1430</v>
      </c>
      <c r="I1360">
        <v>3</v>
      </c>
      <c r="J1360" t="s">
        <v>39</v>
      </c>
      <c r="K1360">
        <v>3</v>
      </c>
      <c r="L1360">
        <v>2</v>
      </c>
      <c r="M1360" t="s">
        <v>40</v>
      </c>
      <c r="N1360">
        <v>4</v>
      </c>
      <c r="O1360" t="s">
        <v>52</v>
      </c>
      <c r="P1360" s="1">
        <v>6583</v>
      </c>
      <c r="Q1360" t="s">
        <v>67</v>
      </c>
      <c r="R1360" t="s">
        <v>35</v>
      </c>
      <c r="S1360">
        <v>3</v>
      </c>
      <c r="T1360">
        <v>8</v>
      </c>
      <c r="U1360">
        <v>3</v>
      </c>
      <c r="V1360">
        <v>5</v>
      </c>
      <c r="W1360">
        <v>2</v>
      </c>
      <c r="X1360">
        <v>1</v>
      </c>
      <c r="Y1360">
        <v>4</v>
      </c>
      <c r="Z1360" t="s">
        <v>1551</v>
      </c>
      <c r="AA1360" t="s">
        <v>69</v>
      </c>
      <c r="AB1360" t="str" cm="1">
        <f t="array" ref="AB1360">_xlfn.IFS(cleaned_data[[#This Row],[YearsAtCompany]]&lt;=5, "0-5",cleaned_data[[#This Row],[YearsAtCompany]]&lt;=10,"6-10",TRUE,"10+")</f>
        <v>0-5</v>
      </c>
    </row>
    <row r="1361" spans="1:28" x14ac:dyDescent="0.3">
      <c r="A1361" s="2">
        <v>34</v>
      </c>
      <c r="B1361" t="s">
        <v>43</v>
      </c>
      <c r="C1361">
        <v>0</v>
      </c>
      <c r="D1361" t="s">
        <v>36</v>
      </c>
      <c r="E1361" t="s">
        <v>37</v>
      </c>
      <c r="F1361">
        <v>3</v>
      </c>
      <c r="G1361" t="s">
        <v>51</v>
      </c>
      <c r="H1361" t="s">
        <v>1431</v>
      </c>
      <c r="I1361">
        <v>4</v>
      </c>
      <c r="J1361" t="s">
        <v>39</v>
      </c>
      <c r="K1361">
        <v>2</v>
      </c>
      <c r="L1361">
        <v>2</v>
      </c>
      <c r="M1361" t="s">
        <v>40</v>
      </c>
      <c r="N1361">
        <v>4</v>
      </c>
      <c r="O1361" t="s">
        <v>48</v>
      </c>
      <c r="P1361" s="1">
        <v>8103</v>
      </c>
      <c r="Q1361" t="s">
        <v>67</v>
      </c>
      <c r="R1361" t="s">
        <v>35</v>
      </c>
      <c r="S1361">
        <v>3</v>
      </c>
      <c r="T1361">
        <v>9</v>
      </c>
      <c r="U1361">
        <v>2</v>
      </c>
      <c r="V1361">
        <v>4</v>
      </c>
      <c r="W1361">
        <v>2</v>
      </c>
      <c r="X1361">
        <v>0</v>
      </c>
      <c r="Y1361">
        <v>1</v>
      </c>
      <c r="Z1361" t="s">
        <v>1551</v>
      </c>
      <c r="AA1361" t="s">
        <v>69</v>
      </c>
      <c r="AB1361" t="str" cm="1">
        <f t="array" ref="AB1361">_xlfn.IFS(cleaned_data[[#This Row],[YearsAtCompany]]&lt;=5, "0-5",cleaned_data[[#This Row],[YearsAtCompany]]&lt;=10,"6-10",TRUE,"10+")</f>
        <v>0-5</v>
      </c>
    </row>
    <row r="1362" spans="1:28" x14ac:dyDescent="0.3">
      <c r="A1362" s="2">
        <v>31</v>
      </c>
      <c r="B1362" t="s">
        <v>43</v>
      </c>
      <c r="C1362">
        <v>0</v>
      </c>
      <c r="D1362" t="s">
        <v>36</v>
      </c>
      <c r="E1362" t="s">
        <v>45</v>
      </c>
      <c r="F1362">
        <v>4</v>
      </c>
      <c r="G1362" t="s">
        <v>51</v>
      </c>
      <c r="H1362" t="s">
        <v>1432</v>
      </c>
      <c r="I1362">
        <v>1</v>
      </c>
      <c r="J1362" t="s">
        <v>39</v>
      </c>
      <c r="K1362">
        <v>4</v>
      </c>
      <c r="L1362">
        <v>1</v>
      </c>
      <c r="M1362" t="s">
        <v>50</v>
      </c>
      <c r="N1362">
        <v>3</v>
      </c>
      <c r="O1362" t="s">
        <v>52</v>
      </c>
      <c r="P1362" s="1">
        <v>3978</v>
      </c>
      <c r="Q1362" t="s">
        <v>72</v>
      </c>
      <c r="R1362" t="s">
        <v>43</v>
      </c>
      <c r="S1362">
        <v>3</v>
      </c>
      <c r="T1362">
        <v>4</v>
      </c>
      <c r="U1362">
        <v>2</v>
      </c>
      <c r="V1362">
        <v>2</v>
      </c>
      <c r="W1362">
        <v>2</v>
      </c>
      <c r="X1362">
        <v>2</v>
      </c>
      <c r="Y1362">
        <v>2</v>
      </c>
      <c r="Z1362" t="s">
        <v>1551</v>
      </c>
      <c r="AA1362" t="s">
        <v>78</v>
      </c>
      <c r="AB1362" t="str" cm="1">
        <f t="array" ref="AB1362">_xlfn.IFS(cleaned_data[[#This Row],[YearsAtCompany]]&lt;=5, "0-5",cleaned_data[[#This Row],[YearsAtCompany]]&lt;=10,"6-10",TRUE,"10+")</f>
        <v>0-5</v>
      </c>
    </row>
    <row r="1363" spans="1:28" x14ac:dyDescent="0.3">
      <c r="A1363" s="2">
        <v>26</v>
      </c>
      <c r="B1363" t="s">
        <v>43</v>
      </c>
      <c r="C1363">
        <v>0</v>
      </c>
      <c r="D1363" t="s">
        <v>44</v>
      </c>
      <c r="E1363" t="s">
        <v>45</v>
      </c>
      <c r="F1363">
        <v>6</v>
      </c>
      <c r="G1363" t="s">
        <v>49</v>
      </c>
      <c r="H1363" t="s">
        <v>1433</v>
      </c>
      <c r="I1363">
        <v>3</v>
      </c>
      <c r="J1363" t="s">
        <v>46</v>
      </c>
      <c r="K1363">
        <v>4</v>
      </c>
      <c r="L1363">
        <v>1</v>
      </c>
      <c r="M1363" t="s">
        <v>50</v>
      </c>
      <c r="N1363">
        <v>4</v>
      </c>
      <c r="O1363" t="s">
        <v>48</v>
      </c>
      <c r="P1363" s="1">
        <v>2544</v>
      </c>
      <c r="Q1363" t="s">
        <v>72</v>
      </c>
      <c r="R1363" t="s">
        <v>43</v>
      </c>
      <c r="S1363">
        <v>3</v>
      </c>
      <c r="T1363">
        <v>8</v>
      </c>
      <c r="U1363">
        <v>3</v>
      </c>
      <c r="V1363">
        <v>7</v>
      </c>
      <c r="W1363">
        <v>7</v>
      </c>
      <c r="X1363">
        <v>7</v>
      </c>
      <c r="Y1363">
        <v>7</v>
      </c>
      <c r="Z1363" t="s">
        <v>1551</v>
      </c>
      <c r="AA1363" t="s">
        <v>69</v>
      </c>
      <c r="AB1363" t="str" cm="1">
        <f t="array" ref="AB1363">_xlfn.IFS(cleaned_data[[#This Row],[YearsAtCompany]]&lt;=5, "0-5",cleaned_data[[#This Row],[YearsAtCompany]]&lt;=10,"6-10",TRUE,"10+")</f>
        <v>6-10</v>
      </c>
    </row>
    <row r="1364" spans="1:28" x14ac:dyDescent="0.3">
      <c r="A1364" s="2">
        <v>45</v>
      </c>
      <c r="B1364" t="s">
        <v>43</v>
      </c>
      <c r="C1364">
        <v>0</v>
      </c>
      <c r="D1364" t="s">
        <v>44</v>
      </c>
      <c r="E1364" t="s">
        <v>45</v>
      </c>
      <c r="F1364">
        <v>1</v>
      </c>
      <c r="G1364" t="s">
        <v>51</v>
      </c>
      <c r="H1364" t="s">
        <v>1434</v>
      </c>
      <c r="I1364">
        <v>2</v>
      </c>
      <c r="J1364" t="s">
        <v>46</v>
      </c>
      <c r="K1364">
        <v>3</v>
      </c>
      <c r="L1364">
        <v>2</v>
      </c>
      <c r="M1364" t="s">
        <v>54</v>
      </c>
      <c r="N1364">
        <v>3</v>
      </c>
      <c r="O1364" t="s">
        <v>41</v>
      </c>
      <c r="P1364" s="1">
        <v>5399</v>
      </c>
      <c r="Q1364" t="s">
        <v>67</v>
      </c>
      <c r="R1364" t="s">
        <v>43</v>
      </c>
      <c r="S1364">
        <v>3</v>
      </c>
      <c r="T1364">
        <v>12</v>
      </c>
      <c r="U1364">
        <v>3</v>
      </c>
      <c r="V1364">
        <v>4</v>
      </c>
      <c r="W1364">
        <v>2</v>
      </c>
      <c r="X1364">
        <v>0</v>
      </c>
      <c r="Y1364">
        <v>3</v>
      </c>
      <c r="Z1364" t="s">
        <v>1550</v>
      </c>
      <c r="AA1364" t="s">
        <v>69</v>
      </c>
      <c r="AB1364" t="str" cm="1">
        <f t="array" ref="AB1364">_xlfn.IFS(cleaned_data[[#This Row],[YearsAtCompany]]&lt;=5, "0-5",cleaned_data[[#This Row],[YearsAtCompany]]&lt;=10,"6-10",TRUE,"10+")</f>
        <v>0-5</v>
      </c>
    </row>
    <row r="1365" spans="1:28" x14ac:dyDescent="0.3">
      <c r="A1365" s="2">
        <v>33</v>
      </c>
      <c r="B1365" t="s">
        <v>43</v>
      </c>
      <c r="C1365">
        <v>0</v>
      </c>
      <c r="D1365" t="s">
        <v>36</v>
      </c>
      <c r="E1365" t="s">
        <v>37</v>
      </c>
      <c r="F1365">
        <v>10</v>
      </c>
      <c r="G1365" t="s">
        <v>59</v>
      </c>
      <c r="H1365" t="s">
        <v>1435</v>
      </c>
      <c r="I1365">
        <v>2</v>
      </c>
      <c r="J1365" t="s">
        <v>46</v>
      </c>
      <c r="K1365">
        <v>3</v>
      </c>
      <c r="L1365">
        <v>2</v>
      </c>
      <c r="M1365" t="s">
        <v>40</v>
      </c>
      <c r="N1365">
        <v>3</v>
      </c>
      <c r="O1365" t="s">
        <v>41</v>
      </c>
      <c r="P1365" s="1">
        <v>5487</v>
      </c>
      <c r="Q1365" t="s">
        <v>67</v>
      </c>
      <c r="R1365" t="s">
        <v>43</v>
      </c>
      <c r="S1365">
        <v>3</v>
      </c>
      <c r="T1365">
        <v>10</v>
      </c>
      <c r="U1365">
        <v>2</v>
      </c>
      <c r="V1365">
        <v>10</v>
      </c>
      <c r="W1365">
        <v>4</v>
      </c>
      <c r="X1365">
        <v>0</v>
      </c>
      <c r="Y1365">
        <v>9</v>
      </c>
      <c r="Z1365" t="s">
        <v>1551</v>
      </c>
      <c r="AA1365" t="s">
        <v>69</v>
      </c>
      <c r="AB1365" t="str" cm="1">
        <f t="array" ref="AB1365">_xlfn.IFS(cleaned_data[[#This Row],[YearsAtCompany]]&lt;=5, "0-5",cleaned_data[[#This Row],[YearsAtCompany]]&lt;=10,"6-10",TRUE,"10+")</f>
        <v>6-10</v>
      </c>
    </row>
    <row r="1366" spans="1:28" x14ac:dyDescent="0.3">
      <c r="A1366" s="2">
        <v>28</v>
      </c>
      <c r="B1366" t="s">
        <v>43</v>
      </c>
      <c r="C1366">
        <v>0</v>
      </c>
      <c r="D1366" t="s">
        <v>44</v>
      </c>
      <c r="E1366" t="s">
        <v>37</v>
      </c>
      <c r="F1366">
        <v>1</v>
      </c>
      <c r="G1366" t="s">
        <v>38</v>
      </c>
      <c r="H1366" t="s">
        <v>1436</v>
      </c>
      <c r="I1366">
        <v>3</v>
      </c>
      <c r="J1366" t="s">
        <v>46</v>
      </c>
      <c r="K1366">
        <v>2</v>
      </c>
      <c r="L1366">
        <v>2</v>
      </c>
      <c r="M1366" t="s">
        <v>40</v>
      </c>
      <c r="N1366">
        <v>4</v>
      </c>
      <c r="O1366" t="s">
        <v>48</v>
      </c>
      <c r="P1366" s="1">
        <v>6834</v>
      </c>
      <c r="Q1366" t="s">
        <v>67</v>
      </c>
      <c r="R1366" t="s">
        <v>35</v>
      </c>
      <c r="S1366">
        <v>3</v>
      </c>
      <c r="T1366">
        <v>7</v>
      </c>
      <c r="U1366">
        <v>3</v>
      </c>
      <c r="V1366">
        <v>7</v>
      </c>
      <c r="W1366">
        <v>7</v>
      </c>
      <c r="X1366">
        <v>0</v>
      </c>
      <c r="Y1366">
        <v>7</v>
      </c>
      <c r="Z1366" t="s">
        <v>1551</v>
      </c>
      <c r="AA1366" t="s">
        <v>69</v>
      </c>
      <c r="AB1366" t="str" cm="1">
        <f t="array" ref="AB1366">_xlfn.IFS(cleaned_data[[#This Row],[YearsAtCompany]]&lt;=5, "0-5",cleaned_data[[#This Row],[YearsAtCompany]]&lt;=10,"6-10",TRUE,"10+")</f>
        <v>6-10</v>
      </c>
    </row>
    <row r="1367" spans="1:28" x14ac:dyDescent="0.3">
      <c r="A1367" s="2">
        <v>29</v>
      </c>
      <c r="B1367" t="s">
        <v>35</v>
      </c>
      <c r="C1367">
        <v>1</v>
      </c>
      <c r="D1367" t="s">
        <v>44</v>
      </c>
      <c r="E1367" t="s">
        <v>37</v>
      </c>
      <c r="F1367">
        <v>24</v>
      </c>
      <c r="G1367" t="s">
        <v>60</v>
      </c>
      <c r="H1367" t="s">
        <v>1437</v>
      </c>
      <c r="I1367">
        <v>3</v>
      </c>
      <c r="J1367" t="s">
        <v>46</v>
      </c>
      <c r="K1367">
        <v>4</v>
      </c>
      <c r="L1367">
        <v>1</v>
      </c>
      <c r="M1367" t="s">
        <v>57</v>
      </c>
      <c r="N1367">
        <v>1</v>
      </c>
      <c r="O1367" t="s">
        <v>41</v>
      </c>
      <c r="P1367" s="6">
        <v>1091</v>
      </c>
      <c r="Q1367" t="s">
        <v>72</v>
      </c>
      <c r="R1367" t="s">
        <v>43</v>
      </c>
      <c r="S1367">
        <v>3</v>
      </c>
      <c r="T1367">
        <v>1</v>
      </c>
      <c r="U1367">
        <v>3</v>
      </c>
      <c r="V1367">
        <v>1</v>
      </c>
      <c r="W1367">
        <v>0</v>
      </c>
      <c r="X1367">
        <v>0</v>
      </c>
      <c r="Y1367">
        <v>0</v>
      </c>
      <c r="Z1367" t="s">
        <v>1551</v>
      </c>
      <c r="AA1367" t="s">
        <v>78</v>
      </c>
      <c r="AB1367" t="str" cm="1">
        <f t="array" ref="AB1367">_xlfn.IFS(cleaned_data[[#This Row],[YearsAtCompany]]&lt;=5, "0-5",cleaned_data[[#This Row],[YearsAtCompany]]&lt;=10,"6-10",TRUE,"10+")</f>
        <v>0-5</v>
      </c>
    </row>
    <row r="1368" spans="1:28" x14ac:dyDescent="0.3">
      <c r="A1368" s="2">
        <v>39</v>
      </c>
      <c r="B1368" t="s">
        <v>43</v>
      </c>
      <c r="C1368">
        <v>0</v>
      </c>
      <c r="D1368" t="s">
        <v>55</v>
      </c>
      <c r="E1368" t="s">
        <v>37</v>
      </c>
      <c r="F1368">
        <v>21</v>
      </c>
      <c r="G1368" t="s">
        <v>38</v>
      </c>
      <c r="H1368" t="s">
        <v>1438</v>
      </c>
      <c r="I1368">
        <v>1</v>
      </c>
      <c r="J1368" t="s">
        <v>39</v>
      </c>
      <c r="K1368">
        <v>1</v>
      </c>
      <c r="L1368">
        <v>2</v>
      </c>
      <c r="M1368" t="s">
        <v>40</v>
      </c>
      <c r="N1368">
        <v>3</v>
      </c>
      <c r="O1368" t="s">
        <v>48</v>
      </c>
      <c r="P1368" s="1">
        <v>5736</v>
      </c>
      <c r="Q1368" t="s">
        <v>67</v>
      </c>
      <c r="R1368" t="s">
        <v>43</v>
      </c>
      <c r="S1368">
        <v>3</v>
      </c>
      <c r="T1368">
        <v>10</v>
      </c>
      <c r="U1368">
        <v>3</v>
      </c>
      <c r="V1368">
        <v>3</v>
      </c>
      <c r="W1368">
        <v>2</v>
      </c>
      <c r="X1368">
        <v>1</v>
      </c>
      <c r="Y1368">
        <v>2</v>
      </c>
      <c r="Z1368" t="s">
        <v>1550</v>
      </c>
      <c r="AA1368" t="s">
        <v>69</v>
      </c>
      <c r="AB1368" t="str" cm="1">
        <f t="array" ref="AB1368">_xlfn.IFS(cleaned_data[[#This Row],[YearsAtCompany]]&lt;=5, "0-5",cleaned_data[[#This Row],[YearsAtCompany]]&lt;=10,"6-10",TRUE,"10+")</f>
        <v>0-5</v>
      </c>
    </row>
    <row r="1369" spans="1:28" x14ac:dyDescent="0.3">
      <c r="A1369" s="2">
        <v>27</v>
      </c>
      <c r="B1369" t="s">
        <v>43</v>
      </c>
      <c r="C1369">
        <v>0</v>
      </c>
      <c r="D1369" t="s">
        <v>36</v>
      </c>
      <c r="E1369" t="s">
        <v>45</v>
      </c>
      <c r="F1369">
        <v>2</v>
      </c>
      <c r="G1369" t="s">
        <v>60</v>
      </c>
      <c r="H1369" t="s">
        <v>1439</v>
      </c>
      <c r="I1369">
        <v>2</v>
      </c>
      <c r="J1369" t="s">
        <v>46</v>
      </c>
      <c r="K1369">
        <v>3</v>
      </c>
      <c r="L1369">
        <v>1</v>
      </c>
      <c r="M1369" t="s">
        <v>47</v>
      </c>
      <c r="N1369">
        <v>2</v>
      </c>
      <c r="O1369" t="s">
        <v>48</v>
      </c>
      <c r="P1369" s="1">
        <v>2226</v>
      </c>
      <c r="Q1369" t="s">
        <v>72</v>
      </c>
      <c r="R1369" t="s">
        <v>43</v>
      </c>
      <c r="S1369">
        <v>3</v>
      </c>
      <c r="T1369">
        <v>6</v>
      </c>
      <c r="U1369">
        <v>2</v>
      </c>
      <c r="V1369">
        <v>5</v>
      </c>
      <c r="W1369">
        <v>3</v>
      </c>
      <c r="X1369">
        <v>1</v>
      </c>
      <c r="Y1369">
        <v>2</v>
      </c>
      <c r="Z1369" t="s">
        <v>1551</v>
      </c>
      <c r="AA1369" t="s">
        <v>69</v>
      </c>
      <c r="AB1369" t="str" cm="1">
        <f t="array" ref="AB1369">_xlfn.IFS(cleaned_data[[#This Row],[YearsAtCompany]]&lt;=5, "0-5",cleaned_data[[#This Row],[YearsAtCompany]]&lt;=10,"6-10",TRUE,"10+")</f>
        <v>0-5</v>
      </c>
    </row>
    <row r="1370" spans="1:28" x14ac:dyDescent="0.3">
      <c r="A1370" s="2">
        <v>34</v>
      </c>
      <c r="B1370" t="s">
        <v>43</v>
      </c>
      <c r="C1370">
        <v>0</v>
      </c>
      <c r="D1370" t="s">
        <v>44</v>
      </c>
      <c r="E1370" t="s">
        <v>45</v>
      </c>
      <c r="F1370">
        <v>22</v>
      </c>
      <c r="G1370" t="s">
        <v>49</v>
      </c>
      <c r="H1370" t="s">
        <v>1440</v>
      </c>
      <c r="I1370">
        <v>3</v>
      </c>
      <c r="J1370" t="s">
        <v>46</v>
      </c>
      <c r="K1370">
        <v>2</v>
      </c>
      <c r="L1370">
        <v>2</v>
      </c>
      <c r="M1370" t="s">
        <v>47</v>
      </c>
      <c r="N1370">
        <v>4</v>
      </c>
      <c r="O1370" t="s">
        <v>48</v>
      </c>
      <c r="P1370" s="1">
        <v>5747</v>
      </c>
      <c r="Q1370" t="s">
        <v>67</v>
      </c>
      <c r="R1370" t="s">
        <v>35</v>
      </c>
      <c r="S1370">
        <v>3</v>
      </c>
      <c r="T1370">
        <v>16</v>
      </c>
      <c r="U1370">
        <v>3</v>
      </c>
      <c r="V1370">
        <v>15</v>
      </c>
      <c r="W1370">
        <v>10</v>
      </c>
      <c r="X1370">
        <v>6</v>
      </c>
      <c r="Y1370">
        <v>11</v>
      </c>
      <c r="Z1370" t="s">
        <v>1551</v>
      </c>
      <c r="AA1370" t="s">
        <v>82</v>
      </c>
      <c r="AB1370" t="str" cm="1">
        <f t="array" ref="AB1370">_xlfn.IFS(cleaned_data[[#This Row],[YearsAtCompany]]&lt;=5, "0-5",cleaned_data[[#This Row],[YearsAtCompany]]&lt;=10,"6-10",TRUE,"10+")</f>
        <v>10+</v>
      </c>
    </row>
    <row r="1371" spans="1:28" x14ac:dyDescent="0.3">
      <c r="A1371" s="2">
        <v>28</v>
      </c>
      <c r="B1371" t="s">
        <v>35</v>
      </c>
      <c r="C1371">
        <v>1</v>
      </c>
      <c r="D1371" t="s">
        <v>36</v>
      </c>
      <c r="E1371" t="s">
        <v>37</v>
      </c>
      <c r="F1371">
        <v>13</v>
      </c>
      <c r="G1371" t="s">
        <v>59</v>
      </c>
      <c r="H1371" t="s">
        <v>1441</v>
      </c>
      <c r="I1371">
        <v>4</v>
      </c>
      <c r="J1371" t="s">
        <v>39</v>
      </c>
      <c r="K1371">
        <v>3</v>
      </c>
      <c r="L1371">
        <v>2</v>
      </c>
      <c r="M1371" t="s">
        <v>40</v>
      </c>
      <c r="N1371">
        <v>3</v>
      </c>
      <c r="O1371" t="s">
        <v>41</v>
      </c>
      <c r="P1371" s="1">
        <v>9854</v>
      </c>
      <c r="Q1371" t="s">
        <v>67</v>
      </c>
      <c r="R1371" t="s">
        <v>35</v>
      </c>
      <c r="S1371">
        <v>3</v>
      </c>
      <c r="T1371">
        <v>6</v>
      </c>
      <c r="U1371">
        <v>3</v>
      </c>
      <c r="V1371">
        <v>2</v>
      </c>
      <c r="W1371">
        <v>0</v>
      </c>
      <c r="X1371">
        <v>2</v>
      </c>
      <c r="Y1371">
        <v>2</v>
      </c>
      <c r="Z1371" t="s">
        <v>1551</v>
      </c>
      <c r="AA1371" t="s">
        <v>69</v>
      </c>
      <c r="AB1371" t="str" cm="1">
        <f t="array" ref="AB1371">_xlfn.IFS(cleaned_data[[#This Row],[YearsAtCompany]]&lt;=5, "0-5",cleaned_data[[#This Row],[YearsAtCompany]]&lt;=10,"6-10",TRUE,"10+")</f>
        <v>0-5</v>
      </c>
    </row>
    <row r="1372" spans="1:28" x14ac:dyDescent="0.3">
      <c r="A1372" s="2">
        <v>47</v>
      </c>
      <c r="B1372" t="s">
        <v>43</v>
      </c>
      <c r="C1372">
        <v>0</v>
      </c>
      <c r="D1372" t="s">
        <v>55</v>
      </c>
      <c r="E1372" t="s">
        <v>45</v>
      </c>
      <c r="F1372">
        <v>14</v>
      </c>
      <c r="G1372" t="s">
        <v>60</v>
      </c>
      <c r="H1372" t="s">
        <v>1442</v>
      </c>
      <c r="I1372">
        <v>3</v>
      </c>
      <c r="J1372" t="s">
        <v>46</v>
      </c>
      <c r="K1372">
        <v>3</v>
      </c>
      <c r="L1372">
        <v>2</v>
      </c>
      <c r="M1372" t="s">
        <v>47</v>
      </c>
      <c r="N1372">
        <v>2</v>
      </c>
      <c r="O1372" t="s">
        <v>48</v>
      </c>
      <c r="P1372" s="1">
        <v>5467</v>
      </c>
      <c r="Q1372" t="s">
        <v>67</v>
      </c>
      <c r="R1372" t="s">
        <v>43</v>
      </c>
      <c r="S1372">
        <v>3</v>
      </c>
      <c r="T1372">
        <v>16</v>
      </c>
      <c r="U1372">
        <v>4</v>
      </c>
      <c r="V1372">
        <v>8</v>
      </c>
      <c r="W1372">
        <v>7</v>
      </c>
      <c r="X1372">
        <v>1</v>
      </c>
      <c r="Y1372">
        <v>7</v>
      </c>
      <c r="Z1372" t="s">
        <v>106</v>
      </c>
      <c r="AA1372" t="s">
        <v>82</v>
      </c>
      <c r="AB1372" t="str" cm="1">
        <f t="array" ref="AB1372">_xlfn.IFS(cleaned_data[[#This Row],[YearsAtCompany]]&lt;=5, "0-5",cleaned_data[[#This Row],[YearsAtCompany]]&lt;=10,"6-10",TRUE,"10+")</f>
        <v>6-10</v>
      </c>
    </row>
    <row r="1373" spans="1:28" x14ac:dyDescent="0.3">
      <c r="A1373" s="2">
        <v>56</v>
      </c>
      <c r="B1373" t="s">
        <v>43</v>
      </c>
      <c r="C1373">
        <v>0</v>
      </c>
      <c r="D1373" t="s">
        <v>36</v>
      </c>
      <c r="E1373" t="s">
        <v>37</v>
      </c>
      <c r="F1373">
        <v>11</v>
      </c>
      <c r="G1373" t="s">
        <v>59</v>
      </c>
      <c r="H1373" t="s">
        <v>1443</v>
      </c>
      <c r="I1373">
        <v>4</v>
      </c>
      <c r="J1373" t="s">
        <v>39</v>
      </c>
      <c r="K1373">
        <v>2</v>
      </c>
      <c r="L1373">
        <v>2</v>
      </c>
      <c r="M1373" t="s">
        <v>40</v>
      </c>
      <c r="N1373">
        <v>1</v>
      </c>
      <c r="O1373" t="s">
        <v>48</v>
      </c>
      <c r="P1373" s="6">
        <v>5380</v>
      </c>
      <c r="Q1373" t="s">
        <v>67</v>
      </c>
      <c r="R1373" t="s">
        <v>43</v>
      </c>
      <c r="S1373">
        <v>3</v>
      </c>
      <c r="T1373">
        <v>6</v>
      </c>
      <c r="U1373">
        <v>3</v>
      </c>
      <c r="V1373">
        <v>0</v>
      </c>
      <c r="W1373">
        <v>0</v>
      </c>
      <c r="X1373">
        <v>0</v>
      </c>
      <c r="Y1373">
        <v>0</v>
      </c>
      <c r="Z1373" t="s">
        <v>106</v>
      </c>
      <c r="AA1373" t="s">
        <v>69</v>
      </c>
      <c r="AB1373" t="str" cm="1">
        <f t="array" ref="AB1373">_xlfn.IFS(cleaned_data[[#This Row],[YearsAtCompany]]&lt;=5, "0-5",cleaned_data[[#This Row],[YearsAtCompany]]&lt;=10,"6-10",TRUE,"10+")</f>
        <v>0-5</v>
      </c>
    </row>
    <row r="1374" spans="1:28" x14ac:dyDescent="0.3">
      <c r="A1374" s="2">
        <v>39</v>
      </c>
      <c r="B1374" t="s">
        <v>43</v>
      </c>
      <c r="C1374">
        <v>0</v>
      </c>
      <c r="D1374" t="s">
        <v>36</v>
      </c>
      <c r="E1374" t="s">
        <v>45</v>
      </c>
      <c r="F1374">
        <v>9</v>
      </c>
      <c r="G1374" t="s">
        <v>51</v>
      </c>
      <c r="H1374" t="s">
        <v>1444</v>
      </c>
      <c r="I1374">
        <v>1</v>
      </c>
      <c r="J1374" t="s">
        <v>46</v>
      </c>
      <c r="K1374">
        <v>3</v>
      </c>
      <c r="L1374">
        <v>2</v>
      </c>
      <c r="M1374" t="s">
        <v>53</v>
      </c>
      <c r="N1374">
        <v>1</v>
      </c>
      <c r="O1374" t="s">
        <v>48</v>
      </c>
      <c r="P1374" s="6">
        <v>5151</v>
      </c>
      <c r="Q1374" t="s">
        <v>67</v>
      </c>
      <c r="R1374" t="s">
        <v>43</v>
      </c>
      <c r="S1374">
        <v>4</v>
      </c>
      <c r="T1374">
        <v>10</v>
      </c>
      <c r="U1374">
        <v>3</v>
      </c>
      <c r="V1374">
        <v>10</v>
      </c>
      <c r="W1374">
        <v>0</v>
      </c>
      <c r="X1374">
        <v>7</v>
      </c>
      <c r="Y1374">
        <v>9</v>
      </c>
      <c r="Z1374" t="s">
        <v>1550</v>
      </c>
      <c r="AA1374" t="s">
        <v>69</v>
      </c>
      <c r="AB1374" t="str" cm="1">
        <f t="array" ref="AB1374">_xlfn.IFS(cleaned_data[[#This Row],[YearsAtCompany]]&lt;=5, "0-5",cleaned_data[[#This Row],[YearsAtCompany]]&lt;=10,"6-10",TRUE,"10+")</f>
        <v>6-10</v>
      </c>
    </row>
    <row r="1375" spans="1:28" x14ac:dyDescent="0.3">
      <c r="A1375" s="2">
        <v>38</v>
      </c>
      <c r="B1375" t="s">
        <v>43</v>
      </c>
      <c r="C1375">
        <v>0</v>
      </c>
      <c r="D1375" t="s">
        <v>44</v>
      </c>
      <c r="E1375" t="s">
        <v>45</v>
      </c>
      <c r="F1375">
        <v>8</v>
      </c>
      <c r="G1375" t="s">
        <v>51</v>
      </c>
      <c r="H1375" t="s">
        <v>1445</v>
      </c>
      <c r="I1375">
        <v>4</v>
      </c>
      <c r="J1375" t="s">
        <v>39</v>
      </c>
      <c r="K1375">
        <v>2</v>
      </c>
      <c r="L1375">
        <v>2</v>
      </c>
      <c r="M1375" t="s">
        <v>47</v>
      </c>
      <c r="N1375">
        <v>2</v>
      </c>
      <c r="O1375" t="s">
        <v>52</v>
      </c>
      <c r="P1375" s="1">
        <v>2133</v>
      </c>
      <c r="Q1375" t="s">
        <v>72</v>
      </c>
      <c r="R1375" t="s">
        <v>35</v>
      </c>
      <c r="S1375">
        <v>3</v>
      </c>
      <c r="T1375">
        <v>20</v>
      </c>
      <c r="U1375">
        <v>3</v>
      </c>
      <c r="V1375">
        <v>20</v>
      </c>
      <c r="W1375">
        <v>11</v>
      </c>
      <c r="X1375">
        <v>0</v>
      </c>
      <c r="Y1375">
        <v>7</v>
      </c>
      <c r="Z1375" t="s">
        <v>1550</v>
      </c>
      <c r="AA1375" t="s">
        <v>82</v>
      </c>
      <c r="AB1375" t="str" cm="1">
        <f t="array" ref="AB1375">_xlfn.IFS(cleaned_data[[#This Row],[YearsAtCompany]]&lt;=5, "0-5",cleaned_data[[#This Row],[YearsAtCompany]]&lt;=10,"6-10",TRUE,"10+")</f>
        <v>10+</v>
      </c>
    </row>
    <row r="1376" spans="1:28" x14ac:dyDescent="0.3">
      <c r="A1376" s="2">
        <v>58</v>
      </c>
      <c r="B1376" t="s">
        <v>43</v>
      </c>
      <c r="C1376">
        <v>0</v>
      </c>
      <c r="D1376" t="s">
        <v>36</v>
      </c>
      <c r="E1376" t="s">
        <v>37</v>
      </c>
      <c r="F1376">
        <v>21</v>
      </c>
      <c r="G1376" t="s">
        <v>38</v>
      </c>
      <c r="H1376" t="s">
        <v>1446</v>
      </c>
      <c r="I1376">
        <v>4</v>
      </c>
      <c r="J1376" t="s">
        <v>39</v>
      </c>
      <c r="K1376">
        <v>3</v>
      </c>
      <c r="L1376">
        <v>4</v>
      </c>
      <c r="M1376" t="s">
        <v>56</v>
      </c>
      <c r="N1376">
        <v>4</v>
      </c>
      <c r="O1376" t="s">
        <v>48</v>
      </c>
      <c r="P1376" s="1">
        <v>17875</v>
      </c>
      <c r="Q1376" t="s">
        <v>90</v>
      </c>
      <c r="R1376" t="s">
        <v>35</v>
      </c>
      <c r="S1376">
        <v>3</v>
      </c>
      <c r="T1376">
        <v>29</v>
      </c>
      <c r="U1376">
        <v>2</v>
      </c>
      <c r="V1376">
        <v>1</v>
      </c>
      <c r="W1376">
        <v>0</v>
      </c>
      <c r="X1376">
        <v>0</v>
      </c>
      <c r="Y1376">
        <v>0</v>
      </c>
      <c r="Z1376" t="s">
        <v>106</v>
      </c>
      <c r="AA1376" t="s">
        <v>82</v>
      </c>
      <c r="AB1376" t="str" cm="1">
        <f t="array" ref="AB1376">_xlfn.IFS(cleaned_data[[#This Row],[YearsAtCompany]]&lt;=5, "0-5",cleaned_data[[#This Row],[YearsAtCompany]]&lt;=10,"6-10",TRUE,"10+")</f>
        <v>0-5</v>
      </c>
    </row>
    <row r="1377" spans="1:28" x14ac:dyDescent="0.3">
      <c r="A1377" s="2">
        <v>32</v>
      </c>
      <c r="B1377" t="s">
        <v>35</v>
      </c>
      <c r="C1377">
        <v>1</v>
      </c>
      <c r="D1377" t="s">
        <v>44</v>
      </c>
      <c r="E1377" t="s">
        <v>45</v>
      </c>
      <c r="F1377">
        <v>5</v>
      </c>
      <c r="G1377" t="s">
        <v>38</v>
      </c>
      <c r="H1377" t="s">
        <v>1447</v>
      </c>
      <c r="I1377">
        <v>1</v>
      </c>
      <c r="J1377" t="s">
        <v>39</v>
      </c>
      <c r="K1377">
        <v>4</v>
      </c>
      <c r="L1377">
        <v>1</v>
      </c>
      <c r="M1377" t="s">
        <v>47</v>
      </c>
      <c r="N1377">
        <v>3</v>
      </c>
      <c r="O1377" t="s">
        <v>41</v>
      </c>
      <c r="P1377" s="1">
        <v>2432</v>
      </c>
      <c r="Q1377" t="s">
        <v>72</v>
      </c>
      <c r="R1377" t="s">
        <v>35</v>
      </c>
      <c r="S1377">
        <v>3</v>
      </c>
      <c r="T1377">
        <v>8</v>
      </c>
      <c r="U1377">
        <v>3</v>
      </c>
      <c r="V1377">
        <v>4</v>
      </c>
      <c r="W1377">
        <v>1</v>
      </c>
      <c r="X1377">
        <v>0</v>
      </c>
      <c r="Y1377">
        <v>3</v>
      </c>
      <c r="Z1377" t="s">
        <v>1551</v>
      </c>
      <c r="AA1377" t="s">
        <v>69</v>
      </c>
      <c r="AB1377" t="str" cm="1">
        <f t="array" ref="AB1377">_xlfn.IFS(cleaned_data[[#This Row],[YearsAtCompany]]&lt;=5, "0-5",cleaned_data[[#This Row],[YearsAtCompany]]&lt;=10,"6-10",TRUE,"10+")</f>
        <v>0-5</v>
      </c>
    </row>
    <row r="1378" spans="1:28" x14ac:dyDescent="0.3">
      <c r="A1378" s="2">
        <v>38</v>
      </c>
      <c r="B1378" t="s">
        <v>43</v>
      </c>
      <c r="C1378">
        <v>0</v>
      </c>
      <c r="D1378" t="s">
        <v>36</v>
      </c>
      <c r="E1378" t="s">
        <v>45</v>
      </c>
      <c r="F1378">
        <v>9</v>
      </c>
      <c r="G1378" t="s">
        <v>38</v>
      </c>
      <c r="H1378" t="s">
        <v>1448</v>
      </c>
      <c r="I1378">
        <v>2</v>
      </c>
      <c r="J1378" t="s">
        <v>46</v>
      </c>
      <c r="K1378">
        <v>3</v>
      </c>
      <c r="L1378">
        <v>1</v>
      </c>
      <c r="M1378" t="s">
        <v>47</v>
      </c>
      <c r="N1378">
        <v>4</v>
      </c>
      <c r="O1378" t="s">
        <v>52</v>
      </c>
      <c r="P1378" s="1">
        <v>4771</v>
      </c>
      <c r="Q1378" t="s">
        <v>72</v>
      </c>
      <c r="R1378" t="s">
        <v>43</v>
      </c>
      <c r="S1378">
        <v>3</v>
      </c>
      <c r="T1378">
        <v>10</v>
      </c>
      <c r="U1378">
        <v>4</v>
      </c>
      <c r="V1378">
        <v>5</v>
      </c>
      <c r="W1378">
        <v>2</v>
      </c>
      <c r="X1378">
        <v>0</v>
      </c>
      <c r="Y1378">
        <v>3</v>
      </c>
      <c r="Z1378" t="s">
        <v>1550</v>
      </c>
      <c r="AA1378" t="s">
        <v>69</v>
      </c>
      <c r="AB1378" t="str" cm="1">
        <f t="array" ref="AB1378">_xlfn.IFS(cleaned_data[[#This Row],[YearsAtCompany]]&lt;=5, "0-5",cleaned_data[[#This Row],[YearsAtCompany]]&lt;=10,"6-10",TRUE,"10+")</f>
        <v>0-5</v>
      </c>
    </row>
    <row r="1379" spans="1:28" x14ac:dyDescent="0.3">
      <c r="A1379" s="2">
        <v>49</v>
      </c>
      <c r="B1379" t="s">
        <v>43</v>
      </c>
      <c r="C1379">
        <v>0</v>
      </c>
      <c r="D1379" t="s">
        <v>44</v>
      </c>
      <c r="E1379" t="s">
        <v>45</v>
      </c>
      <c r="F1379">
        <v>2</v>
      </c>
      <c r="G1379" t="s">
        <v>38</v>
      </c>
      <c r="H1379" t="s">
        <v>1449</v>
      </c>
      <c r="I1379">
        <v>2</v>
      </c>
      <c r="J1379" t="s">
        <v>46</v>
      </c>
      <c r="K1379">
        <v>3</v>
      </c>
      <c r="L1379">
        <v>5</v>
      </c>
      <c r="M1379" t="s">
        <v>58</v>
      </c>
      <c r="N1379">
        <v>4</v>
      </c>
      <c r="O1379" t="s">
        <v>48</v>
      </c>
      <c r="P1379" s="1">
        <v>19161</v>
      </c>
      <c r="Q1379" t="s">
        <v>90</v>
      </c>
      <c r="R1379" t="s">
        <v>43</v>
      </c>
      <c r="S1379">
        <v>3</v>
      </c>
      <c r="T1379">
        <v>28</v>
      </c>
      <c r="U1379">
        <v>3</v>
      </c>
      <c r="V1379">
        <v>5</v>
      </c>
      <c r="W1379">
        <v>4</v>
      </c>
      <c r="X1379">
        <v>4</v>
      </c>
      <c r="Y1379">
        <v>3</v>
      </c>
      <c r="Z1379" t="s">
        <v>106</v>
      </c>
      <c r="AA1379" t="s">
        <v>82</v>
      </c>
      <c r="AB1379" t="str" cm="1">
        <f t="array" ref="AB1379">_xlfn.IFS(cleaned_data[[#This Row],[YearsAtCompany]]&lt;=5, "0-5",cleaned_data[[#This Row],[YearsAtCompany]]&lt;=10,"6-10",TRUE,"10+")</f>
        <v>0-5</v>
      </c>
    </row>
    <row r="1380" spans="1:28" x14ac:dyDescent="0.3">
      <c r="A1380" s="2">
        <v>42</v>
      </c>
      <c r="B1380" t="s">
        <v>43</v>
      </c>
      <c r="C1380">
        <v>0</v>
      </c>
      <c r="D1380" t="s">
        <v>36</v>
      </c>
      <c r="E1380" t="s">
        <v>37</v>
      </c>
      <c r="F1380">
        <v>12</v>
      </c>
      <c r="G1380" t="s">
        <v>59</v>
      </c>
      <c r="H1380" t="s">
        <v>1450</v>
      </c>
      <c r="I1380">
        <v>2</v>
      </c>
      <c r="J1380" t="s">
        <v>46</v>
      </c>
      <c r="K1380">
        <v>3</v>
      </c>
      <c r="L1380">
        <v>2</v>
      </c>
      <c r="M1380" t="s">
        <v>40</v>
      </c>
      <c r="N1380">
        <v>4</v>
      </c>
      <c r="O1380" t="s">
        <v>52</v>
      </c>
      <c r="P1380" s="1">
        <v>5087</v>
      </c>
      <c r="Q1380" t="s">
        <v>67</v>
      </c>
      <c r="R1380" t="s">
        <v>35</v>
      </c>
      <c r="S1380">
        <v>3</v>
      </c>
      <c r="T1380">
        <v>14</v>
      </c>
      <c r="U1380">
        <v>3</v>
      </c>
      <c r="V1380">
        <v>0</v>
      </c>
      <c r="W1380">
        <v>0</v>
      </c>
      <c r="X1380">
        <v>0</v>
      </c>
      <c r="Y1380">
        <v>0</v>
      </c>
      <c r="Z1380" t="s">
        <v>1550</v>
      </c>
      <c r="AA1380" t="s">
        <v>69</v>
      </c>
      <c r="AB1380" t="str" cm="1">
        <f t="array" ref="AB1380">_xlfn.IFS(cleaned_data[[#This Row],[YearsAtCompany]]&lt;=5, "0-5",cleaned_data[[#This Row],[YearsAtCompany]]&lt;=10,"6-10",TRUE,"10+")</f>
        <v>0-5</v>
      </c>
    </row>
    <row r="1381" spans="1:28" x14ac:dyDescent="0.3">
      <c r="A1381" s="2">
        <v>27</v>
      </c>
      <c r="B1381" t="s">
        <v>35</v>
      </c>
      <c r="C1381">
        <v>1</v>
      </c>
      <c r="D1381" t="s">
        <v>44</v>
      </c>
      <c r="E1381" t="s">
        <v>61</v>
      </c>
      <c r="F1381">
        <v>22</v>
      </c>
      <c r="G1381" t="s">
        <v>61</v>
      </c>
      <c r="H1381" t="s">
        <v>1451</v>
      </c>
      <c r="I1381">
        <v>1</v>
      </c>
      <c r="J1381" t="s">
        <v>39</v>
      </c>
      <c r="K1381">
        <v>2</v>
      </c>
      <c r="L1381">
        <v>1</v>
      </c>
      <c r="M1381" t="s">
        <v>61</v>
      </c>
      <c r="N1381">
        <v>2</v>
      </c>
      <c r="O1381" t="s">
        <v>48</v>
      </c>
      <c r="P1381" s="1">
        <v>2863</v>
      </c>
      <c r="Q1381" t="s">
        <v>72</v>
      </c>
      <c r="R1381" t="s">
        <v>43</v>
      </c>
      <c r="S1381">
        <v>3</v>
      </c>
      <c r="T1381">
        <v>1</v>
      </c>
      <c r="U1381">
        <v>3</v>
      </c>
      <c r="V1381">
        <v>1</v>
      </c>
      <c r="W1381">
        <v>0</v>
      </c>
      <c r="X1381">
        <v>0</v>
      </c>
      <c r="Y1381">
        <v>0</v>
      </c>
      <c r="Z1381" t="s">
        <v>1551</v>
      </c>
      <c r="AA1381" t="s">
        <v>78</v>
      </c>
      <c r="AB1381" t="str" cm="1">
        <f t="array" ref="AB1381">_xlfn.IFS(cleaned_data[[#This Row],[YearsAtCompany]]&lt;=5, "0-5",cleaned_data[[#This Row],[YearsAtCompany]]&lt;=10,"6-10",TRUE,"10+")</f>
        <v>0-5</v>
      </c>
    </row>
    <row r="1382" spans="1:28" x14ac:dyDescent="0.3">
      <c r="A1382" s="2">
        <v>35</v>
      </c>
      <c r="B1382" t="s">
        <v>43</v>
      </c>
      <c r="C1382">
        <v>0</v>
      </c>
      <c r="D1382" t="s">
        <v>36</v>
      </c>
      <c r="E1382" t="s">
        <v>37</v>
      </c>
      <c r="F1382">
        <v>18</v>
      </c>
      <c r="G1382" t="s">
        <v>51</v>
      </c>
      <c r="H1382" t="s">
        <v>1452</v>
      </c>
      <c r="I1382">
        <v>2</v>
      </c>
      <c r="J1382" t="s">
        <v>46</v>
      </c>
      <c r="K1382">
        <v>3</v>
      </c>
      <c r="L1382">
        <v>2</v>
      </c>
      <c r="M1382" t="s">
        <v>40</v>
      </c>
      <c r="N1382">
        <v>1</v>
      </c>
      <c r="O1382" t="s">
        <v>48</v>
      </c>
      <c r="P1382" s="6">
        <v>5561</v>
      </c>
      <c r="Q1382" t="s">
        <v>67</v>
      </c>
      <c r="R1382" t="s">
        <v>43</v>
      </c>
      <c r="S1382">
        <v>3</v>
      </c>
      <c r="T1382">
        <v>6</v>
      </c>
      <c r="U1382">
        <v>1</v>
      </c>
      <c r="V1382">
        <v>5</v>
      </c>
      <c r="W1382">
        <v>3</v>
      </c>
      <c r="X1382">
        <v>0</v>
      </c>
      <c r="Y1382">
        <v>4</v>
      </c>
      <c r="Z1382" t="s">
        <v>1551</v>
      </c>
      <c r="AA1382" t="s">
        <v>69</v>
      </c>
      <c r="AB1382" t="str" cm="1">
        <f t="array" ref="AB1382">_xlfn.IFS(cleaned_data[[#This Row],[YearsAtCompany]]&lt;=5, "0-5",cleaned_data[[#This Row],[YearsAtCompany]]&lt;=10,"6-10",TRUE,"10+")</f>
        <v>0-5</v>
      </c>
    </row>
    <row r="1383" spans="1:28" x14ac:dyDescent="0.3">
      <c r="A1383" s="2">
        <v>28</v>
      </c>
      <c r="B1383" t="s">
        <v>43</v>
      </c>
      <c r="C1383">
        <v>0</v>
      </c>
      <c r="D1383" t="s">
        <v>55</v>
      </c>
      <c r="E1383" t="s">
        <v>45</v>
      </c>
      <c r="F1383">
        <v>16</v>
      </c>
      <c r="G1383" t="s">
        <v>51</v>
      </c>
      <c r="H1383" t="s">
        <v>1453</v>
      </c>
      <c r="I1383">
        <v>3</v>
      </c>
      <c r="J1383" t="s">
        <v>46</v>
      </c>
      <c r="K1383">
        <v>3</v>
      </c>
      <c r="L1383">
        <v>1</v>
      </c>
      <c r="M1383" t="s">
        <v>47</v>
      </c>
      <c r="N1383">
        <v>3</v>
      </c>
      <c r="O1383" t="s">
        <v>41</v>
      </c>
      <c r="P1383" s="1">
        <v>2144</v>
      </c>
      <c r="Q1383" t="s">
        <v>72</v>
      </c>
      <c r="R1383" t="s">
        <v>43</v>
      </c>
      <c r="S1383">
        <v>3</v>
      </c>
      <c r="T1383">
        <v>5</v>
      </c>
      <c r="U1383">
        <v>2</v>
      </c>
      <c r="V1383">
        <v>5</v>
      </c>
      <c r="W1383">
        <v>3</v>
      </c>
      <c r="X1383">
        <v>1</v>
      </c>
      <c r="Y1383">
        <v>4</v>
      </c>
      <c r="Z1383" t="s">
        <v>1551</v>
      </c>
      <c r="AA1383" t="s">
        <v>78</v>
      </c>
      <c r="AB1383" t="str" cm="1">
        <f t="array" ref="AB1383">_xlfn.IFS(cleaned_data[[#This Row],[YearsAtCompany]]&lt;=5, "0-5",cleaned_data[[#This Row],[YearsAtCompany]]&lt;=10,"6-10",TRUE,"10+")</f>
        <v>0-5</v>
      </c>
    </row>
    <row r="1384" spans="1:28" x14ac:dyDescent="0.3">
      <c r="A1384" s="2">
        <v>31</v>
      </c>
      <c r="B1384" t="s">
        <v>43</v>
      </c>
      <c r="C1384">
        <v>0</v>
      </c>
      <c r="D1384" t="s">
        <v>55</v>
      </c>
      <c r="E1384" t="s">
        <v>45</v>
      </c>
      <c r="F1384">
        <v>3</v>
      </c>
      <c r="G1384" t="s">
        <v>51</v>
      </c>
      <c r="H1384" t="s">
        <v>1454</v>
      </c>
      <c r="I1384">
        <v>3</v>
      </c>
      <c r="J1384" t="s">
        <v>46</v>
      </c>
      <c r="K1384">
        <v>3</v>
      </c>
      <c r="L1384">
        <v>1</v>
      </c>
      <c r="M1384" t="s">
        <v>47</v>
      </c>
      <c r="N1384">
        <v>1</v>
      </c>
      <c r="O1384" t="s">
        <v>52</v>
      </c>
      <c r="P1384" s="6">
        <v>3065</v>
      </c>
      <c r="Q1384" t="s">
        <v>72</v>
      </c>
      <c r="R1384" t="s">
        <v>35</v>
      </c>
      <c r="S1384">
        <v>3</v>
      </c>
      <c r="T1384">
        <v>4</v>
      </c>
      <c r="U1384">
        <v>4</v>
      </c>
      <c r="V1384">
        <v>4</v>
      </c>
      <c r="W1384">
        <v>2</v>
      </c>
      <c r="X1384">
        <v>2</v>
      </c>
      <c r="Y1384">
        <v>3</v>
      </c>
      <c r="Z1384" t="s">
        <v>1551</v>
      </c>
      <c r="AA1384" t="s">
        <v>78</v>
      </c>
      <c r="AB1384" t="str" cm="1">
        <f t="array" ref="AB1384">_xlfn.IFS(cleaned_data[[#This Row],[YearsAtCompany]]&lt;=5, "0-5",cleaned_data[[#This Row],[YearsAtCompany]]&lt;=10,"6-10",TRUE,"10+")</f>
        <v>0-5</v>
      </c>
    </row>
    <row r="1385" spans="1:28" x14ac:dyDescent="0.3">
      <c r="A1385" s="2">
        <v>36</v>
      </c>
      <c r="B1385" t="s">
        <v>43</v>
      </c>
      <c r="C1385">
        <v>0</v>
      </c>
      <c r="D1385" t="s">
        <v>55</v>
      </c>
      <c r="E1385" t="s">
        <v>45</v>
      </c>
      <c r="F1385">
        <v>9</v>
      </c>
      <c r="G1385" t="s">
        <v>38</v>
      </c>
      <c r="H1385" t="s">
        <v>1455</v>
      </c>
      <c r="I1385">
        <v>1</v>
      </c>
      <c r="J1385" t="s">
        <v>46</v>
      </c>
      <c r="K1385">
        <v>4</v>
      </c>
      <c r="L1385">
        <v>1</v>
      </c>
      <c r="M1385" t="s">
        <v>50</v>
      </c>
      <c r="N1385">
        <v>2</v>
      </c>
      <c r="O1385" t="s">
        <v>48</v>
      </c>
      <c r="P1385" s="1">
        <v>2810</v>
      </c>
      <c r="Q1385" t="s">
        <v>72</v>
      </c>
      <c r="R1385" t="s">
        <v>43</v>
      </c>
      <c r="S1385">
        <v>4</v>
      </c>
      <c r="T1385">
        <v>5</v>
      </c>
      <c r="U1385">
        <v>3</v>
      </c>
      <c r="V1385">
        <v>5</v>
      </c>
      <c r="W1385">
        <v>4</v>
      </c>
      <c r="X1385">
        <v>0</v>
      </c>
      <c r="Y1385">
        <v>2</v>
      </c>
      <c r="Z1385" t="s">
        <v>1550</v>
      </c>
      <c r="AA1385" t="s">
        <v>78</v>
      </c>
      <c r="AB1385" t="str" cm="1">
        <f t="array" ref="AB1385">_xlfn.IFS(cleaned_data[[#This Row],[YearsAtCompany]]&lt;=5, "0-5",cleaned_data[[#This Row],[YearsAtCompany]]&lt;=10,"6-10",TRUE,"10+")</f>
        <v>0-5</v>
      </c>
    </row>
    <row r="1386" spans="1:28" x14ac:dyDescent="0.3">
      <c r="A1386" s="2">
        <v>34</v>
      </c>
      <c r="B1386" t="s">
        <v>43</v>
      </c>
      <c r="C1386">
        <v>0</v>
      </c>
      <c r="D1386" t="s">
        <v>36</v>
      </c>
      <c r="E1386" t="s">
        <v>37</v>
      </c>
      <c r="F1386">
        <v>1</v>
      </c>
      <c r="G1386" t="s">
        <v>59</v>
      </c>
      <c r="H1386" t="s">
        <v>1456</v>
      </c>
      <c r="I1386">
        <v>1</v>
      </c>
      <c r="J1386" t="s">
        <v>46</v>
      </c>
      <c r="K1386">
        <v>3</v>
      </c>
      <c r="L1386">
        <v>3</v>
      </c>
      <c r="M1386" t="s">
        <v>40</v>
      </c>
      <c r="N1386">
        <v>4</v>
      </c>
      <c r="O1386" t="s">
        <v>41</v>
      </c>
      <c r="P1386" s="1">
        <v>9888</v>
      </c>
      <c r="Q1386" t="s">
        <v>67</v>
      </c>
      <c r="R1386" t="s">
        <v>43</v>
      </c>
      <c r="S1386">
        <v>4</v>
      </c>
      <c r="T1386">
        <v>14</v>
      </c>
      <c r="U1386">
        <v>2</v>
      </c>
      <c r="V1386">
        <v>14</v>
      </c>
      <c r="W1386">
        <v>8</v>
      </c>
      <c r="X1386">
        <v>2</v>
      </c>
      <c r="Y1386">
        <v>1</v>
      </c>
      <c r="Z1386" t="s">
        <v>1551</v>
      </c>
      <c r="AA1386" t="s">
        <v>69</v>
      </c>
      <c r="AB1386" t="str" cm="1">
        <f t="array" ref="AB1386">_xlfn.IFS(cleaned_data[[#This Row],[YearsAtCompany]]&lt;=5, "0-5",cleaned_data[[#This Row],[YearsAtCompany]]&lt;=10,"6-10",TRUE,"10+")</f>
        <v>10+</v>
      </c>
    </row>
    <row r="1387" spans="1:28" x14ac:dyDescent="0.3">
      <c r="A1387" s="2">
        <v>34</v>
      </c>
      <c r="B1387" t="s">
        <v>43</v>
      </c>
      <c r="C1387">
        <v>0</v>
      </c>
      <c r="D1387" t="s">
        <v>36</v>
      </c>
      <c r="E1387" t="s">
        <v>37</v>
      </c>
      <c r="F1387">
        <v>13</v>
      </c>
      <c r="G1387" t="s">
        <v>51</v>
      </c>
      <c r="H1387" t="s">
        <v>1457</v>
      </c>
      <c r="I1387">
        <v>4</v>
      </c>
      <c r="J1387" t="s">
        <v>46</v>
      </c>
      <c r="K1387">
        <v>3</v>
      </c>
      <c r="L1387">
        <v>3</v>
      </c>
      <c r="M1387" t="s">
        <v>40</v>
      </c>
      <c r="N1387">
        <v>3</v>
      </c>
      <c r="O1387" t="s">
        <v>52</v>
      </c>
      <c r="P1387" s="1">
        <v>8628</v>
      </c>
      <c r="Q1387" t="s">
        <v>67</v>
      </c>
      <c r="R1387" t="s">
        <v>43</v>
      </c>
      <c r="S1387">
        <v>3</v>
      </c>
      <c r="T1387">
        <v>9</v>
      </c>
      <c r="U1387">
        <v>2</v>
      </c>
      <c r="V1387">
        <v>8</v>
      </c>
      <c r="W1387">
        <v>7</v>
      </c>
      <c r="X1387">
        <v>1</v>
      </c>
      <c r="Y1387">
        <v>1</v>
      </c>
      <c r="Z1387" t="s">
        <v>1551</v>
      </c>
      <c r="AA1387" t="s">
        <v>69</v>
      </c>
      <c r="AB1387" t="str" cm="1">
        <f t="array" ref="AB1387">_xlfn.IFS(cleaned_data[[#This Row],[YearsAtCompany]]&lt;=5, "0-5",cleaned_data[[#This Row],[YearsAtCompany]]&lt;=10,"6-10",TRUE,"10+")</f>
        <v>6-10</v>
      </c>
    </row>
    <row r="1388" spans="1:28" x14ac:dyDescent="0.3">
      <c r="A1388" s="2">
        <v>26</v>
      </c>
      <c r="B1388" t="s">
        <v>43</v>
      </c>
      <c r="C1388">
        <v>0</v>
      </c>
      <c r="D1388" t="s">
        <v>36</v>
      </c>
      <c r="E1388" t="s">
        <v>45</v>
      </c>
      <c r="F1388">
        <v>1</v>
      </c>
      <c r="G1388" t="s">
        <v>51</v>
      </c>
      <c r="H1388" t="s">
        <v>1458</v>
      </c>
      <c r="I1388">
        <v>3</v>
      </c>
      <c r="J1388" t="s">
        <v>46</v>
      </c>
      <c r="K1388">
        <v>3</v>
      </c>
      <c r="L1388">
        <v>1</v>
      </c>
      <c r="M1388" t="s">
        <v>50</v>
      </c>
      <c r="N1388">
        <v>1</v>
      </c>
      <c r="O1388" t="s">
        <v>41</v>
      </c>
      <c r="P1388" s="6">
        <v>2867</v>
      </c>
      <c r="Q1388" t="s">
        <v>72</v>
      </c>
      <c r="R1388" t="s">
        <v>43</v>
      </c>
      <c r="S1388">
        <v>3</v>
      </c>
      <c r="T1388">
        <v>8</v>
      </c>
      <c r="U1388">
        <v>2</v>
      </c>
      <c r="V1388">
        <v>7</v>
      </c>
      <c r="W1388">
        <v>7</v>
      </c>
      <c r="X1388">
        <v>7</v>
      </c>
      <c r="Y1388">
        <v>6</v>
      </c>
      <c r="Z1388" t="s">
        <v>1551</v>
      </c>
      <c r="AA1388" t="s">
        <v>69</v>
      </c>
      <c r="AB1388" t="str" cm="1">
        <f t="array" ref="AB1388">_xlfn.IFS(cleaned_data[[#This Row],[YearsAtCompany]]&lt;=5, "0-5",cleaned_data[[#This Row],[YearsAtCompany]]&lt;=10,"6-10",TRUE,"10+")</f>
        <v>6-10</v>
      </c>
    </row>
    <row r="1389" spans="1:28" x14ac:dyDescent="0.3">
      <c r="A1389" s="2">
        <v>29</v>
      </c>
      <c r="B1389" t="s">
        <v>43</v>
      </c>
      <c r="C1389">
        <v>0</v>
      </c>
      <c r="D1389" t="s">
        <v>36</v>
      </c>
      <c r="E1389" t="s">
        <v>45</v>
      </c>
      <c r="F1389">
        <v>1</v>
      </c>
      <c r="G1389" t="s">
        <v>38</v>
      </c>
      <c r="H1389" t="s">
        <v>1459</v>
      </c>
      <c r="I1389">
        <v>1</v>
      </c>
      <c r="J1389" t="s">
        <v>46</v>
      </c>
      <c r="K1389">
        <v>3</v>
      </c>
      <c r="L1389">
        <v>2</v>
      </c>
      <c r="M1389" t="s">
        <v>54</v>
      </c>
      <c r="N1389">
        <v>1</v>
      </c>
      <c r="O1389" t="s">
        <v>48</v>
      </c>
      <c r="P1389" s="6">
        <v>5373</v>
      </c>
      <c r="Q1389" t="s">
        <v>67</v>
      </c>
      <c r="R1389" t="s">
        <v>43</v>
      </c>
      <c r="S1389">
        <v>3</v>
      </c>
      <c r="T1389">
        <v>6</v>
      </c>
      <c r="U1389">
        <v>2</v>
      </c>
      <c r="V1389">
        <v>5</v>
      </c>
      <c r="W1389">
        <v>3</v>
      </c>
      <c r="X1389">
        <v>0</v>
      </c>
      <c r="Y1389">
        <v>2</v>
      </c>
      <c r="Z1389" t="s">
        <v>1551</v>
      </c>
      <c r="AA1389" t="s">
        <v>69</v>
      </c>
      <c r="AB1389" t="str" cm="1">
        <f t="array" ref="AB1389">_xlfn.IFS(cleaned_data[[#This Row],[YearsAtCompany]]&lt;=5, "0-5",cleaned_data[[#This Row],[YearsAtCompany]]&lt;=10,"6-10",TRUE,"10+")</f>
        <v>0-5</v>
      </c>
    </row>
    <row r="1390" spans="1:28" x14ac:dyDescent="0.3">
      <c r="A1390" s="2">
        <v>32</v>
      </c>
      <c r="B1390" t="s">
        <v>43</v>
      </c>
      <c r="C1390">
        <v>0</v>
      </c>
      <c r="D1390" t="s">
        <v>55</v>
      </c>
      <c r="E1390" t="s">
        <v>45</v>
      </c>
      <c r="F1390">
        <v>15</v>
      </c>
      <c r="G1390" t="s">
        <v>51</v>
      </c>
      <c r="H1390" t="s">
        <v>1460</v>
      </c>
      <c r="I1390">
        <v>3</v>
      </c>
      <c r="J1390" t="s">
        <v>39</v>
      </c>
      <c r="K1390">
        <v>3</v>
      </c>
      <c r="L1390">
        <v>2</v>
      </c>
      <c r="M1390" t="s">
        <v>54</v>
      </c>
      <c r="N1390">
        <v>4</v>
      </c>
      <c r="O1390" t="s">
        <v>52</v>
      </c>
      <c r="P1390" s="1">
        <v>6667</v>
      </c>
      <c r="Q1390" t="s">
        <v>67</v>
      </c>
      <c r="R1390" t="s">
        <v>43</v>
      </c>
      <c r="S1390">
        <v>3</v>
      </c>
      <c r="T1390">
        <v>9</v>
      </c>
      <c r="U1390">
        <v>3</v>
      </c>
      <c r="V1390">
        <v>5</v>
      </c>
      <c r="W1390">
        <v>1</v>
      </c>
      <c r="X1390">
        <v>1</v>
      </c>
      <c r="Y1390">
        <v>2</v>
      </c>
      <c r="Z1390" t="s">
        <v>1551</v>
      </c>
      <c r="AA1390" t="s">
        <v>69</v>
      </c>
      <c r="AB1390" t="str" cm="1">
        <f t="array" ref="AB1390">_xlfn.IFS(cleaned_data[[#This Row],[YearsAtCompany]]&lt;=5, "0-5",cleaned_data[[#This Row],[YearsAtCompany]]&lt;=10,"6-10",TRUE,"10+")</f>
        <v>0-5</v>
      </c>
    </row>
    <row r="1391" spans="1:28" x14ac:dyDescent="0.3">
      <c r="A1391" s="2">
        <v>31</v>
      </c>
      <c r="B1391" t="s">
        <v>43</v>
      </c>
      <c r="C1391">
        <v>0</v>
      </c>
      <c r="D1391" t="s">
        <v>44</v>
      </c>
      <c r="E1391" t="s">
        <v>45</v>
      </c>
      <c r="F1391">
        <v>1</v>
      </c>
      <c r="G1391" t="s">
        <v>38</v>
      </c>
      <c r="H1391" t="s">
        <v>1461</v>
      </c>
      <c r="I1391">
        <v>4</v>
      </c>
      <c r="J1391" t="s">
        <v>46</v>
      </c>
      <c r="K1391">
        <v>1</v>
      </c>
      <c r="L1391">
        <v>2</v>
      </c>
      <c r="M1391" t="s">
        <v>47</v>
      </c>
      <c r="N1391">
        <v>1</v>
      </c>
      <c r="O1391" t="s">
        <v>48</v>
      </c>
      <c r="P1391" s="6">
        <v>5003</v>
      </c>
      <c r="Q1391" t="s">
        <v>67</v>
      </c>
      <c r="R1391" t="s">
        <v>43</v>
      </c>
      <c r="S1391">
        <v>4</v>
      </c>
      <c r="T1391">
        <v>10</v>
      </c>
      <c r="U1391">
        <v>3</v>
      </c>
      <c r="V1391">
        <v>10</v>
      </c>
      <c r="W1391">
        <v>8</v>
      </c>
      <c r="X1391">
        <v>8</v>
      </c>
      <c r="Y1391">
        <v>7</v>
      </c>
      <c r="Z1391" t="s">
        <v>1551</v>
      </c>
      <c r="AA1391" t="s">
        <v>69</v>
      </c>
      <c r="AB1391" t="str" cm="1">
        <f t="array" ref="AB1391">_xlfn.IFS(cleaned_data[[#This Row],[YearsAtCompany]]&lt;=5, "0-5",cleaned_data[[#This Row],[YearsAtCompany]]&lt;=10,"6-10",TRUE,"10+")</f>
        <v>6-10</v>
      </c>
    </row>
    <row r="1392" spans="1:28" x14ac:dyDescent="0.3">
      <c r="A1392" s="2">
        <v>28</v>
      </c>
      <c r="B1392" t="s">
        <v>35</v>
      </c>
      <c r="C1392">
        <v>1</v>
      </c>
      <c r="D1392" t="s">
        <v>36</v>
      </c>
      <c r="E1392" t="s">
        <v>45</v>
      </c>
      <c r="F1392">
        <v>17</v>
      </c>
      <c r="G1392" t="s">
        <v>60</v>
      </c>
      <c r="H1392" t="s">
        <v>1462</v>
      </c>
      <c r="I1392">
        <v>3</v>
      </c>
      <c r="J1392" t="s">
        <v>46</v>
      </c>
      <c r="K1392">
        <v>2</v>
      </c>
      <c r="L1392">
        <v>1</v>
      </c>
      <c r="M1392" t="s">
        <v>50</v>
      </c>
      <c r="N1392">
        <v>4</v>
      </c>
      <c r="O1392" t="s">
        <v>52</v>
      </c>
      <c r="P1392" s="1">
        <v>2367</v>
      </c>
      <c r="Q1392" t="s">
        <v>72</v>
      </c>
      <c r="R1392" t="s">
        <v>43</v>
      </c>
      <c r="S1392">
        <v>3</v>
      </c>
      <c r="T1392">
        <v>6</v>
      </c>
      <c r="U1392">
        <v>2</v>
      </c>
      <c r="V1392">
        <v>4</v>
      </c>
      <c r="W1392">
        <v>1</v>
      </c>
      <c r="X1392">
        <v>0</v>
      </c>
      <c r="Y1392">
        <v>3</v>
      </c>
      <c r="Z1392" t="s">
        <v>1551</v>
      </c>
      <c r="AA1392" t="s">
        <v>69</v>
      </c>
      <c r="AB1392" t="str" cm="1">
        <f t="array" ref="AB1392">_xlfn.IFS(cleaned_data[[#This Row],[YearsAtCompany]]&lt;=5, "0-5",cleaned_data[[#This Row],[YearsAtCompany]]&lt;=10,"6-10",TRUE,"10+")</f>
        <v>0-5</v>
      </c>
    </row>
    <row r="1393" spans="1:28" x14ac:dyDescent="0.3">
      <c r="A1393" s="2">
        <v>38</v>
      </c>
      <c r="B1393" t="s">
        <v>43</v>
      </c>
      <c r="C1393">
        <v>0</v>
      </c>
      <c r="D1393" t="s">
        <v>36</v>
      </c>
      <c r="E1393" t="s">
        <v>37</v>
      </c>
      <c r="F1393">
        <v>1</v>
      </c>
      <c r="G1393" t="s">
        <v>38</v>
      </c>
      <c r="H1393" t="s">
        <v>1463</v>
      </c>
      <c r="I1393">
        <v>1</v>
      </c>
      <c r="J1393" t="s">
        <v>46</v>
      </c>
      <c r="K1393">
        <v>2</v>
      </c>
      <c r="L1393">
        <v>1</v>
      </c>
      <c r="M1393" t="s">
        <v>57</v>
      </c>
      <c r="N1393">
        <v>1</v>
      </c>
      <c r="O1393" t="s">
        <v>41</v>
      </c>
      <c r="P1393" s="6">
        <v>2858</v>
      </c>
      <c r="Q1393" t="s">
        <v>72</v>
      </c>
      <c r="R1393" t="s">
        <v>43</v>
      </c>
      <c r="S1393">
        <v>3</v>
      </c>
      <c r="T1393">
        <v>20</v>
      </c>
      <c r="U1393">
        <v>2</v>
      </c>
      <c r="V1393">
        <v>1</v>
      </c>
      <c r="W1393">
        <v>0</v>
      </c>
      <c r="X1393">
        <v>0</v>
      </c>
      <c r="Y1393">
        <v>0</v>
      </c>
      <c r="Z1393" t="s">
        <v>1550</v>
      </c>
      <c r="AA1393" t="s">
        <v>82</v>
      </c>
      <c r="AB1393" t="str" cm="1">
        <f t="array" ref="AB1393">_xlfn.IFS(cleaned_data[[#This Row],[YearsAtCompany]]&lt;=5, "0-5",cleaned_data[[#This Row],[YearsAtCompany]]&lt;=10,"6-10",TRUE,"10+")</f>
        <v>0-5</v>
      </c>
    </row>
    <row r="1394" spans="1:28" x14ac:dyDescent="0.3">
      <c r="A1394" s="2">
        <v>35</v>
      </c>
      <c r="B1394" t="s">
        <v>43</v>
      </c>
      <c r="C1394">
        <v>0</v>
      </c>
      <c r="D1394" t="s">
        <v>36</v>
      </c>
      <c r="E1394" t="s">
        <v>37</v>
      </c>
      <c r="F1394">
        <v>7</v>
      </c>
      <c r="G1394" t="s">
        <v>38</v>
      </c>
      <c r="H1394" t="s">
        <v>1464</v>
      </c>
      <c r="I1394">
        <v>3</v>
      </c>
      <c r="J1394" t="s">
        <v>39</v>
      </c>
      <c r="K1394">
        <v>3</v>
      </c>
      <c r="L1394">
        <v>2</v>
      </c>
      <c r="M1394" t="s">
        <v>40</v>
      </c>
      <c r="N1394">
        <v>4</v>
      </c>
      <c r="O1394" t="s">
        <v>48</v>
      </c>
      <c r="P1394" s="1">
        <v>5204</v>
      </c>
      <c r="Q1394" t="s">
        <v>67</v>
      </c>
      <c r="R1394" t="s">
        <v>35</v>
      </c>
      <c r="S1394">
        <v>3</v>
      </c>
      <c r="T1394">
        <v>10</v>
      </c>
      <c r="U1394">
        <v>3</v>
      </c>
      <c r="V1394">
        <v>10</v>
      </c>
      <c r="W1394">
        <v>8</v>
      </c>
      <c r="X1394">
        <v>0</v>
      </c>
      <c r="Y1394">
        <v>9</v>
      </c>
      <c r="Z1394" t="s">
        <v>1551</v>
      </c>
      <c r="AA1394" t="s">
        <v>69</v>
      </c>
      <c r="AB1394" t="str" cm="1">
        <f t="array" ref="AB1394">_xlfn.IFS(cleaned_data[[#This Row],[YearsAtCompany]]&lt;=5, "0-5",cleaned_data[[#This Row],[YearsAtCompany]]&lt;=10,"6-10",TRUE,"10+")</f>
        <v>6-10</v>
      </c>
    </row>
    <row r="1395" spans="1:28" x14ac:dyDescent="0.3">
      <c r="A1395" s="2">
        <v>27</v>
      </c>
      <c r="B1395" t="s">
        <v>43</v>
      </c>
      <c r="C1395">
        <v>0</v>
      </c>
      <c r="D1395" t="s">
        <v>36</v>
      </c>
      <c r="E1395" t="s">
        <v>37</v>
      </c>
      <c r="F1395">
        <v>9</v>
      </c>
      <c r="G1395" t="s">
        <v>59</v>
      </c>
      <c r="H1395" t="s">
        <v>1465</v>
      </c>
      <c r="I1395">
        <v>4</v>
      </c>
      <c r="J1395" t="s">
        <v>46</v>
      </c>
      <c r="K1395">
        <v>3</v>
      </c>
      <c r="L1395">
        <v>2</v>
      </c>
      <c r="M1395" t="s">
        <v>40</v>
      </c>
      <c r="N1395">
        <v>4</v>
      </c>
      <c r="O1395" t="s">
        <v>41</v>
      </c>
      <c r="P1395" s="1">
        <v>4105</v>
      </c>
      <c r="Q1395" t="s">
        <v>72</v>
      </c>
      <c r="R1395" t="s">
        <v>43</v>
      </c>
      <c r="S1395">
        <v>3</v>
      </c>
      <c r="T1395">
        <v>7</v>
      </c>
      <c r="U1395">
        <v>3</v>
      </c>
      <c r="V1395">
        <v>7</v>
      </c>
      <c r="W1395">
        <v>7</v>
      </c>
      <c r="X1395">
        <v>0</v>
      </c>
      <c r="Y1395">
        <v>7</v>
      </c>
      <c r="Z1395" t="s">
        <v>1551</v>
      </c>
      <c r="AA1395" t="s">
        <v>69</v>
      </c>
      <c r="AB1395" t="str" cm="1">
        <f t="array" ref="AB1395">_xlfn.IFS(cleaned_data[[#This Row],[YearsAtCompany]]&lt;=5, "0-5",cleaned_data[[#This Row],[YearsAtCompany]]&lt;=10,"6-10",TRUE,"10+")</f>
        <v>6-10</v>
      </c>
    </row>
    <row r="1396" spans="1:28" x14ac:dyDescent="0.3">
      <c r="A1396" s="2">
        <v>32</v>
      </c>
      <c r="B1396" t="s">
        <v>43</v>
      </c>
      <c r="C1396">
        <v>0</v>
      </c>
      <c r="D1396" t="s">
        <v>36</v>
      </c>
      <c r="E1396" t="s">
        <v>45</v>
      </c>
      <c r="F1396">
        <v>5</v>
      </c>
      <c r="G1396" t="s">
        <v>38</v>
      </c>
      <c r="H1396" t="s">
        <v>1466</v>
      </c>
      <c r="I1396">
        <v>4</v>
      </c>
      <c r="J1396" t="s">
        <v>46</v>
      </c>
      <c r="K1396">
        <v>2</v>
      </c>
      <c r="L1396">
        <v>2</v>
      </c>
      <c r="M1396" t="s">
        <v>53</v>
      </c>
      <c r="N1396">
        <v>4</v>
      </c>
      <c r="O1396" t="s">
        <v>41</v>
      </c>
      <c r="P1396" s="1">
        <v>9679</v>
      </c>
      <c r="Q1396" t="s">
        <v>67</v>
      </c>
      <c r="R1396" t="s">
        <v>43</v>
      </c>
      <c r="S1396">
        <v>4</v>
      </c>
      <c r="T1396">
        <v>8</v>
      </c>
      <c r="U1396">
        <v>3</v>
      </c>
      <c r="V1396">
        <v>1</v>
      </c>
      <c r="W1396">
        <v>0</v>
      </c>
      <c r="X1396">
        <v>0</v>
      </c>
      <c r="Y1396">
        <v>0</v>
      </c>
      <c r="Z1396" t="s">
        <v>1551</v>
      </c>
      <c r="AA1396" t="s">
        <v>69</v>
      </c>
      <c r="AB1396" t="str" cm="1">
        <f t="array" ref="AB1396">_xlfn.IFS(cleaned_data[[#This Row],[YearsAtCompany]]&lt;=5, "0-5",cleaned_data[[#This Row],[YearsAtCompany]]&lt;=10,"6-10",TRUE,"10+")</f>
        <v>0-5</v>
      </c>
    </row>
    <row r="1397" spans="1:28" x14ac:dyDescent="0.3">
      <c r="A1397" s="2">
        <v>31</v>
      </c>
      <c r="B1397" t="s">
        <v>35</v>
      </c>
      <c r="C1397">
        <v>1</v>
      </c>
      <c r="D1397" t="s">
        <v>44</v>
      </c>
      <c r="E1397" t="s">
        <v>37</v>
      </c>
      <c r="F1397">
        <v>26</v>
      </c>
      <c r="G1397" t="s">
        <v>59</v>
      </c>
      <c r="H1397" t="s">
        <v>1467</v>
      </c>
      <c r="I1397">
        <v>1</v>
      </c>
      <c r="J1397" t="s">
        <v>46</v>
      </c>
      <c r="K1397">
        <v>3</v>
      </c>
      <c r="L1397">
        <v>2</v>
      </c>
      <c r="M1397" t="s">
        <v>40</v>
      </c>
      <c r="N1397">
        <v>4</v>
      </c>
      <c r="O1397" t="s">
        <v>48</v>
      </c>
      <c r="P1397" s="1">
        <v>5617</v>
      </c>
      <c r="Q1397" t="s">
        <v>67</v>
      </c>
      <c r="R1397" t="s">
        <v>35</v>
      </c>
      <c r="S1397">
        <v>3</v>
      </c>
      <c r="T1397">
        <v>10</v>
      </c>
      <c r="U1397">
        <v>3</v>
      </c>
      <c r="V1397">
        <v>10</v>
      </c>
      <c r="W1397">
        <v>7</v>
      </c>
      <c r="X1397">
        <v>0</v>
      </c>
      <c r="Y1397">
        <v>8</v>
      </c>
      <c r="Z1397" t="s">
        <v>1551</v>
      </c>
      <c r="AA1397" t="s">
        <v>69</v>
      </c>
      <c r="AB1397" t="str" cm="1">
        <f t="array" ref="AB1397">_xlfn.IFS(cleaned_data[[#This Row],[YearsAtCompany]]&lt;=5, "0-5",cleaned_data[[#This Row],[YearsAtCompany]]&lt;=10,"6-10",TRUE,"10+")</f>
        <v>6-10</v>
      </c>
    </row>
    <row r="1398" spans="1:28" x14ac:dyDescent="0.3">
      <c r="A1398" s="2">
        <v>53</v>
      </c>
      <c r="B1398" t="s">
        <v>35</v>
      </c>
      <c r="C1398">
        <v>1</v>
      </c>
      <c r="D1398" t="s">
        <v>36</v>
      </c>
      <c r="E1398" t="s">
        <v>37</v>
      </c>
      <c r="F1398">
        <v>24</v>
      </c>
      <c r="G1398" t="s">
        <v>38</v>
      </c>
      <c r="H1398" t="s">
        <v>1468</v>
      </c>
      <c r="I1398">
        <v>1</v>
      </c>
      <c r="J1398" t="s">
        <v>46</v>
      </c>
      <c r="K1398">
        <v>3</v>
      </c>
      <c r="L1398">
        <v>3</v>
      </c>
      <c r="M1398" t="s">
        <v>40</v>
      </c>
      <c r="N1398">
        <v>1</v>
      </c>
      <c r="O1398" t="s">
        <v>41</v>
      </c>
      <c r="P1398" s="6">
        <v>10448</v>
      </c>
      <c r="Q1398" t="s">
        <v>67</v>
      </c>
      <c r="R1398" t="s">
        <v>35</v>
      </c>
      <c r="S1398">
        <v>3</v>
      </c>
      <c r="T1398">
        <v>15</v>
      </c>
      <c r="U1398">
        <v>2</v>
      </c>
      <c r="V1398">
        <v>2</v>
      </c>
      <c r="W1398">
        <v>2</v>
      </c>
      <c r="X1398">
        <v>2</v>
      </c>
      <c r="Y1398">
        <v>2</v>
      </c>
      <c r="Z1398" t="s">
        <v>106</v>
      </c>
      <c r="AA1398" t="s">
        <v>69</v>
      </c>
      <c r="AB1398" t="str" cm="1">
        <f t="array" ref="AB1398">_xlfn.IFS(cleaned_data[[#This Row],[YearsAtCompany]]&lt;=5, "0-5",cleaned_data[[#This Row],[YearsAtCompany]]&lt;=10,"6-10",TRUE,"10+")</f>
        <v>0-5</v>
      </c>
    </row>
    <row r="1399" spans="1:28" x14ac:dyDescent="0.3">
      <c r="A1399" s="2">
        <v>54</v>
      </c>
      <c r="B1399" t="s">
        <v>43</v>
      </c>
      <c r="C1399">
        <v>0</v>
      </c>
      <c r="D1399" t="s">
        <v>36</v>
      </c>
      <c r="E1399" t="s">
        <v>45</v>
      </c>
      <c r="F1399">
        <v>9</v>
      </c>
      <c r="G1399" t="s">
        <v>38</v>
      </c>
      <c r="H1399" t="s">
        <v>1469</v>
      </c>
      <c r="I1399">
        <v>1</v>
      </c>
      <c r="J1399" t="s">
        <v>39</v>
      </c>
      <c r="K1399">
        <v>3</v>
      </c>
      <c r="L1399">
        <v>2</v>
      </c>
      <c r="M1399" t="s">
        <v>47</v>
      </c>
      <c r="N1399">
        <v>3</v>
      </c>
      <c r="O1399" t="s">
        <v>48</v>
      </c>
      <c r="P1399" s="1">
        <v>2897</v>
      </c>
      <c r="Q1399" t="s">
        <v>72</v>
      </c>
      <c r="R1399" t="s">
        <v>43</v>
      </c>
      <c r="S1399">
        <v>3</v>
      </c>
      <c r="T1399">
        <v>9</v>
      </c>
      <c r="U1399">
        <v>2</v>
      </c>
      <c r="V1399">
        <v>4</v>
      </c>
      <c r="W1399">
        <v>3</v>
      </c>
      <c r="X1399">
        <v>2</v>
      </c>
      <c r="Y1399">
        <v>3</v>
      </c>
      <c r="Z1399" t="s">
        <v>106</v>
      </c>
      <c r="AA1399" t="s">
        <v>69</v>
      </c>
      <c r="AB1399" t="str" cm="1">
        <f t="array" ref="AB1399">_xlfn.IFS(cleaned_data[[#This Row],[YearsAtCompany]]&lt;=5, "0-5",cleaned_data[[#This Row],[YearsAtCompany]]&lt;=10,"6-10",TRUE,"10+")</f>
        <v>0-5</v>
      </c>
    </row>
    <row r="1400" spans="1:28" x14ac:dyDescent="0.3">
      <c r="A1400" s="2">
        <v>33</v>
      </c>
      <c r="B1400" t="s">
        <v>43</v>
      </c>
      <c r="C1400">
        <v>0</v>
      </c>
      <c r="D1400" t="s">
        <v>44</v>
      </c>
      <c r="E1400" t="s">
        <v>45</v>
      </c>
      <c r="F1400">
        <v>7</v>
      </c>
      <c r="G1400" t="s">
        <v>38</v>
      </c>
      <c r="H1400" t="s">
        <v>1470</v>
      </c>
      <c r="I1400">
        <v>4</v>
      </c>
      <c r="J1400" t="s">
        <v>46</v>
      </c>
      <c r="K1400">
        <v>3</v>
      </c>
      <c r="L1400">
        <v>2</v>
      </c>
      <c r="M1400" t="s">
        <v>54</v>
      </c>
      <c r="N1400">
        <v>3</v>
      </c>
      <c r="O1400" t="s">
        <v>52</v>
      </c>
      <c r="P1400" s="1">
        <v>5968</v>
      </c>
      <c r="Q1400" t="s">
        <v>67</v>
      </c>
      <c r="R1400" t="s">
        <v>43</v>
      </c>
      <c r="S1400">
        <v>4</v>
      </c>
      <c r="T1400">
        <v>9</v>
      </c>
      <c r="U1400">
        <v>3</v>
      </c>
      <c r="V1400">
        <v>9</v>
      </c>
      <c r="W1400">
        <v>7</v>
      </c>
      <c r="X1400">
        <v>2</v>
      </c>
      <c r="Y1400">
        <v>8</v>
      </c>
      <c r="Z1400" t="s">
        <v>1551</v>
      </c>
      <c r="AA1400" t="s">
        <v>69</v>
      </c>
      <c r="AB1400" t="str" cm="1">
        <f t="array" ref="AB1400">_xlfn.IFS(cleaned_data[[#This Row],[YearsAtCompany]]&lt;=5, "0-5",cleaned_data[[#This Row],[YearsAtCompany]]&lt;=10,"6-10",TRUE,"10+")</f>
        <v>6-10</v>
      </c>
    </row>
    <row r="1401" spans="1:28" x14ac:dyDescent="0.3">
      <c r="A1401" s="2">
        <v>43</v>
      </c>
      <c r="B1401" t="s">
        <v>43</v>
      </c>
      <c r="C1401">
        <v>0</v>
      </c>
      <c r="D1401" t="s">
        <v>36</v>
      </c>
      <c r="E1401" t="s">
        <v>45</v>
      </c>
      <c r="F1401">
        <v>11</v>
      </c>
      <c r="G1401" t="s">
        <v>38</v>
      </c>
      <c r="H1401" t="s">
        <v>1471</v>
      </c>
      <c r="I1401">
        <v>1</v>
      </c>
      <c r="J1401" t="s">
        <v>46</v>
      </c>
      <c r="K1401">
        <v>3</v>
      </c>
      <c r="L1401">
        <v>3</v>
      </c>
      <c r="M1401" t="s">
        <v>54</v>
      </c>
      <c r="N1401">
        <v>3</v>
      </c>
      <c r="O1401" t="s">
        <v>48</v>
      </c>
      <c r="P1401" s="1">
        <v>7510</v>
      </c>
      <c r="Q1401" t="s">
        <v>67</v>
      </c>
      <c r="R1401" t="s">
        <v>43</v>
      </c>
      <c r="S1401">
        <v>3</v>
      </c>
      <c r="T1401">
        <v>10</v>
      </c>
      <c r="U1401">
        <v>3</v>
      </c>
      <c r="V1401">
        <v>10</v>
      </c>
      <c r="W1401">
        <v>9</v>
      </c>
      <c r="X1401">
        <v>0</v>
      </c>
      <c r="Y1401">
        <v>9</v>
      </c>
      <c r="Z1401" t="s">
        <v>1550</v>
      </c>
      <c r="AA1401" t="s">
        <v>69</v>
      </c>
      <c r="AB1401" t="str" cm="1">
        <f t="array" ref="AB1401">_xlfn.IFS(cleaned_data[[#This Row],[YearsAtCompany]]&lt;=5, "0-5",cleaned_data[[#This Row],[YearsAtCompany]]&lt;=10,"6-10",TRUE,"10+")</f>
        <v>6-10</v>
      </c>
    </row>
    <row r="1402" spans="1:28" x14ac:dyDescent="0.3">
      <c r="A1402" s="2">
        <v>38</v>
      </c>
      <c r="B1402" t="s">
        <v>43</v>
      </c>
      <c r="C1402">
        <v>0</v>
      </c>
      <c r="D1402" t="s">
        <v>44</v>
      </c>
      <c r="E1402" t="s">
        <v>61</v>
      </c>
      <c r="F1402">
        <v>1</v>
      </c>
      <c r="G1402" t="s">
        <v>49</v>
      </c>
      <c r="H1402" t="s">
        <v>1472</v>
      </c>
      <c r="I1402">
        <v>4</v>
      </c>
      <c r="J1402" t="s">
        <v>46</v>
      </c>
      <c r="K1402">
        <v>3</v>
      </c>
      <c r="L1402">
        <v>1</v>
      </c>
      <c r="M1402" t="s">
        <v>61</v>
      </c>
      <c r="N1402">
        <v>2</v>
      </c>
      <c r="O1402" t="s">
        <v>48</v>
      </c>
      <c r="P1402" s="1">
        <v>2991</v>
      </c>
      <c r="Q1402" t="s">
        <v>72</v>
      </c>
      <c r="R1402" t="s">
        <v>35</v>
      </c>
      <c r="S1402">
        <v>3</v>
      </c>
      <c r="T1402">
        <v>7</v>
      </c>
      <c r="U1402">
        <v>3</v>
      </c>
      <c r="V1402">
        <v>6</v>
      </c>
      <c r="W1402">
        <v>2</v>
      </c>
      <c r="X1402">
        <v>1</v>
      </c>
      <c r="Y1402">
        <v>2</v>
      </c>
      <c r="Z1402" t="s">
        <v>1550</v>
      </c>
      <c r="AA1402" t="s">
        <v>69</v>
      </c>
      <c r="AB1402" t="str" cm="1">
        <f t="array" ref="AB1402">_xlfn.IFS(cleaned_data[[#This Row],[YearsAtCompany]]&lt;=5, "0-5",cleaned_data[[#This Row],[YearsAtCompany]]&lt;=10,"6-10",TRUE,"10+")</f>
        <v>6-10</v>
      </c>
    </row>
    <row r="1403" spans="1:28" x14ac:dyDescent="0.3">
      <c r="A1403" s="2">
        <v>55</v>
      </c>
      <c r="B1403" t="s">
        <v>43</v>
      </c>
      <c r="C1403">
        <v>0</v>
      </c>
      <c r="D1403" t="s">
        <v>36</v>
      </c>
      <c r="E1403" t="s">
        <v>61</v>
      </c>
      <c r="F1403">
        <v>26</v>
      </c>
      <c r="G1403" t="s">
        <v>61</v>
      </c>
      <c r="H1403" t="s">
        <v>1473</v>
      </c>
      <c r="I1403">
        <v>3</v>
      </c>
      <c r="J1403" t="s">
        <v>46</v>
      </c>
      <c r="K1403">
        <v>4</v>
      </c>
      <c r="L1403">
        <v>5</v>
      </c>
      <c r="M1403" t="s">
        <v>56</v>
      </c>
      <c r="N1403">
        <v>2</v>
      </c>
      <c r="O1403" t="s">
        <v>48</v>
      </c>
      <c r="P1403" s="1">
        <v>19636</v>
      </c>
      <c r="Q1403" t="s">
        <v>90</v>
      </c>
      <c r="R1403" t="s">
        <v>35</v>
      </c>
      <c r="S1403">
        <v>3</v>
      </c>
      <c r="T1403">
        <v>35</v>
      </c>
      <c r="U1403">
        <v>3</v>
      </c>
      <c r="V1403">
        <v>10</v>
      </c>
      <c r="W1403">
        <v>9</v>
      </c>
      <c r="X1403">
        <v>1</v>
      </c>
      <c r="Y1403">
        <v>4</v>
      </c>
      <c r="Z1403" t="s">
        <v>106</v>
      </c>
      <c r="AA1403" t="s">
        <v>82</v>
      </c>
      <c r="AB1403" t="str" cm="1">
        <f t="array" ref="AB1403">_xlfn.IFS(cleaned_data[[#This Row],[YearsAtCompany]]&lt;=5, "0-5",cleaned_data[[#This Row],[YearsAtCompany]]&lt;=10,"6-10",TRUE,"10+")</f>
        <v>6-10</v>
      </c>
    </row>
    <row r="1404" spans="1:28" x14ac:dyDescent="0.3">
      <c r="A1404" s="2">
        <v>31</v>
      </c>
      <c r="B1404" t="s">
        <v>43</v>
      </c>
      <c r="C1404">
        <v>0</v>
      </c>
      <c r="D1404" t="s">
        <v>36</v>
      </c>
      <c r="E1404" t="s">
        <v>45</v>
      </c>
      <c r="F1404">
        <v>2</v>
      </c>
      <c r="G1404" t="s">
        <v>51</v>
      </c>
      <c r="H1404" t="s">
        <v>1474</v>
      </c>
      <c r="I1404">
        <v>4</v>
      </c>
      <c r="J1404" t="s">
        <v>39</v>
      </c>
      <c r="K1404">
        <v>1</v>
      </c>
      <c r="L1404">
        <v>1</v>
      </c>
      <c r="M1404" t="s">
        <v>50</v>
      </c>
      <c r="N1404">
        <v>4</v>
      </c>
      <c r="O1404" t="s">
        <v>52</v>
      </c>
      <c r="P1404" s="1">
        <v>1129</v>
      </c>
      <c r="Q1404" t="s">
        <v>72</v>
      </c>
      <c r="R1404" t="s">
        <v>35</v>
      </c>
      <c r="S1404">
        <v>3</v>
      </c>
      <c r="T1404">
        <v>1</v>
      </c>
      <c r="U1404">
        <v>3</v>
      </c>
      <c r="V1404">
        <v>1</v>
      </c>
      <c r="W1404">
        <v>0</v>
      </c>
      <c r="X1404">
        <v>0</v>
      </c>
      <c r="Y1404">
        <v>0</v>
      </c>
      <c r="Z1404" t="s">
        <v>1551</v>
      </c>
      <c r="AA1404" t="s">
        <v>78</v>
      </c>
      <c r="AB1404" t="str" cm="1">
        <f t="array" ref="AB1404">_xlfn.IFS(cleaned_data[[#This Row],[YearsAtCompany]]&lt;=5, "0-5",cleaned_data[[#This Row],[YearsAtCompany]]&lt;=10,"6-10",TRUE,"10+")</f>
        <v>0-5</v>
      </c>
    </row>
    <row r="1405" spans="1:28" x14ac:dyDescent="0.3">
      <c r="A1405" s="2">
        <v>39</v>
      </c>
      <c r="B1405" t="s">
        <v>43</v>
      </c>
      <c r="C1405">
        <v>0</v>
      </c>
      <c r="D1405" t="s">
        <v>36</v>
      </c>
      <c r="E1405" t="s">
        <v>37</v>
      </c>
      <c r="F1405">
        <v>15</v>
      </c>
      <c r="G1405" t="s">
        <v>59</v>
      </c>
      <c r="H1405" t="s">
        <v>1475</v>
      </c>
      <c r="I1405">
        <v>2</v>
      </c>
      <c r="J1405" t="s">
        <v>46</v>
      </c>
      <c r="K1405">
        <v>3</v>
      </c>
      <c r="L1405">
        <v>4</v>
      </c>
      <c r="M1405" t="s">
        <v>40</v>
      </c>
      <c r="N1405">
        <v>1</v>
      </c>
      <c r="O1405" t="s">
        <v>41</v>
      </c>
      <c r="P1405" s="6">
        <v>13341</v>
      </c>
      <c r="Q1405" t="s">
        <v>90</v>
      </c>
      <c r="R1405" t="s">
        <v>43</v>
      </c>
      <c r="S1405">
        <v>3</v>
      </c>
      <c r="T1405">
        <v>21</v>
      </c>
      <c r="U1405">
        <v>3</v>
      </c>
      <c r="V1405">
        <v>20</v>
      </c>
      <c r="W1405">
        <v>8</v>
      </c>
      <c r="X1405">
        <v>11</v>
      </c>
      <c r="Y1405">
        <v>10</v>
      </c>
      <c r="Z1405" t="s">
        <v>1550</v>
      </c>
      <c r="AA1405" t="s">
        <v>82</v>
      </c>
      <c r="AB1405" t="str" cm="1">
        <f t="array" ref="AB1405">_xlfn.IFS(cleaned_data[[#This Row],[YearsAtCompany]]&lt;=5, "0-5",cleaned_data[[#This Row],[YearsAtCompany]]&lt;=10,"6-10",TRUE,"10+")</f>
        <v>10+</v>
      </c>
    </row>
    <row r="1406" spans="1:28" x14ac:dyDescent="0.3">
      <c r="A1406" s="2">
        <v>42</v>
      </c>
      <c r="B1406" t="s">
        <v>43</v>
      </c>
      <c r="C1406">
        <v>0</v>
      </c>
      <c r="D1406" t="s">
        <v>55</v>
      </c>
      <c r="E1406" t="s">
        <v>45</v>
      </c>
      <c r="F1406">
        <v>23</v>
      </c>
      <c r="G1406" t="s">
        <v>38</v>
      </c>
      <c r="H1406" t="s">
        <v>1476</v>
      </c>
      <c r="I1406">
        <v>4</v>
      </c>
      <c r="J1406" t="s">
        <v>46</v>
      </c>
      <c r="K1406">
        <v>2</v>
      </c>
      <c r="L1406">
        <v>2</v>
      </c>
      <c r="M1406" t="s">
        <v>47</v>
      </c>
      <c r="N1406">
        <v>3</v>
      </c>
      <c r="O1406" t="s">
        <v>41</v>
      </c>
      <c r="P1406" s="1">
        <v>4332</v>
      </c>
      <c r="Q1406" t="s">
        <v>72</v>
      </c>
      <c r="R1406" t="s">
        <v>43</v>
      </c>
      <c r="S1406">
        <v>3</v>
      </c>
      <c r="T1406">
        <v>20</v>
      </c>
      <c r="U1406">
        <v>3</v>
      </c>
      <c r="V1406">
        <v>20</v>
      </c>
      <c r="W1406">
        <v>9</v>
      </c>
      <c r="X1406">
        <v>3</v>
      </c>
      <c r="Y1406">
        <v>7</v>
      </c>
      <c r="Z1406" t="s">
        <v>1550</v>
      </c>
      <c r="AA1406" t="s">
        <v>82</v>
      </c>
      <c r="AB1406" t="str" cm="1">
        <f t="array" ref="AB1406">_xlfn.IFS(cleaned_data[[#This Row],[YearsAtCompany]]&lt;=5, "0-5",cleaned_data[[#This Row],[YearsAtCompany]]&lt;=10,"6-10",TRUE,"10+")</f>
        <v>10+</v>
      </c>
    </row>
    <row r="1407" spans="1:28" x14ac:dyDescent="0.3">
      <c r="A1407" s="2">
        <v>31</v>
      </c>
      <c r="B1407" t="s">
        <v>43</v>
      </c>
      <c r="C1407">
        <v>0</v>
      </c>
      <c r="D1407" t="s">
        <v>55</v>
      </c>
      <c r="E1407" t="s">
        <v>45</v>
      </c>
      <c r="F1407">
        <v>10</v>
      </c>
      <c r="G1407" t="s">
        <v>51</v>
      </c>
      <c r="H1407" t="s">
        <v>1477</v>
      </c>
      <c r="I1407">
        <v>3</v>
      </c>
      <c r="J1407" t="s">
        <v>39</v>
      </c>
      <c r="K1407">
        <v>3</v>
      </c>
      <c r="L1407">
        <v>3</v>
      </c>
      <c r="M1407" t="s">
        <v>58</v>
      </c>
      <c r="N1407">
        <v>3</v>
      </c>
      <c r="O1407" t="s">
        <v>48</v>
      </c>
      <c r="P1407" s="1">
        <v>11031</v>
      </c>
      <c r="Q1407" t="s">
        <v>67</v>
      </c>
      <c r="R1407" t="s">
        <v>43</v>
      </c>
      <c r="S1407">
        <v>4</v>
      </c>
      <c r="T1407">
        <v>13</v>
      </c>
      <c r="U1407">
        <v>4</v>
      </c>
      <c r="V1407">
        <v>11</v>
      </c>
      <c r="W1407">
        <v>7</v>
      </c>
      <c r="X1407">
        <v>4</v>
      </c>
      <c r="Y1407">
        <v>8</v>
      </c>
      <c r="Z1407" t="s">
        <v>1551</v>
      </c>
      <c r="AA1407" t="s">
        <v>69</v>
      </c>
      <c r="AB1407" t="str" cm="1">
        <f t="array" ref="AB1407">_xlfn.IFS(cleaned_data[[#This Row],[YearsAtCompany]]&lt;=5, "0-5",cleaned_data[[#This Row],[YearsAtCompany]]&lt;=10,"6-10",TRUE,"10+")</f>
        <v>10+</v>
      </c>
    </row>
    <row r="1408" spans="1:28" x14ac:dyDescent="0.3">
      <c r="A1408" s="2">
        <v>54</v>
      </c>
      <c r="B1408" t="s">
        <v>43</v>
      </c>
      <c r="C1408">
        <v>0</v>
      </c>
      <c r="D1408" t="s">
        <v>36</v>
      </c>
      <c r="E1408" t="s">
        <v>45</v>
      </c>
      <c r="F1408">
        <v>10</v>
      </c>
      <c r="G1408" t="s">
        <v>51</v>
      </c>
      <c r="H1408" t="s">
        <v>1478</v>
      </c>
      <c r="I1408">
        <v>3</v>
      </c>
      <c r="J1408" t="s">
        <v>39</v>
      </c>
      <c r="K1408">
        <v>3</v>
      </c>
      <c r="L1408">
        <v>2</v>
      </c>
      <c r="M1408" t="s">
        <v>53</v>
      </c>
      <c r="N1408">
        <v>1</v>
      </c>
      <c r="O1408" t="s">
        <v>41</v>
      </c>
      <c r="P1408" s="6">
        <v>4440</v>
      </c>
      <c r="Q1408" t="s">
        <v>72</v>
      </c>
      <c r="R1408" t="s">
        <v>35</v>
      </c>
      <c r="S1408">
        <v>3</v>
      </c>
      <c r="T1408">
        <v>9</v>
      </c>
      <c r="U1408">
        <v>3</v>
      </c>
      <c r="V1408">
        <v>5</v>
      </c>
      <c r="W1408">
        <v>2</v>
      </c>
      <c r="X1408">
        <v>1</v>
      </c>
      <c r="Y1408">
        <v>4</v>
      </c>
      <c r="Z1408" t="s">
        <v>106</v>
      </c>
      <c r="AA1408" t="s">
        <v>69</v>
      </c>
      <c r="AB1408" t="str" cm="1">
        <f t="array" ref="AB1408">_xlfn.IFS(cleaned_data[[#This Row],[YearsAtCompany]]&lt;=5, "0-5",cleaned_data[[#This Row],[YearsAtCompany]]&lt;=10,"6-10",TRUE,"10+")</f>
        <v>0-5</v>
      </c>
    </row>
    <row r="1409" spans="1:28" x14ac:dyDescent="0.3">
      <c r="A1409" s="2">
        <v>24</v>
      </c>
      <c r="B1409" t="s">
        <v>43</v>
      </c>
      <c r="C1409">
        <v>0</v>
      </c>
      <c r="D1409" t="s">
        <v>36</v>
      </c>
      <c r="E1409" t="s">
        <v>45</v>
      </c>
      <c r="F1409">
        <v>1</v>
      </c>
      <c r="G1409" t="s">
        <v>38</v>
      </c>
      <c r="H1409" t="s">
        <v>1479</v>
      </c>
      <c r="I1409">
        <v>2</v>
      </c>
      <c r="J1409" t="s">
        <v>46</v>
      </c>
      <c r="K1409">
        <v>2</v>
      </c>
      <c r="L1409">
        <v>2</v>
      </c>
      <c r="M1409" t="s">
        <v>54</v>
      </c>
      <c r="N1409">
        <v>3</v>
      </c>
      <c r="O1409" t="s">
        <v>41</v>
      </c>
      <c r="P1409" s="1">
        <v>4617</v>
      </c>
      <c r="Q1409" t="s">
        <v>72</v>
      </c>
      <c r="R1409" t="s">
        <v>43</v>
      </c>
      <c r="S1409">
        <v>3</v>
      </c>
      <c r="T1409">
        <v>4</v>
      </c>
      <c r="U1409">
        <v>2</v>
      </c>
      <c r="V1409">
        <v>4</v>
      </c>
      <c r="W1409">
        <v>3</v>
      </c>
      <c r="X1409">
        <v>1</v>
      </c>
      <c r="Y1409">
        <v>2</v>
      </c>
      <c r="Z1409" t="s">
        <v>68</v>
      </c>
      <c r="AA1409" t="s">
        <v>78</v>
      </c>
      <c r="AB1409" t="str" cm="1">
        <f t="array" ref="AB1409">_xlfn.IFS(cleaned_data[[#This Row],[YearsAtCompany]]&lt;=5, "0-5",cleaned_data[[#This Row],[YearsAtCompany]]&lt;=10,"6-10",TRUE,"10+")</f>
        <v>0-5</v>
      </c>
    </row>
    <row r="1410" spans="1:28" x14ac:dyDescent="0.3">
      <c r="A1410" s="2">
        <v>23</v>
      </c>
      <c r="B1410" t="s">
        <v>43</v>
      </c>
      <c r="C1410">
        <v>0</v>
      </c>
      <c r="D1410" t="s">
        <v>36</v>
      </c>
      <c r="E1410" t="s">
        <v>45</v>
      </c>
      <c r="F1410">
        <v>12</v>
      </c>
      <c r="G1410" t="s">
        <v>49</v>
      </c>
      <c r="H1410" t="s">
        <v>1480</v>
      </c>
      <c r="I1410">
        <v>4</v>
      </c>
      <c r="J1410" t="s">
        <v>46</v>
      </c>
      <c r="K1410">
        <v>3</v>
      </c>
      <c r="L1410">
        <v>1</v>
      </c>
      <c r="M1410" t="s">
        <v>50</v>
      </c>
      <c r="N1410">
        <v>4</v>
      </c>
      <c r="O1410" t="s">
        <v>41</v>
      </c>
      <c r="P1410" s="1">
        <v>2647</v>
      </c>
      <c r="Q1410" t="s">
        <v>72</v>
      </c>
      <c r="R1410" t="s">
        <v>43</v>
      </c>
      <c r="S1410">
        <v>3</v>
      </c>
      <c r="T1410">
        <v>5</v>
      </c>
      <c r="U1410">
        <v>4</v>
      </c>
      <c r="V1410">
        <v>5</v>
      </c>
      <c r="W1410">
        <v>2</v>
      </c>
      <c r="X1410">
        <v>1</v>
      </c>
      <c r="Y1410">
        <v>4</v>
      </c>
      <c r="Z1410" t="s">
        <v>68</v>
      </c>
      <c r="AA1410" t="s">
        <v>78</v>
      </c>
      <c r="AB1410" t="str" cm="1">
        <f t="array" ref="AB1410">_xlfn.IFS(cleaned_data[[#This Row],[YearsAtCompany]]&lt;=5, "0-5",cleaned_data[[#This Row],[YearsAtCompany]]&lt;=10,"6-10",TRUE,"10+")</f>
        <v>0-5</v>
      </c>
    </row>
    <row r="1411" spans="1:28" x14ac:dyDescent="0.3">
      <c r="A1411" s="2">
        <v>40</v>
      </c>
      <c r="B1411" t="s">
        <v>43</v>
      </c>
      <c r="C1411">
        <v>0</v>
      </c>
      <c r="D1411" t="s">
        <v>44</v>
      </c>
      <c r="E1411" t="s">
        <v>45</v>
      </c>
      <c r="F1411">
        <v>11</v>
      </c>
      <c r="G1411" t="s">
        <v>60</v>
      </c>
      <c r="H1411" t="s">
        <v>1481</v>
      </c>
      <c r="I1411">
        <v>4</v>
      </c>
      <c r="J1411" t="s">
        <v>39</v>
      </c>
      <c r="K1411">
        <v>3</v>
      </c>
      <c r="L1411">
        <v>2</v>
      </c>
      <c r="M1411" t="s">
        <v>50</v>
      </c>
      <c r="N1411">
        <v>3</v>
      </c>
      <c r="O1411" t="s">
        <v>48</v>
      </c>
      <c r="P1411" s="1">
        <v>6323</v>
      </c>
      <c r="Q1411" t="s">
        <v>67</v>
      </c>
      <c r="R1411" t="s">
        <v>43</v>
      </c>
      <c r="S1411">
        <v>3</v>
      </c>
      <c r="T1411">
        <v>10</v>
      </c>
      <c r="U1411">
        <v>4</v>
      </c>
      <c r="V1411">
        <v>10</v>
      </c>
      <c r="W1411">
        <v>9</v>
      </c>
      <c r="X1411">
        <v>9</v>
      </c>
      <c r="Y1411">
        <v>4</v>
      </c>
      <c r="Z1411" t="s">
        <v>1550</v>
      </c>
      <c r="AA1411" t="s">
        <v>69</v>
      </c>
      <c r="AB1411" t="str" cm="1">
        <f t="array" ref="AB1411">_xlfn.IFS(cleaned_data[[#This Row],[YearsAtCompany]]&lt;=5, "0-5",cleaned_data[[#This Row],[YearsAtCompany]]&lt;=10,"6-10",TRUE,"10+")</f>
        <v>6-10</v>
      </c>
    </row>
    <row r="1412" spans="1:28" x14ac:dyDescent="0.3">
      <c r="A1412" s="2">
        <v>40</v>
      </c>
      <c r="B1412" t="s">
        <v>43</v>
      </c>
      <c r="C1412">
        <v>0</v>
      </c>
      <c r="D1412" t="s">
        <v>36</v>
      </c>
      <c r="E1412" t="s">
        <v>37</v>
      </c>
      <c r="F1412">
        <v>2</v>
      </c>
      <c r="G1412" t="s">
        <v>59</v>
      </c>
      <c r="H1412" t="s">
        <v>1482</v>
      </c>
      <c r="I1412">
        <v>2</v>
      </c>
      <c r="J1412" t="s">
        <v>39</v>
      </c>
      <c r="K1412">
        <v>3</v>
      </c>
      <c r="L1412">
        <v>2</v>
      </c>
      <c r="M1412" t="s">
        <v>40</v>
      </c>
      <c r="N1412">
        <v>2</v>
      </c>
      <c r="O1412" t="s">
        <v>48</v>
      </c>
      <c r="P1412" s="1">
        <v>5677</v>
      </c>
      <c r="Q1412" t="s">
        <v>67</v>
      </c>
      <c r="R1412" t="s">
        <v>43</v>
      </c>
      <c r="S1412">
        <v>3</v>
      </c>
      <c r="T1412">
        <v>15</v>
      </c>
      <c r="U1412">
        <v>3</v>
      </c>
      <c r="V1412">
        <v>11</v>
      </c>
      <c r="W1412">
        <v>8</v>
      </c>
      <c r="X1412">
        <v>5</v>
      </c>
      <c r="Y1412">
        <v>10</v>
      </c>
      <c r="Z1412" t="s">
        <v>1550</v>
      </c>
      <c r="AA1412" t="s">
        <v>69</v>
      </c>
      <c r="AB1412" t="str" cm="1">
        <f t="array" ref="AB1412">_xlfn.IFS(cleaned_data[[#This Row],[YearsAtCompany]]&lt;=5, "0-5",cleaned_data[[#This Row],[YearsAtCompany]]&lt;=10,"6-10",TRUE,"10+")</f>
        <v>10+</v>
      </c>
    </row>
    <row r="1413" spans="1:28" x14ac:dyDescent="0.3">
      <c r="A1413" s="2">
        <v>25</v>
      </c>
      <c r="B1413" t="s">
        <v>43</v>
      </c>
      <c r="C1413">
        <v>0</v>
      </c>
      <c r="D1413" t="s">
        <v>36</v>
      </c>
      <c r="E1413" t="s">
        <v>61</v>
      </c>
      <c r="F1413">
        <v>2</v>
      </c>
      <c r="G1413" t="s">
        <v>61</v>
      </c>
      <c r="H1413" t="s">
        <v>1483</v>
      </c>
      <c r="I1413">
        <v>3</v>
      </c>
      <c r="J1413" t="s">
        <v>39</v>
      </c>
      <c r="K1413">
        <v>3</v>
      </c>
      <c r="L1413">
        <v>1</v>
      </c>
      <c r="M1413" t="s">
        <v>61</v>
      </c>
      <c r="N1413">
        <v>2</v>
      </c>
      <c r="O1413" t="s">
        <v>48</v>
      </c>
      <c r="P1413" s="1">
        <v>2187</v>
      </c>
      <c r="Q1413" t="s">
        <v>72</v>
      </c>
      <c r="R1413" t="s">
        <v>43</v>
      </c>
      <c r="S1413">
        <v>3</v>
      </c>
      <c r="T1413">
        <v>6</v>
      </c>
      <c r="U1413">
        <v>3</v>
      </c>
      <c r="V1413">
        <v>2</v>
      </c>
      <c r="W1413">
        <v>0</v>
      </c>
      <c r="X1413">
        <v>1</v>
      </c>
      <c r="Y1413">
        <v>2</v>
      </c>
      <c r="Z1413" t="s">
        <v>68</v>
      </c>
      <c r="AA1413" t="s">
        <v>69</v>
      </c>
      <c r="AB1413" t="str" cm="1">
        <f t="array" ref="AB1413">_xlfn.IFS(cleaned_data[[#This Row],[YearsAtCompany]]&lt;=5, "0-5",cleaned_data[[#This Row],[YearsAtCompany]]&lt;=10,"6-10",TRUE,"10+")</f>
        <v>0-5</v>
      </c>
    </row>
    <row r="1414" spans="1:28" x14ac:dyDescent="0.3">
      <c r="A1414" s="2">
        <v>30</v>
      </c>
      <c r="B1414" t="s">
        <v>43</v>
      </c>
      <c r="C1414">
        <v>0</v>
      </c>
      <c r="D1414" t="s">
        <v>36</v>
      </c>
      <c r="E1414" t="s">
        <v>45</v>
      </c>
      <c r="F1414">
        <v>1</v>
      </c>
      <c r="G1414" t="s">
        <v>51</v>
      </c>
      <c r="H1414" t="s">
        <v>1484</v>
      </c>
      <c r="I1414">
        <v>4</v>
      </c>
      <c r="J1414" t="s">
        <v>46</v>
      </c>
      <c r="K1414">
        <v>3</v>
      </c>
      <c r="L1414">
        <v>1</v>
      </c>
      <c r="M1414" t="s">
        <v>50</v>
      </c>
      <c r="N1414">
        <v>2</v>
      </c>
      <c r="O1414" t="s">
        <v>48</v>
      </c>
      <c r="P1414" s="1">
        <v>3748</v>
      </c>
      <c r="Q1414" t="s">
        <v>72</v>
      </c>
      <c r="R1414" t="s">
        <v>43</v>
      </c>
      <c r="S1414">
        <v>3</v>
      </c>
      <c r="T1414">
        <v>12</v>
      </c>
      <c r="U1414">
        <v>2</v>
      </c>
      <c r="V1414">
        <v>12</v>
      </c>
      <c r="W1414">
        <v>8</v>
      </c>
      <c r="X1414">
        <v>1</v>
      </c>
      <c r="Y1414">
        <v>7</v>
      </c>
      <c r="Z1414" t="s">
        <v>1551</v>
      </c>
      <c r="AA1414" t="s">
        <v>69</v>
      </c>
      <c r="AB1414" t="str" cm="1">
        <f t="array" ref="AB1414">_xlfn.IFS(cleaned_data[[#This Row],[YearsAtCompany]]&lt;=5, "0-5",cleaned_data[[#This Row],[YearsAtCompany]]&lt;=10,"6-10",TRUE,"10+")</f>
        <v>10+</v>
      </c>
    </row>
    <row r="1415" spans="1:28" x14ac:dyDescent="0.3">
      <c r="A1415" s="2">
        <v>25</v>
      </c>
      <c r="B1415" t="s">
        <v>43</v>
      </c>
      <c r="C1415">
        <v>0</v>
      </c>
      <c r="D1415" t="s">
        <v>36</v>
      </c>
      <c r="E1415" t="s">
        <v>45</v>
      </c>
      <c r="F1415">
        <v>2</v>
      </c>
      <c r="G1415" t="s">
        <v>49</v>
      </c>
      <c r="H1415" t="s">
        <v>1485</v>
      </c>
      <c r="I1415">
        <v>4</v>
      </c>
      <c r="J1415" t="s">
        <v>46</v>
      </c>
      <c r="K1415">
        <v>3</v>
      </c>
      <c r="L1415">
        <v>1</v>
      </c>
      <c r="M1415" t="s">
        <v>50</v>
      </c>
      <c r="N1415">
        <v>3</v>
      </c>
      <c r="O1415" t="s">
        <v>52</v>
      </c>
      <c r="P1415" s="1">
        <v>3977</v>
      </c>
      <c r="Q1415" t="s">
        <v>72</v>
      </c>
      <c r="R1415" t="s">
        <v>35</v>
      </c>
      <c r="S1415">
        <v>3</v>
      </c>
      <c r="T1415">
        <v>7</v>
      </c>
      <c r="U1415">
        <v>2</v>
      </c>
      <c r="V1415">
        <v>2</v>
      </c>
      <c r="W1415">
        <v>2</v>
      </c>
      <c r="X1415">
        <v>0</v>
      </c>
      <c r="Y1415">
        <v>2</v>
      </c>
      <c r="Z1415" t="s">
        <v>68</v>
      </c>
      <c r="AA1415" t="s">
        <v>69</v>
      </c>
      <c r="AB1415" t="str" cm="1">
        <f t="array" ref="AB1415">_xlfn.IFS(cleaned_data[[#This Row],[YearsAtCompany]]&lt;=5, "0-5",cleaned_data[[#This Row],[YearsAtCompany]]&lt;=10,"6-10",TRUE,"10+")</f>
        <v>0-5</v>
      </c>
    </row>
    <row r="1416" spans="1:28" x14ac:dyDescent="0.3">
      <c r="A1416" s="2">
        <v>47</v>
      </c>
      <c r="B1416" t="s">
        <v>43</v>
      </c>
      <c r="C1416">
        <v>0</v>
      </c>
      <c r="D1416" t="s">
        <v>36</v>
      </c>
      <c r="E1416" t="s">
        <v>45</v>
      </c>
      <c r="F1416">
        <v>25</v>
      </c>
      <c r="G1416" t="s">
        <v>51</v>
      </c>
      <c r="H1416" t="s">
        <v>1486</v>
      </c>
      <c r="I1416">
        <v>1</v>
      </c>
      <c r="J1416" t="s">
        <v>46</v>
      </c>
      <c r="K1416">
        <v>3</v>
      </c>
      <c r="L1416">
        <v>3</v>
      </c>
      <c r="M1416" t="s">
        <v>54</v>
      </c>
      <c r="N1416">
        <v>3</v>
      </c>
      <c r="O1416" t="s">
        <v>41</v>
      </c>
      <c r="P1416" s="1">
        <v>8633</v>
      </c>
      <c r="Q1416" t="s">
        <v>67</v>
      </c>
      <c r="R1416" t="s">
        <v>43</v>
      </c>
      <c r="S1416">
        <v>4</v>
      </c>
      <c r="T1416">
        <v>25</v>
      </c>
      <c r="U1416">
        <v>3</v>
      </c>
      <c r="V1416">
        <v>17</v>
      </c>
      <c r="W1416">
        <v>14</v>
      </c>
      <c r="X1416">
        <v>12</v>
      </c>
      <c r="Y1416">
        <v>11</v>
      </c>
      <c r="Z1416" t="s">
        <v>106</v>
      </c>
      <c r="AA1416" t="s">
        <v>82</v>
      </c>
      <c r="AB1416" t="str" cm="1">
        <f t="array" ref="AB1416">_xlfn.IFS(cleaned_data[[#This Row],[YearsAtCompany]]&lt;=5, "0-5",cleaned_data[[#This Row],[YearsAtCompany]]&lt;=10,"6-10",TRUE,"10+")</f>
        <v>10+</v>
      </c>
    </row>
    <row r="1417" spans="1:28" x14ac:dyDescent="0.3">
      <c r="A1417" s="2">
        <v>33</v>
      </c>
      <c r="B1417" t="s">
        <v>43</v>
      </c>
      <c r="C1417">
        <v>0</v>
      </c>
      <c r="D1417" t="s">
        <v>55</v>
      </c>
      <c r="E1417" t="s">
        <v>45</v>
      </c>
      <c r="F1417">
        <v>1</v>
      </c>
      <c r="G1417" t="s">
        <v>51</v>
      </c>
      <c r="H1417" t="s">
        <v>1487</v>
      </c>
      <c r="I1417">
        <v>2</v>
      </c>
      <c r="J1417" t="s">
        <v>46</v>
      </c>
      <c r="K1417">
        <v>2</v>
      </c>
      <c r="L1417">
        <v>1</v>
      </c>
      <c r="M1417" t="s">
        <v>50</v>
      </c>
      <c r="N1417">
        <v>3</v>
      </c>
      <c r="O1417" t="s">
        <v>52</v>
      </c>
      <c r="P1417" s="1">
        <v>2008</v>
      </c>
      <c r="Q1417" t="s">
        <v>72</v>
      </c>
      <c r="R1417" t="s">
        <v>43</v>
      </c>
      <c r="S1417">
        <v>3</v>
      </c>
      <c r="T1417">
        <v>1</v>
      </c>
      <c r="U1417">
        <v>2</v>
      </c>
      <c r="V1417">
        <v>1</v>
      </c>
      <c r="W1417">
        <v>1</v>
      </c>
      <c r="X1417">
        <v>0</v>
      </c>
      <c r="Y1417">
        <v>0</v>
      </c>
      <c r="Z1417" t="s">
        <v>1551</v>
      </c>
      <c r="AA1417" t="s">
        <v>78</v>
      </c>
      <c r="AB1417" t="str" cm="1">
        <f t="array" ref="AB1417">_xlfn.IFS(cleaned_data[[#This Row],[YearsAtCompany]]&lt;=5, "0-5",cleaned_data[[#This Row],[YearsAtCompany]]&lt;=10,"6-10",TRUE,"10+")</f>
        <v>0-5</v>
      </c>
    </row>
    <row r="1418" spans="1:28" x14ac:dyDescent="0.3">
      <c r="A1418" s="2">
        <v>38</v>
      </c>
      <c r="B1418" t="s">
        <v>43</v>
      </c>
      <c r="C1418">
        <v>0</v>
      </c>
      <c r="D1418" t="s">
        <v>36</v>
      </c>
      <c r="E1418" t="s">
        <v>37</v>
      </c>
      <c r="F1418">
        <v>1</v>
      </c>
      <c r="G1418" t="s">
        <v>38</v>
      </c>
      <c r="H1418" t="s">
        <v>1488</v>
      </c>
      <c r="I1418">
        <v>4</v>
      </c>
      <c r="J1418" t="s">
        <v>46</v>
      </c>
      <c r="K1418">
        <v>3</v>
      </c>
      <c r="L1418">
        <v>2</v>
      </c>
      <c r="M1418" t="s">
        <v>40</v>
      </c>
      <c r="N1418">
        <v>2</v>
      </c>
      <c r="O1418" t="s">
        <v>48</v>
      </c>
      <c r="P1418" s="1">
        <v>4440</v>
      </c>
      <c r="Q1418" t="s">
        <v>72</v>
      </c>
      <c r="R1418" t="s">
        <v>43</v>
      </c>
      <c r="S1418">
        <v>3</v>
      </c>
      <c r="T1418">
        <v>16</v>
      </c>
      <c r="U1418">
        <v>3</v>
      </c>
      <c r="V1418">
        <v>15</v>
      </c>
      <c r="W1418">
        <v>13</v>
      </c>
      <c r="X1418">
        <v>5</v>
      </c>
      <c r="Y1418">
        <v>8</v>
      </c>
      <c r="Z1418" t="s">
        <v>1550</v>
      </c>
      <c r="AA1418" t="s">
        <v>82</v>
      </c>
      <c r="AB1418" t="str" cm="1">
        <f t="array" ref="AB1418">_xlfn.IFS(cleaned_data[[#This Row],[YearsAtCompany]]&lt;=5, "0-5",cleaned_data[[#This Row],[YearsAtCompany]]&lt;=10,"6-10",TRUE,"10+")</f>
        <v>10+</v>
      </c>
    </row>
    <row r="1419" spans="1:28" x14ac:dyDescent="0.3">
      <c r="A1419" s="2">
        <v>31</v>
      </c>
      <c r="B1419" t="s">
        <v>43</v>
      </c>
      <c r="C1419">
        <v>0</v>
      </c>
      <c r="D1419" t="s">
        <v>36</v>
      </c>
      <c r="E1419" t="s">
        <v>37</v>
      </c>
      <c r="F1419">
        <v>2</v>
      </c>
      <c r="G1419" t="s">
        <v>38</v>
      </c>
      <c r="H1419" t="s">
        <v>1489</v>
      </c>
      <c r="I1419">
        <v>1</v>
      </c>
      <c r="J1419" t="s">
        <v>46</v>
      </c>
      <c r="K1419">
        <v>3</v>
      </c>
      <c r="L1419">
        <v>1</v>
      </c>
      <c r="M1419" t="s">
        <v>57</v>
      </c>
      <c r="N1419">
        <v>3</v>
      </c>
      <c r="O1419" t="s">
        <v>48</v>
      </c>
      <c r="P1419" s="1">
        <v>3067</v>
      </c>
      <c r="Q1419" t="s">
        <v>72</v>
      </c>
      <c r="R1419" t="s">
        <v>43</v>
      </c>
      <c r="S1419">
        <v>3</v>
      </c>
      <c r="T1419">
        <v>3</v>
      </c>
      <c r="U1419">
        <v>3</v>
      </c>
      <c r="V1419">
        <v>2</v>
      </c>
      <c r="W1419">
        <v>2</v>
      </c>
      <c r="X1419">
        <v>1</v>
      </c>
      <c r="Y1419">
        <v>2</v>
      </c>
      <c r="Z1419" t="s">
        <v>1551</v>
      </c>
      <c r="AA1419" t="s">
        <v>78</v>
      </c>
      <c r="AB1419" t="str" cm="1">
        <f t="array" ref="AB1419">_xlfn.IFS(cleaned_data[[#This Row],[YearsAtCompany]]&lt;=5, "0-5",cleaned_data[[#This Row],[YearsAtCompany]]&lt;=10,"6-10",TRUE,"10+")</f>
        <v>0-5</v>
      </c>
    </row>
    <row r="1420" spans="1:28" x14ac:dyDescent="0.3">
      <c r="A1420" s="2">
        <v>38</v>
      </c>
      <c r="B1420" t="s">
        <v>43</v>
      </c>
      <c r="C1420">
        <v>0</v>
      </c>
      <c r="D1420" t="s">
        <v>44</v>
      </c>
      <c r="E1420" t="s">
        <v>45</v>
      </c>
      <c r="F1420">
        <v>6</v>
      </c>
      <c r="G1420" t="s">
        <v>38</v>
      </c>
      <c r="H1420" t="s">
        <v>1490</v>
      </c>
      <c r="I1420">
        <v>1</v>
      </c>
      <c r="J1420" t="s">
        <v>46</v>
      </c>
      <c r="K1420">
        <v>2</v>
      </c>
      <c r="L1420">
        <v>2</v>
      </c>
      <c r="M1420" t="s">
        <v>53</v>
      </c>
      <c r="N1420">
        <v>3</v>
      </c>
      <c r="O1420" t="s">
        <v>48</v>
      </c>
      <c r="P1420" s="1">
        <v>5321</v>
      </c>
      <c r="Q1420" t="s">
        <v>67</v>
      </c>
      <c r="R1420" t="s">
        <v>43</v>
      </c>
      <c r="S1420">
        <v>3</v>
      </c>
      <c r="T1420">
        <v>10</v>
      </c>
      <c r="U1420">
        <v>3</v>
      </c>
      <c r="V1420">
        <v>8</v>
      </c>
      <c r="W1420">
        <v>3</v>
      </c>
      <c r="X1420">
        <v>7</v>
      </c>
      <c r="Y1420">
        <v>7</v>
      </c>
      <c r="Z1420" t="s">
        <v>1550</v>
      </c>
      <c r="AA1420" t="s">
        <v>69</v>
      </c>
      <c r="AB1420" t="str" cm="1">
        <f t="array" ref="AB1420">_xlfn.IFS(cleaned_data[[#This Row],[YearsAtCompany]]&lt;=5, "0-5",cleaned_data[[#This Row],[YearsAtCompany]]&lt;=10,"6-10",TRUE,"10+")</f>
        <v>6-10</v>
      </c>
    </row>
    <row r="1421" spans="1:28" x14ac:dyDescent="0.3">
      <c r="A1421" s="2">
        <v>42</v>
      </c>
      <c r="B1421" t="s">
        <v>43</v>
      </c>
      <c r="C1421">
        <v>0</v>
      </c>
      <c r="D1421" t="s">
        <v>36</v>
      </c>
      <c r="E1421" t="s">
        <v>45</v>
      </c>
      <c r="F1421">
        <v>18</v>
      </c>
      <c r="G1421" t="s">
        <v>38</v>
      </c>
      <c r="H1421" t="s">
        <v>1491</v>
      </c>
      <c r="I1421">
        <v>4</v>
      </c>
      <c r="J1421" t="s">
        <v>46</v>
      </c>
      <c r="K1421">
        <v>3</v>
      </c>
      <c r="L1421">
        <v>2</v>
      </c>
      <c r="M1421" t="s">
        <v>47</v>
      </c>
      <c r="N1421">
        <v>1</v>
      </c>
      <c r="O1421" t="s">
        <v>52</v>
      </c>
      <c r="P1421" s="6">
        <v>5410</v>
      </c>
      <c r="Q1421" t="s">
        <v>67</v>
      </c>
      <c r="R1421" t="s">
        <v>35</v>
      </c>
      <c r="S1421">
        <v>3</v>
      </c>
      <c r="T1421">
        <v>9</v>
      </c>
      <c r="U1421">
        <v>2</v>
      </c>
      <c r="V1421">
        <v>4</v>
      </c>
      <c r="W1421">
        <v>3</v>
      </c>
      <c r="X1421">
        <v>1</v>
      </c>
      <c r="Y1421">
        <v>2</v>
      </c>
      <c r="Z1421" t="s">
        <v>1550</v>
      </c>
      <c r="AA1421" t="s">
        <v>69</v>
      </c>
      <c r="AB1421" t="str" cm="1">
        <f t="array" ref="AB1421">_xlfn.IFS(cleaned_data[[#This Row],[YearsAtCompany]]&lt;=5, "0-5",cleaned_data[[#This Row],[YearsAtCompany]]&lt;=10,"6-10",TRUE,"10+")</f>
        <v>0-5</v>
      </c>
    </row>
    <row r="1422" spans="1:28" x14ac:dyDescent="0.3">
      <c r="A1422" s="2">
        <v>41</v>
      </c>
      <c r="B1422" t="s">
        <v>43</v>
      </c>
      <c r="C1422">
        <v>0</v>
      </c>
      <c r="D1422" t="s">
        <v>36</v>
      </c>
      <c r="E1422" t="s">
        <v>45</v>
      </c>
      <c r="F1422">
        <v>1</v>
      </c>
      <c r="G1422" t="s">
        <v>38</v>
      </c>
      <c r="H1422" t="s">
        <v>1492</v>
      </c>
      <c r="I1422">
        <v>4</v>
      </c>
      <c r="J1422" t="s">
        <v>46</v>
      </c>
      <c r="K1422">
        <v>3</v>
      </c>
      <c r="L1422">
        <v>1</v>
      </c>
      <c r="M1422" t="s">
        <v>47</v>
      </c>
      <c r="N1422">
        <v>4</v>
      </c>
      <c r="O1422" t="s">
        <v>48</v>
      </c>
      <c r="P1422" s="1">
        <v>2782</v>
      </c>
      <c r="Q1422" t="s">
        <v>72</v>
      </c>
      <c r="R1422" t="s">
        <v>43</v>
      </c>
      <c r="S1422">
        <v>4</v>
      </c>
      <c r="T1422">
        <v>12</v>
      </c>
      <c r="U1422">
        <v>3</v>
      </c>
      <c r="V1422">
        <v>5</v>
      </c>
      <c r="W1422">
        <v>3</v>
      </c>
      <c r="X1422">
        <v>1</v>
      </c>
      <c r="Y1422">
        <v>0</v>
      </c>
      <c r="Z1422" t="s">
        <v>1550</v>
      </c>
      <c r="AA1422" t="s">
        <v>69</v>
      </c>
      <c r="AB1422" t="str" cm="1">
        <f t="array" ref="AB1422">_xlfn.IFS(cleaned_data[[#This Row],[YearsAtCompany]]&lt;=5, "0-5",cleaned_data[[#This Row],[YearsAtCompany]]&lt;=10,"6-10",TRUE,"10+")</f>
        <v>0-5</v>
      </c>
    </row>
    <row r="1423" spans="1:28" x14ac:dyDescent="0.3">
      <c r="A1423" s="2">
        <v>47</v>
      </c>
      <c r="B1423" t="s">
        <v>43</v>
      </c>
      <c r="C1423">
        <v>0</v>
      </c>
      <c r="D1423" t="s">
        <v>55</v>
      </c>
      <c r="E1423" t="s">
        <v>45</v>
      </c>
      <c r="F1423">
        <v>1</v>
      </c>
      <c r="G1423" t="s">
        <v>51</v>
      </c>
      <c r="H1423" t="s">
        <v>1493</v>
      </c>
      <c r="I1423">
        <v>3</v>
      </c>
      <c r="J1423" t="s">
        <v>39</v>
      </c>
      <c r="K1423">
        <v>3</v>
      </c>
      <c r="L1423">
        <v>3</v>
      </c>
      <c r="M1423" t="s">
        <v>58</v>
      </c>
      <c r="N1423">
        <v>2</v>
      </c>
      <c r="O1423" t="s">
        <v>48</v>
      </c>
      <c r="P1423" s="1">
        <v>11957</v>
      </c>
      <c r="Q1423" t="s">
        <v>67</v>
      </c>
      <c r="R1423" t="s">
        <v>43</v>
      </c>
      <c r="S1423">
        <v>3</v>
      </c>
      <c r="T1423">
        <v>14</v>
      </c>
      <c r="U1423">
        <v>1</v>
      </c>
      <c r="V1423">
        <v>13</v>
      </c>
      <c r="W1423">
        <v>8</v>
      </c>
      <c r="X1423">
        <v>5</v>
      </c>
      <c r="Y1423">
        <v>12</v>
      </c>
      <c r="Z1423" t="s">
        <v>106</v>
      </c>
      <c r="AA1423" t="s">
        <v>69</v>
      </c>
      <c r="AB1423" t="str" cm="1">
        <f t="array" ref="AB1423">_xlfn.IFS(cleaned_data[[#This Row],[YearsAtCompany]]&lt;=5, "0-5",cleaned_data[[#This Row],[YearsAtCompany]]&lt;=10,"6-10",TRUE,"10+")</f>
        <v>10+</v>
      </c>
    </row>
    <row r="1424" spans="1:28" x14ac:dyDescent="0.3">
      <c r="A1424" s="2">
        <v>35</v>
      </c>
      <c r="B1424" t="s">
        <v>43</v>
      </c>
      <c r="C1424">
        <v>0</v>
      </c>
      <c r="D1424" t="s">
        <v>36</v>
      </c>
      <c r="E1424" t="s">
        <v>45</v>
      </c>
      <c r="F1424">
        <v>11</v>
      </c>
      <c r="G1424" t="s">
        <v>51</v>
      </c>
      <c r="H1424" t="s">
        <v>1494</v>
      </c>
      <c r="I1424">
        <v>4</v>
      </c>
      <c r="J1424" t="s">
        <v>46</v>
      </c>
      <c r="K1424">
        <v>3</v>
      </c>
      <c r="L1424">
        <v>1</v>
      </c>
      <c r="M1424" t="s">
        <v>50</v>
      </c>
      <c r="N1424">
        <v>3</v>
      </c>
      <c r="O1424" t="s">
        <v>48</v>
      </c>
      <c r="P1424" s="1">
        <v>2660</v>
      </c>
      <c r="Q1424" t="s">
        <v>72</v>
      </c>
      <c r="R1424" t="s">
        <v>35</v>
      </c>
      <c r="S1424">
        <v>3</v>
      </c>
      <c r="T1424">
        <v>5</v>
      </c>
      <c r="U1424">
        <v>3</v>
      </c>
      <c r="V1424">
        <v>2</v>
      </c>
      <c r="W1424">
        <v>2</v>
      </c>
      <c r="X1424">
        <v>2</v>
      </c>
      <c r="Y1424">
        <v>2</v>
      </c>
      <c r="Z1424" t="s">
        <v>1551</v>
      </c>
      <c r="AA1424" t="s">
        <v>78</v>
      </c>
      <c r="AB1424" t="str" cm="1">
        <f t="array" ref="AB1424">_xlfn.IFS(cleaned_data[[#This Row],[YearsAtCompany]]&lt;=5, "0-5",cleaned_data[[#This Row],[YearsAtCompany]]&lt;=10,"6-10",TRUE,"10+")</f>
        <v>0-5</v>
      </c>
    </row>
    <row r="1425" spans="1:28" x14ac:dyDescent="0.3">
      <c r="A1425" s="2">
        <v>22</v>
      </c>
      <c r="B1425" t="s">
        <v>43</v>
      </c>
      <c r="C1425">
        <v>0</v>
      </c>
      <c r="D1425" t="s">
        <v>36</v>
      </c>
      <c r="E1425" t="s">
        <v>45</v>
      </c>
      <c r="F1425">
        <v>1</v>
      </c>
      <c r="G1425" t="s">
        <v>38</v>
      </c>
      <c r="H1425" t="s">
        <v>1495</v>
      </c>
      <c r="I1425">
        <v>4</v>
      </c>
      <c r="J1425" t="s">
        <v>46</v>
      </c>
      <c r="K1425">
        <v>3</v>
      </c>
      <c r="L1425">
        <v>1</v>
      </c>
      <c r="M1425" t="s">
        <v>47</v>
      </c>
      <c r="N1425">
        <v>3</v>
      </c>
      <c r="O1425" t="s">
        <v>41</v>
      </c>
      <c r="P1425" s="1">
        <v>3375</v>
      </c>
      <c r="Q1425" t="s">
        <v>72</v>
      </c>
      <c r="R1425" t="s">
        <v>43</v>
      </c>
      <c r="S1425">
        <v>3</v>
      </c>
      <c r="T1425">
        <v>4</v>
      </c>
      <c r="U1425">
        <v>4</v>
      </c>
      <c r="V1425">
        <v>3</v>
      </c>
      <c r="W1425">
        <v>2</v>
      </c>
      <c r="X1425">
        <v>1</v>
      </c>
      <c r="Y1425">
        <v>2</v>
      </c>
      <c r="Z1425" t="s">
        <v>68</v>
      </c>
      <c r="AA1425" t="s">
        <v>78</v>
      </c>
      <c r="AB1425" t="str" cm="1">
        <f t="array" ref="AB1425">_xlfn.IFS(cleaned_data[[#This Row],[YearsAtCompany]]&lt;=5, "0-5",cleaned_data[[#This Row],[YearsAtCompany]]&lt;=10,"6-10",TRUE,"10+")</f>
        <v>0-5</v>
      </c>
    </row>
    <row r="1426" spans="1:28" x14ac:dyDescent="0.3">
      <c r="A1426" s="2">
        <v>35</v>
      </c>
      <c r="B1426" t="s">
        <v>43</v>
      </c>
      <c r="C1426">
        <v>0</v>
      </c>
      <c r="D1426" t="s">
        <v>36</v>
      </c>
      <c r="E1426" t="s">
        <v>45</v>
      </c>
      <c r="F1426">
        <v>9</v>
      </c>
      <c r="G1426" t="s">
        <v>51</v>
      </c>
      <c r="H1426" t="s">
        <v>1496</v>
      </c>
      <c r="I1426">
        <v>2</v>
      </c>
      <c r="J1426" t="s">
        <v>46</v>
      </c>
      <c r="K1426">
        <v>3</v>
      </c>
      <c r="L1426">
        <v>2</v>
      </c>
      <c r="M1426" t="s">
        <v>47</v>
      </c>
      <c r="N1426">
        <v>3</v>
      </c>
      <c r="O1426" t="s">
        <v>41</v>
      </c>
      <c r="P1426" s="1">
        <v>5098</v>
      </c>
      <c r="Q1426" t="s">
        <v>67</v>
      </c>
      <c r="R1426" t="s">
        <v>43</v>
      </c>
      <c r="S1426">
        <v>3</v>
      </c>
      <c r="T1426">
        <v>10</v>
      </c>
      <c r="U1426">
        <v>3</v>
      </c>
      <c r="V1426">
        <v>10</v>
      </c>
      <c r="W1426">
        <v>7</v>
      </c>
      <c r="X1426">
        <v>0</v>
      </c>
      <c r="Y1426">
        <v>8</v>
      </c>
      <c r="Z1426" t="s">
        <v>1551</v>
      </c>
      <c r="AA1426" t="s">
        <v>69</v>
      </c>
      <c r="AB1426" t="str" cm="1">
        <f t="array" ref="AB1426">_xlfn.IFS(cleaned_data[[#This Row],[YearsAtCompany]]&lt;=5, "0-5",cleaned_data[[#This Row],[YearsAtCompany]]&lt;=10,"6-10",TRUE,"10+")</f>
        <v>6-10</v>
      </c>
    </row>
    <row r="1427" spans="1:28" x14ac:dyDescent="0.3">
      <c r="A1427" s="2">
        <v>33</v>
      </c>
      <c r="B1427" t="s">
        <v>43</v>
      </c>
      <c r="C1427">
        <v>0</v>
      </c>
      <c r="D1427" t="s">
        <v>36</v>
      </c>
      <c r="E1427" t="s">
        <v>45</v>
      </c>
      <c r="F1427">
        <v>15</v>
      </c>
      <c r="G1427" t="s">
        <v>51</v>
      </c>
      <c r="H1427" t="s">
        <v>1497</v>
      </c>
      <c r="I1427">
        <v>2</v>
      </c>
      <c r="J1427" t="s">
        <v>39</v>
      </c>
      <c r="K1427">
        <v>3</v>
      </c>
      <c r="L1427">
        <v>2</v>
      </c>
      <c r="M1427" t="s">
        <v>54</v>
      </c>
      <c r="N1427">
        <v>4</v>
      </c>
      <c r="O1427" t="s">
        <v>48</v>
      </c>
      <c r="P1427" s="1">
        <v>4878</v>
      </c>
      <c r="Q1427" t="s">
        <v>72</v>
      </c>
      <c r="R1427" t="s">
        <v>35</v>
      </c>
      <c r="S1427">
        <v>3</v>
      </c>
      <c r="T1427">
        <v>10</v>
      </c>
      <c r="U1427">
        <v>3</v>
      </c>
      <c r="V1427">
        <v>9</v>
      </c>
      <c r="W1427">
        <v>7</v>
      </c>
      <c r="X1427">
        <v>8</v>
      </c>
      <c r="Y1427">
        <v>1</v>
      </c>
      <c r="Z1427" t="s">
        <v>1551</v>
      </c>
      <c r="AA1427" t="s">
        <v>69</v>
      </c>
      <c r="AB1427" t="str" cm="1">
        <f t="array" ref="AB1427">_xlfn.IFS(cleaned_data[[#This Row],[YearsAtCompany]]&lt;=5, "0-5",cleaned_data[[#This Row],[YearsAtCompany]]&lt;=10,"6-10",TRUE,"10+")</f>
        <v>6-10</v>
      </c>
    </row>
    <row r="1428" spans="1:28" x14ac:dyDescent="0.3">
      <c r="A1428" s="2">
        <v>32</v>
      </c>
      <c r="B1428" t="s">
        <v>43</v>
      </c>
      <c r="C1428">
        <v>0</v>
      </c>
      <c r="D1428" t="s">
        <v>36</v>
      </c>
      <c r="E1428" t="s">
        <v>45</v>
      </c>
      <c r="F1428">
        <v>29</v>
      </c>
      <c r="G1428" t="s">
        <v>38</v>
      </c>
      <c r="H1428" t="s">
        <v>1498</v>
      </c>
      <c r="I1428">
        <v>3</v>
      </c>
      <c r="J1428" t="s">
        <v>39</v>
      </c>
      <c r="K1428">
        <v>2</v>
      </c>
      <c r="L1428">
        <v>1</v>
      </c>
      <c r="M1428" t="s">
        <v>50</v>
      </c>
      <c r="N1428">
        <v>2</v>
      </c>
      <c r="O1428" t="s">
        <v>41</v>
      </c>
      <c r="P1428" s="1">
        <v>2837</v>
      </c>
      <c r="Q1428" t="s">
        <v>72</v>
      </c>
      <c r="R1428" t="s">
        <v>43</v>
      </c>
      <c r="S1428">
        <v>3</v>
      </c>
      <c r="T1428">
        <v>6</v>
      </c>
      <c r="U1428">
        <v>3</v>
      </c>
      <c r="V1428">
        <v>6</v>
      </c>
      <c r="W1428">
        <v>2</v>
      </c>
      <c r="X1428">
        <v>4</v>
      </c>
      <c r="Y1428">
        <v>1</v>
      </c>
      <c r="Z1428" t="s">
        <v>1551</v>
      </c>
      <c r="AA1428" t="s">
        <v>69</v>
      </c>
      <c r="AB1428" t="str" cm="1">
        <f t="array" ref="AB1428">_xlfn.IFS(cleaned_data[[#This Row],[YearsAtCompany]]&lt;=5, "0-5",cleaned_data[[#This Row],[YearsAtCompany]]&lt;=10,"6-10",TRUE,"10+")</f>
        <v>6-10</v>
      </c>
    </row>
    <row r="1429" spans="1:28" x14ac:dyDescent="0.3">
      <c r="A1429" s="2">
        <v>40</v>
      </c>
      <c r="B1429" t="s">
        <v>43</v>
      </c>
      <c r="C1429">
        <v>0</v>
      </c>
      <c r="D1429" t="s">
        <v>36</v>
      </c>
      <c r="E1429" t="s">
        <v>45</v>
      </c>
      <c r="F1429">
        <v>1</v>
      </c>
      <c r="G1429" t="s">
        <v>38</v>
      </c>
      <c r="H1429" t="s">
        <v>1499</v>
      </c>
      <c r="I1429">
        <v>1</v>
      </c>
      <c r="J1429" t="s">
        <v>46</v>
      </c>
      <c r="K1429">
        <v>3</v>
      </c>
      <c r="L1429">
        <v>1</v>
      </c>
      <c r="M1429" t="s">
        <v>50</v>
      </c>
      <c r="N1429">
        <v>4</v>
      </c>
      <c r="O1429" t="s">
        <v>48</v>
      </c>
      <c r="P1429" s="1">
        <v>2406</v>
      </c>
      <c r="Q1429" t="s">
        <v>72</v>
      </c>
      <c r="R1429" t="s">
        <v>43</v>
      </c>
      <c r="S1429">
        <v>3</v>
      </c>
      <c r="T1429">
        <v>8</v>
      </c>
      <c r="U1429">
        <v>2</v>
      </c>
      <c r="V1429">
        <v>1</v>
      </c>
      <c r="W1429">
        <v>0</v>
      </c>
      <c r="X1429">
        <v>0</v>
      </c>
      <c r="Y1429">
        <v>0</v>
      </c>
      <c r="Z1429" t="s">
        <v>1550</v>
      </c>
      <c r="AA1429" t="s">
        <v>69</v>
      </c>
      <c r="AB1429" t="str" cm="1">
        <f t="array" ref="AB1429">_xlfn.IFS(cleaned_data[[#This Row],[YearsAtCompany]]&lt;=5, "0-5",cleaned_data[[#This Row],[YearsAtCompany]]&lt;=10,"6-10",TRUE,"10+")</f>
        <v>0-5</v>
      </c>
    </row>
    <row r="1430" spans="1:28" x14ac:dyDescent="0.3">
      <c r="A1430" s="2">
        <v>32</v>
      </c>
      <c r="B1430" t="s">
        <v>43</v>
      </c>
      <c r="C1430">
        <v>0</v>
      </c>
      <c r="D1430" t="s">
        <v>36</v>
      </c>
      <c r="E1430" t="s">
        <v>37</v>
      </c>
      <c r="F1430">
        <v>1</v>
      </c>
      <c r="G1430" t="s">
        <v>51</v>
      </c>
      <c r="H1430" t="s">
        <v>1500</v>
      </c>
      <c r="I1430">
        <v>2</v>
      </c>
      <c r="J1430" t="s">
        <v>46</v>
      </c>
      <c r="K1430">
        <v>2</v>
      </c>
      <c r="L1430">
        <v>1</v>
      </c>
      <c r="M1430" t="s">
        <v>57</v>
      </c>
      <c r="N1430">
        <v>2</v>
      </c>
      <c r="O1430" t="s">
        <v>48</v>
      </c>
      <c r="P1430" s="1">
        <v>2269</v>
      </c>
      <c r="Q1430" t="s">
        <v>72</v>
      </c>
      <c r="R1430" t="s">
        <v>43</v>
      </c>
      <c r="S1430">
        <v>3</v>
      </c>
      <c r="T1430">
        <v>3</v>
      </c>
      <c r="U1430">
        <v>3</v>
      </c>
      <c r="V1430">
        <v>2</v>
      </c>
      <c r="W1430">
        <v>2</v>
      </c>
      <c r="X1430">
        <v>2</v>
      </c>
      <c r="Y1430">
        <v>2</v>
      </c>
      <c r="Z1430" t="s">
        <v>1551</v>
      </c>
      <c r="AA1430" t="s">
        <v>78</v>
      </c>
      <c r="AB1430" t="str" cm="1">
        <f t="array" ref="AB1430">_xlfn.IFS(cleaned_data[[#This Row],[YearsAtCompany]]&lt;=5, "0-5",cleaned_data[[#This Row],[YearsAtCompany]]&lt;=10,"6-10",TRUE,"10+")</f>
        <v>0-5</v>
      </c>
    </row>
    <row r="1431" spans="1:28" x14ac:dyDescent="0.3">
      <c r="A1431" s="2">
        <v>39</v>
      </c>
      <c r="B1431" t="s">
        <v>43</v>
      </c>
      <c r="C1431">
        <v>0</v>
      </c>
      <c r="D1431" t="s">
        <v>36</v>
      </c>
      <c r="E1431" t="s">
        <v>45</v>
      </c>
      <c r="F1431">
        <v>24</v>
      </c>
      <c r="G1431" t="s">
        <v>38</v>
      </c>
      <c r="H1431" t="s">
        <v>1501</v>
      </c>
      <c r="I1431">
        <v>1</v>
      </c>
      <c r="J1431" t="s">
        <v>46</v>
      </c>
      <c r="K1431">
        <v>3</v>
      </c>
      <c r="L1431">
        <v>2</v>
      </c>
      <c r="M1431" t="s">
        <v>47</v>
      </c>
      <c r="N1431">
        <v>4</v>
      </c>
      <c r="O1431" t="s">
        <v>41</v>
      </c>
      <c r="P1431" s="1">
        <v>4108</v>
      </c>
      <c r="Q1431" t="s">
        <v>72</v>
      </c>
      <c r="R1431" t="s">
        <v>43</v>
      </c>
      <c r="S1431">
        <v>3</v>
      </c>
      <c r="T1431">
        <v>18</v>
      </c>
      <c r="U1431">
        <v>3</v>
      </c>
      <c r="V1431">
        <v>7</v>
      </c>
      <c r="W1431">
        <v>7</v>
      </c>
      <c r="X1431">
        <v>1</v>
      </c>
      <c r="Y1431">
        <v>7</v>
      </c>
      <c r="Z1431" t="s">
        <v>1550</v>
      </c>
      <c r="AA1431" t="s">
        <v>82</v>
      </c>
      <c r="AB1431" t="str" cm="1">
        <f t="array" ref="AB1431">_xlfn.IFS(cleaned_data[[#This Row],[YearsAtCompany]]&lt;=5, "0-5",cleaned_data[[#This Row],[YearsAtCompany]]&lt;=10,"6-10",TRUE,"10+")</f>
        <v>6-10</v>
      </c>
    </row>
    <row r="1432" spans="1:28" x14ac:dyDescent="0.3">
      <c r="A1432" s="2">
        <v>38</v>
      </c>
      <c r="B1432" t="s">
        <v>43</v>
      </c>
      <c r="C1432">
        <v>0</v>
      </c>
      <c r="D1432" t="s">
        <v>36</v>
      </c>
      <c r="E1432" t="s">
        <v>45</v>
      </c>
      <c r="F1432">
        <v>10</v>
      </c>
      <c r="G1432" t="s">
        <v>51</v>
      </c>
      <c r="H1432" t="s">
        <v>1502</v>
      </c>
      <c r="I1432">
        <v>2</v>
      </c>
      <c r="J1432" t="s">
        <v>39</v>
      </c>
      <c r="K1432">
        <v>1</v>
      </c>
      <c r="L1432">
        <v>3</v>
      </c>
      <c r="M1432" t="s">
        <v>58</v>
      </c>
      <c r="N1432">
        <v>3</v>
      </c>
      <c r="O1432" t="s">
        <v>48</v>
      </c>
      <c r="P1432" s="1">
        <v>13206</v>
      </c>
      <c r="Q1432" t="s">
        <v>90</v>
      </c>
      <c r="R1432" t="s">
        <v>43</v>
      </c>
      <c r="S1432">
        <v>3</v>
      </c>
      <c r="T1432">
        <v>20</v>
      </c>
      <c r="U1432">
        <v>3</v>
      </c>
      <c r="V1432">
        <v>18</v>
      </c>
      <c r="W1432">
        <v>16</v>
      </c>
      <c r="X1432">
        <v>1</v>
      </c>
      <c r="Y1432">
        <v>11</v>
      </c>
      <c r="Z1432" t="s">
        <v>1550</v>
      </c>
      <c r="AA1432" t="s">
        <v>82</v>
      </c>
      <c r="AB1432" t="str" cm="1">
        <f t="array" ref="AB1432">_xlfn.IFS(cleaned_data[[#This Row],[YearsAtCompany]]&lt;=5, "0-5",cleaned_data[[#This Row],[YearsAtCompany]]&lt;=10,"6-10",TRUE,"10+")</f>
        <v>10+</v>
      </c>
    </row>
    <row r="1433" spans="1:28" x14ac:dyDescent="0.3">
      <c r="A1433" s="2">
        <v>32</v>
      </c>
      <c r="B1433" t="s">
        <v>43</v>
      </c>
      <c r="C1433">
        <v>0</v>
      </c>
      <c r="D1433" t="s">
        <v>36</v>
      </c>
      <c r="E1433" t="s">
        <v>37</v>
      </c>
      <c r="F1433">
        <v>1</v>
      </c>
      <c r="G1433" t="s">
        <v>59</v>
      </c>
      <c r="H1433" t="s">
        <v>1503</v>
      </c>
      <c r="I1433">
        <v>3</v>
      </c>
      <c r="J1433" t="s">
        <v>39</v>
      </c>
      <c r="K1433">
        <v>3</v>
      </c>
      <c r="L1433">
        <v>3</v>
      </c>
      <c r="M1433" t="s">
        <v>40</v>
      </c>
      <c r="N1433">
        <v>4</v>
      </c>
      <c r="O1433" t="s">
        <v>48</v>
      </c>
      <c r="P1433" s="1">
        <v>10422</v>
      </c>
      <c r="Q1433" t="s">
        <v>67</v>
      </c>
      <c r="R1433" t="s">
        <v>43</v>
      </c>
      <c r="S1433">
        <v>3</v>
      </c>
      <c r="T1433">
        <v>14</v>
      </c>
      <c r="U1433">
        <v>3</v>
      </c>
      <c r="V1433">
        <v>14</v>
      </c>
      <c r="W1433">
        <v>10</v>
      </c>
      <c r="X1433">
        <v>5</v>
      </c>
      <c r="Y1433">
        <v>7</v>
      </c>
      <c r="Z1433" t="s">
        <v>1551</v>
      </c>
      <c r="AA1433" t="s">
        <v>69</v>
      </c>
      <c r="AB1433" t="str" cm="1">
        <f t="array" ref="AB1433">_xlfn.IFS(cleaned_data[[#This Row],[YearsAtCompany]]&lt;=5, "0-5",cleaned_data[[#This Row],[YearsAtCompany]]&lt;=10,"6-10",TRUE,"10+")</f>
        <v>10+</v>
      </c>
    </row>
    <row r="1434" spans="1:28" x14ac:dyDescent="0.3">
      <c r="A1434" s="2">
        <v>37</v>
      </c>
      <c r="B1434" t="s">
        <v>43</v>
      </c>
      <c r="C1434">
        <v>0</v>
      </c>
      <c r="D1434" t="s">
        <v>36</v>
      </c>
      <c r="E1434" t="s">
        <v>45</v>
      </c>
      <c r="F1434">
        <v>10</v>
      </c>
      <c r="G1434" t="s">
        <v>38</v>
      </c>
      <c r="H1434" t="s">
        <v>1504</v>
      </c>
      <c r="I1434">
        <v>3</v>
      </c>
      <c r="J1434" t="s">
        <v>39</v>
      </c>
      <c r="K1434">
        <v>4</v>
      </c>
      <c r="L1434">
        <v>3</v>
      </c>
      <c r="M1434" t="s">
        <v>58</v>
      </c>
      <c r="N1434">
        <v>4</v>
      </c>
      <c r="O1434" t="s">
        <v>48</v>
      </c>
      <c r="P1434" s="1">
        <v>13744</v>
      </c>
      <c r="Q1434" t="s">
        <v>90</v>
      </c>
      <c r="R1434" t="s">
        <v>35</v>
      </c>
      <c r="S1434">
        <v>4</v>
      </c>
      <c r="T1434">
        <v>16</v>
      </c>
      <c r="U1434">
        <v>3</v>
      </c>
      <c r="V1434">
        <v>16</v>
      </c>
      <c r="W1434">
        <v>11</v>
      </c>
      <c r="X1434">
        <v>6</v>
      </c>
      <c r="Y1434">
        <v>8</v>
      </c>
      <c r="Z1434" t="s">
        <v>1550</v>
      </c>
      <c r="AA1434" t="s">
        <v>82</v>
      </c>
      <c r="AB1434" t="str" cm="1">
        <f t="array" ref="AB1434">_xlfn.IFS(cleaned_data[[#This Row],[YearsAtCompany]]&lt;=5, "0-5",cleaned_data[[#This Row],[YearsAtCompany]]&lt;=10,"6-10",TRUE,"10+")</f>
        <v>10+</v>
      </c>
    </row>
    <row r="1435" spans="1:28" x14ac:dyDescent="0.3">
      <c r="A1435" s="2">
        <v>25</v>
      </c>
      <c r="B1435" t="s">
        <v>43</v>
      </c>
      <c r="C1435">
        <v>0</v>
      </c>
      <c r="D1435" t="s">
        <v>36</v>
      </c>
      <c r="E1435" t="s">
        <v>37</v>
      </c>
      <c r="F1435">
        <v>8</v>
      </c>
      <c r="G1435" t="s">
        <v>49</v>
      </c>
      <c r="H1435" t="s">
        <v>1505</v>
      </c>
      <c r="I1435">
        <v>1</v>
      </c>
      <c r="J1435" t="s">
        <v>39</v>
      </c>
      <c r="K1435">
        <v>3</v>
      </c>
      <c r="L1435">
        <v>2</v>
      </c>
      <c r="M1435" t="s">
        <v>40</v>
      </c>
      <c r="N1435">
        <v>3</v>
      </c>
      <c r="O1435" t="s">
        <v>52</v>
      </c>
      <c r="P1435" s="1">
        <v>4907</v>
      </c>
      <c r="Q1435" t="s">
        <v>72</v>
      </c>
      <c r="R1435" t="s">
        <v>35</v>
      </c>
      <c r="S1435">
        <v>4</v>
      </c>
      <c r="T1435">
        <v>6</v>
      </c>
      <c r="U1435">
        <v>2</v>
      </c>
      <c r="V1435">
        <v>5</v>
      </c>
      <c r="W1435">
        <v>3</v>
      </c>
      <c r="X1435">
        <v>0</v>
      </c>
      <c r="Y1435">
        <v>4</v>
      </c>
      <c r="Z1435" t="s">
        <v>68</v>
      </c>
      <c r="AA1435" t="s">
        <v>69</v>
      </c>
      <c r="AB1435" t="str" cm="1">
        <f t="array" ref="AB1435">_xlfn.IFS(cleaned_data[[#This Row],[YearsAtCompany]]&lt;=5, "0-5",cleaned_data[[#This Row],[YearsAtCompany]]&lt;=10,"6-10",TRUE,"10+")</f>
        <v>0-5</v>
      </c>
    </row>
    <row r="1436" spans="1:28" x14ac:dyDescent="0.3">
      <c r="A1436" s="2">
        <v>52</v>
      </c>
      <c r="B1436" t="s">
        <v>43</v>
      </c>
      <c r="C1436">
        <v>0</v>
      </c>
      <c r="D1436" t="s">
        <v>55</v>
      </c>
      <c r="E1436" t="s">
        <v>37</v>
      </c>
      <c r="F1436">
        <v>29</v>
      </c>
      <c r="G1436" t="s">
        <v>38</v>
      </c>
      <c r="H1436" t="s">
        <v>1506</v>
      </c>
      <c r="I1436">
        <v>1</v>
      </c>
      <c r="J1436" t="s">
        <v>46</v>
      </c>
      <c r="K1436">
        <v>3</v>
      </c>
      <c r="L1436">
        <v>1</v>
      </c>
      <c r="M1436" t="s">
        <v>57</v>
      </c>
      <c r="N1436">
        <v>4</v>
      </c>
      <c r="O1436" t="s">
        <v>52</v>
      </c>
      <c r="P1436" s="1">
        <v>3482</v>
      </c>
      <c r="Q1436" t="s">
        <v>72</v>
      </c>
      <c r="R1436" t="s">
        <v>43</v>
      </c>
      <c r="S1436">
        <v>3</v>
      </c>
      <c r="T1436">
        <v>16</v>
      </c>
      <c r="U1436">
        <v>2</v>
      </c>
      <c r="V1436">
        <v>9</v>
      </c>
      <c r="W1436">
        <v>8</v>
      </c>
      <c r="X1436">
        <v>0</v>
      </c>
      <c r="Y1436">
        <v>0</v>
      </c>
      <c r="Z1436" t="s">
        <v>106</v>
      </c>
      <c r="AA1436" t="s">
        <v>82</v>
      </c>
      <c r="AB1436" t="str" cm="1">
        <f t="array" ref="AB1436">_xlfn.IFS(cleaned_data[[#This Row],[YearsAtCompany]]&lt;=5, "0-5",cleaned_data[[#This Row],[YearsAtCompany]]&lt;=10,"6-10",TRUE,"10+")</f>
        <v>6-10</v>
      </c>
    </row>
    <row r="1437" spans="1:28" x14ac:dyDescent="0.3">
      <c r="A1437" s="2">
        <v>44</v>
      </c>
      <c r="B1437" t="s">
        <v>43</v>
      </c>
      <c r="C1437">
        <v>0</v>
      </c>
      <c r="D1437" t="s">
        <v>36</v>
      </c>
      <c r="E1437" t="s">
        <v>45</v>
      </c>
      <c r="F1437">
        <v>1</v>
      </c>
      <c r="G1437" t="s">
        <v>51</v>
      </c>
      <c r="H1437" t="s">
        <v>1507</v>
      </c>
      <c r="I1437">
        <v>2</v>
      </c>
      <c r="J1437" t="s">
        <v>46</v>
      </c>
      <c r="K1437">
        <v>3</v>
      </c>
      <c r="L1437">
        <v>1</v>
      </c>
      <c r="M1437" t="s">
        <v>47</v>
      </c>
      <c r="N1437">
        <v>4</v>
      </c>
      <c r="O1437" t="s">
        <v>41</v>
      </c>
      <c r="P1437" s="1">
        <v>2436</v>
      </c>
      <c r="Q1437" t="s">
        <v>72</v>
      </c>
      <c r="R1437" t="s">
        <v>35</v>
      </c>
      <c r="S1437">
        <v>3</v>
      </c>
      <c r="T1437">
        <v>6</v>
      </c>
      <c r="U1437">
        <v>3</v>
      </c>
      <c r="V1437">
        <v>4</v>
      </c>
      <c r="W1437">
        <v>3</v>
      </c>
      <c r="X1437">
        <v>1</v>
      </c>
      <c r="Y1437">
        <v>2</v>
      </c>
      <c r="Z1437" t="s">
        <v>1550</v>
      </c>
      <c r="AA1437" t="s">
        <v>69</v>
      </c>
      <c r="AB1437" t="str" cm="1">
        <f t="array" ref="AB1437">_xlfn.IFS(cleaned_data[[#This Row],[YearsAtCompany]]&lt;=5, "0-5",cleaned_data[[#This Row],[YearsAtCompany]]&lt;=10,"6-10",TRUE,"10+")</f>
        <v>0-5</v>
      </c>
    </row>
    <row r="1438" spans="1:28" x14ac:dyDescent="0.3">
      <c r="A1438" s="2">
        <v>21</v>
      </c>
      <c r="B1438" t="s">
        <v>43</v>
      </c>
      <c r="C1438">
        <v>0</v>
      </c>
      <c r="D1438" t="s">
        <v>36</v>
      </c>
      <c r="E1438" t="s">
        <v>37</v>
      </c>
      <c r="F1438">
        <v>5</v>
      </c>
      <c r="G1438" t="s">
        <v>51</v>
      </c>
      <c r="H1438" t="s">
        <v>1508</v>
      </c>
      <c r="I1438">
        <v>3</v>
      </c>
      <c r="J1438" t="s">
        <v>46</v>
      </c>
      <c r="K1438">
        <v>3</v>
      </c>
      <c r="L1438">
        <v>1</v>
      </c>
      <c r="M1438" t="s">
        <v>57</v>
      </c>
      <c r="N1438">
        <v>1</v>
      </c>
      <c r="O1438" t="s">
        <v>41</v>
      </c>
      <c r="P1438" s="6">
        <v>2380</v>
      </c>
      <c r="Q1438" t="s">
        <v>72</v>
      </c>
      <c r="R1438" t="s">
        <v>35</v>
      </c>
      <c r="S1438">
        <v>3</v>
      </c>
      <c r="T1438">
        <v>2</v>
      </c>
      <c r="U1438">
        <v>3</v>
      </c>
      <c r="V1438">
        <v>2</v>
      </c>
      <c r="W1438">
        <v>2</v>
      </c>
      <c r="X1438">
        <v>1</v>
      </c>
      <c r="Y1438">
        <v>2</v>
      </c>
      <c r="Z1438" t="s">
        <v>68</v>
      </c>
      <c r="AA1438" t="s">
        <v>78</v>
      </c>
      <c r="AB1438" t="str" cm="1">
        <f t="array" ref="AB1438">_xlfn.IFS(cleaned_data[[#This Row],[YearsAtCompany]]&lt;=5, "0-5",cleaned_data[[#This Row],[YearsAtCompany]]&lt;=10,"6-10",TRUE,"10+")</f>
        <v>0-5</v>
      </c>
    </row>
    <row r="1439" spans="1:28" x14ac:dyDescent="0.3">
      <c r="A1439" s="2">
        <v>39</v>
      </c>
      <c r="B1439" t="s">
        <v>43</v>
      </c>
      <c r="C1439">
        <v>0</v>
      </c>
      <c r="D1439" t="s">
        <v>55</v>
      </c>
      <c r="E1439" t="s">
        <v>45</v>
      </c>
      <c r="F1439">
        <v>9</v>
      </c>
      <c r="G1439" t="s">
        <v>38</v>
      </c>
      <c r="H1439" t="s">
        <v>1509</v>
      </c>
      <c r="I1439">
        <v>4</v>
      </c>
      <c r="J1439" t="s">
        <v>46</v>
      </c>
      <c r="K1439">
        <v>3</v>
      </c>
      <c r="L1439">
        <v>5</v>
      </c>
      <c r="M1439" t="s">
        <v>56</v>
      </c>
      <c r="N1439">
        <v>4</v>
      </c>
      <c r="O1439" t="s">
        <v>41</v>
      </c>
      <c r="P1439" s="1">
        <v>19431</v>
      </c>
      <c r="Q1439" t="s">
        <v>90</v>
      </c>
      <c r="R1439" t="s">
        <v>43</v>
      </c>
      <c r="S1439">
        <v>3</v>
      </c>
      <c r="T1439">
        <v>21</v>
      </c>
      <c r="U1439">
        <v>2</v>
      </c>
      <c r="V1439">
        <v>6</v>
      </c>
      <c r="W1439">
        <v>0</v>
      </c>
      <c r="X1439">
        <v>1</v>
      </c>
      <c r="Y1439">
        <v>3</v>
      </c>
      <c r="Z1439" t="s">
        <v>1550</v>
      </c>
      <c r="AA1439" t="s">
        <v>82</v>
      </c>
      <c r="AB1439" t="str" cm="1">
        <f t="array" ref="AB1439">_xlfn.IFS(cleaned_data[[#This Row],[YearsAtCompany]]&lt;=5, "0-5",cleaned_data[[#This Row],[YearsAtCompany]]&lt;=10,"6-10",TRUE,"10+")</f>
        <v>6-10</v>
      </c>
    </row>
    <row r="1440" spans="1:28" x14ac:dyDescent="0.3">
      <c r="A1440" s="2">
        <v>23</v>
      </c>
      <c r="B1440" t="s">
        <v>35</v>
      </c>
      <c r="C1440">
        <v>1</v>
      </c>
      <c r="D1440" t="s">
        <v>44</v>
      </c>
      <c r="E1440" t="s">
        <v>37</v>
      </c>
      <c r="F1440">
        <v>9</v>
      </c>
      <c r="G1440" t="s">
        <v>59</v>
      </c>
      <c r="H1440" t="s">
        <v>1510</v>
      </c>
      <c r="I1440">
        <v>4</v>
      </c>
      <c r="J1440" t="s">
        <v>46</v>
      </c>
      <c r="K1440">
        <v>3</v>
      </c>
      <c r="L1440">
        <v>1</v>
      </c>
      <c r="M1440" t="s">
        <v>57</v>
      </c>
      <c r="N1440">
        <v>1</v>
      </c>
      <c r="O1440" t="s">
        <v>48</v>
      </c>
      <c r="P1440" s="6">
        <v>1790</v>
      </c>
      <c r="Q1440" t="s">
        <v>72</v>
      </c>
      <c r="R1440" t="s">
        <v>43</v>
      </c>
      <c r="S1440">
        <v>3</v>
      </c>
      <c r="T1440">
        <v>1</v>
      </c>
      <c r="U1440">
        <v>2</v>
      </c>
      <c r="V1440">
        <v>1</v>
      </c>
      <c r="W1440">
        <v>0</v>
      </c>
      <c r="X1440">
        <v>1</v>
      </c>
      <c r="Y1440">
        <v>0</v>
      </c>
      <c r="Z1440" t="s">
        <v>68</v>
      </c>
      <c r="AA1440" t="s">
        <v>78</v>
      </c>
      <c r="AB1440" t="str" cm="1">
        <f t="array" ref="AB1440">_xlfn.IFS(cleaned_data[[#This Row],[YearsAtCompany]]&lt;=5, "0-5",cleaned_data[[#This Row],[YearsAtCompany]]&lt;=10,"6-10",TRUE,"10+")</f>
        <v>0-5</v>
      </c>
    </row>
    <row r="1441" spans="1:28" x14ac:dyDescent="0.3">
      <c r="A1441" s="2">
        <v>36</v>
      </c>
      <c r="B1441" t="s">
        <v>43</v>
      </c>
      <c r="C1441">
        <v>0</v>
      </c>
      <c r="D1441" t="s">
        <v>36</v>
      </c>
      <c r="E1441" t="s">
        <v>37</v>
      </c>
      <c r="F1441">
        <v>3</v>
      </c>
      <c r="G1441" t="s">
        <v>51</v>
      </c>
      <c r="H1441" t="s">
        <v>1511</v>
      </c>
      <c r="I1441">
        <v>1</v>
      </c>
      <c r="J1441" t="s">
        <v>39</v>
      </c>
      <c r="K1441">
        <v>2</v>
      </c>
      <c r="L1441">
        <v>3</v>
      </c>
      <c r="M1441" t="s">
        <v>40</v>
      </c>
      <c r="N1441">
        <v>4</v>
      </c>
      <c r="O1441" t="s">
        <v>48</v>
      </c>
      <c r="P1441" s="1">
        <v>7644</v>
      </c>
      <c r="Q1441" t="s">
        <v>67</v>
      </c>
      <c r="R1441" t="s">
        <v>43</v>
      </c>
      <c r="S1441">
        <v>3</v>
      </c>
      <c r="T1441">
        <v>10</v>
      </c>
      <c r="U1441">
        <v>3</v>
      </c>
      <c r="V1441">
        <v>9</v>
      </c>
      <c r="W1441">
        <v>7</v>
      </c>
      <c r="X1441">
        <v>3</v>
      </c>
      <c r="Y1441">
        <v>4</v>
      </c>
      <c r="Z1441" t="s">
        <v>1550</v>
      </c>
      <c r="AA1441" t="s">
        <v>69</v>
      </c>
      <c r="AB1441" t="str" cm="1">
        <f t="array" ref="AB1441">_xlfn.IFS(cleaned_data[[#This Row],[YearsAtCompany]]&lt;=5, "0-5",cleaned_data[[#This Row],[YearsAtCompany]]&lt;=10,"6-10",TRUE,"10+")</f>
        <v>6-10</v>
      </c>
    </row>
    <row r="1442" spans="1:28" x14ac:dyDescent="0.3">
      <c r="A1442" s="2">
        <v>36</v>
      </c>
      <c r="B1442" t="s">
        <v>43</v>
      </c>
      <c r="C1442">
        <v>0</v>
      </c>
      <c r="D1442" t="s">
        <v>44</v>
      </c>
      <c r="E1442" t="s">
        <v>45</v>
      </c>
      <c r="F1442">
        <v>4</v>
      </c>
      <c r="G1442" t="s">
        <v>38</v>
      </c>
      <c r="H1442" t="s">
        <v>1512</v>
      </c>
      <c r="I1442">
        <v>4</v>
      </c>
      <c r="J1442" t="s">
        <v>39</v>
      </c>
      <c r="K1442">
        <v>3</v>
      </c>
      <c r="L1442">
        <v>2</v>
      </c>
      <c r="M1442" t="s">
        <v>53</v>
      </c>
      <c r="N1442">
        <v>2</v>
      </c>
      <c r="O1442" t="s">
        <v>52</v>
      </c>
      <c r="P1442" s="1">
        <v>5131</v>
      </c>
      <c r="Q1442" t="s">
        <v>67</v>
      </c>
      <c r="R1442" t="s">
        <v>43</v>
      </c>
      <c r="S1442">
        <v>3</v>
      </c>
      <c r="T1442">
        <v>18</v>
      </c>
      <c r="U1442">
        <v>3</v>
      </c>
      <c r="V1442">
        <v>4</v>
      </c>
      <c r="W1442">
        <v>2</v>
      </c>
      <c r="X1442">
        <v>0</v>
      </c>
      <c r="Y1442">
        <v>2</v>
      </c>
      <c r="Z1442" t="s">
        <v>1550</v>
      </c>
      <c r="AA1442" t="s">
        <v>82</v>
      </c>
      <c r="AB1442" t="str" cm="1">
        <f t="array" ref="AB1442">_xlfn.IFS(cleaned_data[[#This Row],[YearsAtCompany]]&lt;=5, "0-5",cleaned_data[[#This Row],[YearsAtCompany]]&lt;=10,"6-10",TRUE,"10+")</f>
        <v>0-5</v>
      </c>
    </row>
    <row r="1443" spans="1:28" x14ac:dyDescent="0.3">
      <c r="A1443" s="2">
        <v>56</v>
      </c>
      <c r="B1443" t="s">
        <v>43</v>
      </c>
      <c r="C1443">
        <v>0</v>
      </c>
      <c r="D1443" t="s">
        <v>55</v>
      </c>
      <c r="E1443" t="s">
        <v>45</v>
      </c>
      <c r="F1443">
        <v>1</v>
      </c>
      <c r="G1443" t="s">
        <v>38</v>
      </c>
      <c r="H1443" t="s">
        <v>1513</v>
      </c>
      <c r="I1443">
        <v>3</v>
      </c>
      <c r="J1443" t="s">
        <v>46</v>
      </c>
      <c r="K1443">
        <v>3</v>
      </c>
      <c r="L1443">
        <v>2</v>
      </c>
      <c r="M1443" t="s">
        <v>54</v>
      </c>
      <c r="N1443">
        <v>3</v>
      </c>
      <c r="O1443" t="s">
        <v>52</v>
      </c>
      <c r="P1443" s="1">
        <v>6306</v>
      </c>
      <c r="Q1443" t="s">
        <v>67</v>
      </c>
      <c r="R1443" t="s">
        <v>43</v>
      </c>
      <c r="S1443">
        <v>4</v>
      </c>
      <c r="T1443">
        <v>13</v>
      </c>
      <c r="U1443">
        <v>2</v>
      </c>
      <c r="V1443">
        <v>13</v>
      </c>
      <c r="W1443">
        <v>12</v>
      </c>
      <c r="X1443">
        <v>1</v>
      </c>
      <c r="Y1443">
        <v>9</v>
      </c>
      <c r="Z1443" t="s">
        <v>106</v>
      </c>
      <c r="AA1443" t="s">
        <v>69</v>
      </c>
      <c r="AB1443" t="str" cm="1">
        <f t="array" ref="AB1443">_xlfn.IFS(cleaned_data[[#This Row],[YearsAtCompany]]&lt;=5, "0-5",cleaned_data[[#This Row],[YearsAtCompany]]&lt;=10,"6-10",TRUE,"10+")</f>
        <v>10+</v>
      </c>
    </row>
    <row r="1444" spans="1:28" x14ac:dyDescent="0.3">
      <c r="A1444" s="2">
        <v>29</v>
      </c>
      <c r="B1444" t="s">
        <v>35</v>
      </c>
      <c r="C1444">
        <v>1</v>
      </c>
      <c r="D1444" t="s">
        <v>36</v>
      </c>
      <c r="E1444" t="s">
        <v>45</v>
      </c>
      <c r="F1444">
        <v>1</v>
      </c>
      <c r="G1444" t="s">
        <v>51</v>
      </c>
      <c r="H1444" t="s">
        <v>1514</v>
      </c>
      <c r="I1444">
        <v>1</v>
      </c>
      <c r="J1444" t="s">
        <v>46</v>
      </c>
      <c r="K1444">
        <v>3</v>
      </c>
      <c r="L1444">
        <v>1</v>
      </c>
      <c r="M1444" t="s">
        <v>47</v>
      </c>
      <c r="N1444">
        <v>4</v>
      </c>
      <c r="O1444" t="s">
        <v>48</v>
      </c>
      <c r="P1444" s="1">
        <v>4787</v>
      </c>
      <c r="Q1444" t="s">
        <v>72</v>
      </c>
      <c r="R1444" t="s">
        <v>35</v>
      </c>
      <c r="S1444">
        <v>3</v>
      </c>
      <c r="T1444">
        <v>4</v>
      </c>
      <c r="U1444">
        <v>4</v>
      </c>
      <c r="V1444">
        <v>2</v>
      </c>
      <c r="W1444">
        <v>2</v>
      </c>
      <c r="X1444">
        <v>2</v>
      </c>
      <c r="Y1444">
        <v>2</v>
      </c>
      <c r="Z1444" t="s">
        <v>1551</v>
      </c>
      <c r="AA1444" t="s">
        <v>78</v>
      </c>
      <c r="AB1444" t="str" cm="1">
        <f t="array" ref="AB1444">_xlfn.IFS(cleaned_data[[#This Row],[YearsAtCompany]]&lt;=5, "0-5",cleaned_data[[#This Row],[YearsAtCompany]]&lt;=10,"6-10",TRUE,"10+")</f>
        <v>0-5</v>
      </c>
    </row>
    <row r="1445" spans="1:28" x14ac:dyDescent="0.3">
      <c r="A1445" s="2">
        <v>42</v>
      </c>
      <c r="B1445" t="s">
        <v>43</v>
      </c>
      <c r="C1445">
        <v>0</v>
      </c>
      <c r="D1445" t="s">
        <v>36</v>
      </c>
      <c r="E1445" t="s">
        <v>45</v>
      </c>
      <c r="F1445">
        <v>2</v>
      </c>
      <c r="G1445" t="s">
        <v>38</v>
      </c>
      <c r="H1445" t="s">
        <v>1515</v>
      </c>
      <c r="I1445">
        <v>1</v>
      </c>
      <c r="J1445" t="s">
        <v>46</v>
      </c>
      <c r="K1445">
        <v>3</v>
      </c>
      <c r="L1445">
        <v>5</v>
      </c>
      <c r="M1445" t="s">
        <v>56</v>
      </c>
      <c r="N1445">
        <v>3</v>
      </c>
      <c r="O1445" t="s">
        <v>48</v>
      </c>
      <c r="P1445" s="1">
        <v>18880</v>
      </c>
      <c r="Q1445" t="s">
        <v>90</v>
      </c>
      <c r="R1445" t="s">
        <v>43</v>
      </c>
      <c r="S1445">
        <v>3</v>
      </c>
      <c r="T1445">
        <v>24</v>
      </c>
      <c r="U1445">
        <v>2</v>
      </c>
      <c r="V1445">
        <v>22</v>
      </c>
      <c r="W1445">
        <v>6</v>
      </c>
      <c r="X1445">
        <v>4</v>
      </c>
      <c r="Y1445">
        <v>14</v>
      </c>
      <c r="Z1445" t="s">
        <v>1550</v>
      </c>
      <c r="AA1445" t="s">
        <v>82</v>
      </c>
      <c r="AB1445" t="str" cm="1">
        <f t="array" ref="AB1445">_xlfn.IFS(cleaned_data[[#This Row],[YearsAtCompany]]&lt;=5, "0-5",cleaned_data[[#This Row],[YearsAtCompany]]&lt;=10,"6-10",TRUE,"10+")</f>
        <v>10+</v>
      </c>
    </row>
    <row r="1446" spans="1:28" x14ac:dyDescent="0.3">
      <c r="A1446" s="2">
        <v>56</v>
      </c>
      <c r="B1446" t="s">
        <v>35</v>
      </c>
      <c r="C1446">
        <v>1</v>
      </c>
      <c r="D1446" t="s">
        <v>36</v>
      </c>
      <c r="E1446" t="s">
        <v>45</v>
      </c>
      <c r="F1446">
        <v>7</v>
      </c>
      <c r="G1446" t="s">
        <v>60</v>
      </c>
      <c r="H1446" t="s">
        <v>1516</v>
      </c>
      <c r="I1446">
        <v>4</v>
      </c>
      <c r="J1446" t="s">
        <v>46</v>
      </c>
      <c r="K1446">
        <v>3</v>
      </c>
      <c r="L1446">
        <v>1</v>
      </c>
      <c r="M1446" t="s">
        <v>50</v>
      </c>
      <c r="N1446">
        <v>3</v>
      </c>
      <c r="O1446" t="s">
        <v>48</v>
      </c>
      <c r="P1446" s="1">
        <v>2339</v>
      </c>
      <c r="Q1446" t="s">
        <v>72</v>
      </c>
      <c r="R1446" t="s">
        <v>43</v>
      </c>
      <c r="S1446">
        <v>3</v>
      </c>
      <c r="T1446">
        <v>14</v>
      </c>
      <c r="U1446">
        <v>1</v>
      </c>
      <c r="V1446">
        <v>10</v>
      </c>
      <c r="W1446">
        <v>9</v>
      </c>
      <c r="X1446">
        <v>9</v>
      </c>
      <c r="Y1446">
        <v>8</v>
      </c>
      <c r="Z1446" t="s">
        <v>106</v>
      </c>
      <c r="AA1446" t="s">
        <v>69</v>
      </c>
      <c r="AB1446" t="str" cm="1">
        <f t="array" ref="AB1446">_xlfn.IFS(cleaned_data[[#This Row],[YearsAtCompany]]&lt;=5, "0-5",cleaned_data[[#This Row],[YearsAtCompany]]&lt;=10,"6-10",TRUE,"10+")</f>
        <v>6-10</v>
      </c>
    </row>
    <row r="1447" spans="1:28" x14ac:dyDescent="0.3">
      <c r="A1447" s="2">
        <v>41</v>
      </c>
      <c r="B1447" t="s">
        <v>43</v>
      </c>
      <c r="C1447">
        <v>0</v>
      </c>
      <c r="D1447" t="s">
        <v>36</v>
      </c>
      <c r="E1447" t="s">
        <v>45</v>
      </c>
      <c r="F1447">
        <v>28</v>
      </c>
      <c r="G1447" t="s">
        <v>38</v>
      </c>
      <c r="H1447" t="s">
        <v>1517</v>
      </c>
      <c r="I1447">
        <v>1</v>
      </c>
      <c r="J1447" t="s">
        <v>39</v>
      </c>
      <c r="K1447">
        <v>2</v>
      </c>
      <c r="L1447">
        <v>4</v>
      </c>
      <c r="M1447" t="s">
        <v>53</v>
      </c>
      <c r="N1447">
        <v>2</v>
      </c>
      <c r="O1447" t="s">
        <v>48</v>
      </c>
      <c r="P1447" s="1">
        <v>13570</v>
      </c>
      <c r="Q1447" t="s">
        <v>90</v>
      </c>
      <c r="R1447" t="s">
        <v>43</v>
      </c>
      <c r="S1447">
        <v>4</v>
      </c>
      <c r="T1447">
        <v>21</v>
      </c>
      <c r="U1447">
        <v>3</v>
      </c>
      <c r="V1447">
        <v>20</v>
      </c>
      <c r="W1447">
        <v>7</v>
      </c>
      <c r="X1447">
        <v>0</v>
      </c>
      <c r="Y1447">
        <v>10</v>
      </c>
      <c r="Z1447" t="s">
        <v>1550</v>
      </c>
      <c r="AA1447" t="s">
        <v>82</v>
      </c>
      <c r="AB1447" t="str" cm="1">
        <f t="array" ref="AB1447">_xlfn.IFS(cleaned_data[[#This Row],[YearsAtCompany]]&lt;=5, "0-5",cleaned_data[[#This Row],[YearsAtCompany]]&lt;=10,"6-10",TRUE,"10+")</f>
        <v>10+</v>
      </c>
    </row>
    <row r="1448" spans="1:28" x14ac:dyDescent="0.3">
      <c r="A1448" s="2">
        <v>34</v>
      </c>
      <c r="B1448" t="s">
        <v>43</v>
      </c>
      <c r="C1448">
        <v>0</v>
      </c>
      <c r="D1448" t="s">
        <v>36</v>
      </c>
      <c r="E1448" t="s">
        <v>37</v>
      </c>
      <c r="F1448">
        <v>28</v>
      </c>
      <c r="G1448" t="s">
        <v>59</v>
      </c>
      <c r="H1448" t="s">
        <v>1518</v>
      </c>
      <c r="I1448">
        <v>4</v>
      </c>
      <c r="J1448" t="s">
        <v>39</v>
      </c>
      <c r="K1448">
        <v>2</v>
      </c>
      <c r="L1448">
        <v>2</v>
      </c>
      <c r="M1448" t="s">
        <v>40</v>
      </c>
      <c r="N1448">
        <v>3</v>
      </c>
      <c r="O1448" t="s">
        <v>48</v>
      </c>
      <c r="P1448" s="1">
        <v>6712</v>
      </c>
      <c r="Q1448" t="s">
        <v>67</v>
      </c>
      <c r="R1448" t="s">
        <v>43</v>
      </c>
      <c r="S1448">
        <v>4</v>
      </c>
      <c r="T1448">
        <v>8</v>
      </c>
      <c r="U1448">
        <v>3</v>
      </c>
      <c r="V1448">
        <v>8</v>
      </c>
      <c r="W1448">
        <v>7</v>
      </c>
      <c r="X1448">
        <v>1</v>
      </c>
      <c r="Y1448">
        <v>7</v>
      </c>
      <c r="Z1448" t="s">
        <v>1551</v>
      </c>
      <c r="AA1448" t="s">
        <v>69</v>
      </c>
      <c r="AB1448" t="str" cm="1">
        <f t="array" ref="AB1448">_xlfn.IFS(cleaned_data[[#This Row],[YearsAtCompany]]&lt;=5, "0-5",cleaned_data[[#This Row],[YearsAtCompany]]&lt;=10,"6-10",TRUE,"10+")</f>
        <v>6-10</v>
      </c>
    </row>
    <row r="1449" spans="1:28" x14ac:dyDescent="0.3">
      <c r="A1449" s="2">
        <v>36</v>
      </c>
      <c r="B1449" t="s">
        <v>43</v>
      </c>
      <c r="C1449">
        <v>0</v>
      </c>
      <c r="D1449" t="s">
        <v>55</v>
      </c>
      <c r="E1449" t="s">
        <v>37</v>
      </c>
      <c r="F1449">
        <v>15</v>
      </c>
      <c r="G1449" t="s">
        <v>59</v>
      </c>
      <c r="H1449" t="s">
        <v>1519</v>
      </c>
      <c r="I1449">
        <v>4</v>
      </c>
      <c r="J1449" t="s">
        <v>46</v>
      </c>
      <c r="K1449">
        <v>1</v>
      </c>
      <c r="L1449">
        <v>2</v>
      </c>
      <c r="M1449" t="s">
        <v>40</v>
      </c>
      <c r="N1449">
        <v>4</v>
      </c>
      <c r="O1449" t="s">
        <v>52</v>
      </c>
      <c r="P1449" s="1">
        <v>5406</v>
      </c>
      <c r="Q1449" t="s">
        <v>67</v>
      </c>
      <c r="R1449" t="s">
        <v>43</v>
      </c>
      <c r="S1449">
        <v>4</v>
      </c>
      <c r="T1449">
        <v>15</v>
      </c>
      <c r="U1449">
        <v>2</v>
      </c>
      <c r="V1449">
        <v>15</v>
      </c>
      <c r="W1449">
        <v>12</v>
      </c>
      <c r="X1449">
        <v>11</v>
      </c>
      <c r="Y1449">
        <v>11</v>
      </c>
      <c r="Z1449" t="s">
        <v>1550</v>
      </c>
      <c r="AA1449" t="s">
        <v>69</v>
      </c>
      <c r="AB1449" t="str" cm="1">
        <f t="array" ref="AB1449">_xlfn.IFS(cleaned_data[[#This Row],[YearsAtCompany]]&lt;=5, "0-5",cleaned_data[[#This Row],[YearsAtCompany]]&lt;=10,"6-10",TRUE,"10+")</f>
        <v>10+</v>
      </c>
    </row>
    <row r="1450" spans="1:28" x14ac:dyDescent="0.3">
      <c r="A1450" s="2">
        <v>41</v>
      </c>
      <c r="B1450" t="s">
        <v>43</v>
      </c>
      <c r="C1450">
        <v>0</v>
      </c>
      <c r="D1450" t="s">
        <v>36</v>
      </c>
      <c r="E1450" t="s">
        <v>37</v>
      </c>
      <c r="F1450">
        <v>3</v>
      </c>
      <c r="G1450" t="s">
        <v>38</v>
      </c>
      <c r="H1450" t="s">
        <v>1520</v>
      </c>
      <c r="I1450">
        <v>3</v>
      </c>
      <c r="J1450" t="s">
        <v>46</v>
      </c>
      <c r="K1450">
        <v>2</v>
      </c>
      <c r="L1450">
        <v>2</v>
      </c>
      <c r="M1450" t="s">
        <v>40</v>
      </c>
      <c r="N1450">
        <v>2</v>
      </c>
      <c r="O1450" t="s">
        <v>52</v>
      </c>
      <c r="P1450" s="1">
        <v>8938</v>
      </c>
      <c r="Q1450" t="s">
        <v>67</v>
      </c>
      <c r="R1450" t="s">
        <v>43</v>
      </c>
      <c r="S1450">
        <v>3</v>
      </c>
      <c r="T1450">
        <v>14</v>
      </c>
      <c r="U1450">
        <v>3</v>
      </c>
      <c r="V1450">
        <v>5</v>
      </c>
      <c r="W1450">
        <v>4</v>
      </c>
      <c r="X1450">
        <v>0</v>
      </c>
      <c r="Y1450">
        <v>4</v>
      </c>
      <c r="Z1450" t="s">
        <v>1550</v>
      </c>
      <c r="AA1450" t="s">
        <v>69</v>
      </c>
      <c r="AB1450" t="str" cm="1">
        <f t="array" ref="AB1450">_xlfn.IFS(cleaned_data[[#This Row],[YearsAtCompany]]&lt;=5, "0-5",cleaned_data[[#This Row],[YearsAtCompany]]&lt;=10,"6-10",TRUE,"10+")</f>
        <v>0-5</v>
      </c>
    </row>
    <row r="1451" spans="1:28" x14ac:dyDescent="0.3">
      <c r="A1451" s="2">
        <v>32</v>
      </c>
      <c r="B1451" t="s">
        <v>43</v>
      </c>
      <c r="C1451">
        <v>0</v>
      </c>
      <c r="D1451" t="s">
        <v>36</v>
      </c>
      <c r="E1451" t="s">
        <v>45</v>
      </c>
      <c r="F1451">
        <v>2</v>
      </c>
      <c r="G1451" t="s">
        <v>60</v>
      </c>
      <c r="H1451" t="s">
        <v>1521</v>
      </c>
      <c r="I1451">
        <v>4</v>
      </c>
      <c r="J1451" t="s">
        <v>46</v>
      </c>
      <c r="K1451">
        <v>3</v>
      </c>
      <c r="L1451">
        <v>1</v>
      </c>
      <c r="M1451" t="s">
        <v>47</v>
      </c>
      <c r="N1451">
        <v>1</v>
      </c>
      <c r="O1451" t="s">
        <v>41</v>
      </c>
      <c r="P1451" s="6">
        <v>2439</v>
      </c>
      <c r="Q1451" t="s">
        <v>72</v>
      </c>
      <c r="R1451" t="s">
        <v>43</v>
      </c>
      <c r="S1451">
        <v>3</v>
      </c>
      <c r="T1451">
        <v>4</v>
      </c>
      <c r="U1451">
        <v>3</v>
      </c>
      <c r="V1451">
        <v>4</v>
      </c>
      <c r="W1451">
        <v>2</v>
      </c>
      <c r="X1451">
        <v>1</v>
      </c>
      <c r="Y1451">
        <v>2</v>
      </c>
      <c r="Z1451" t="s">
        <v>1551</v>
      </c>
      <c r="AA1451" t="s">
        <v>78</v>
      </c>
      <c r="AB1451" t="str" cm="1">
        <f t="array" ref="AB1451">_xlfn.IFS(cleaned_data[[#This Row],[YearsAtCompany]]&lt;=5, "0-5",cleaned_data[[#This Row],[YearsAtCompany]]&lt;=10,"6-10",TRUE,"10+")</f>
        <v>0-5</v>
      </c>
    </row>
    <row r="1452" spans="1:28" x14ac:dyDescent="0.3">
      <c r="A1452" s="2">
        <v>35</v>
      </c>
      <c r="B1452" t="s">
        <v>43</v>
      </c>
      <c r="C1452">
        <v>0</v>
      </c>
      <c r="D1452" t="s">
        <v>36</v>
      </c>
      <c r="E1452" t="s">
        <v>61</v>
      </c>
      <c r="F1452">
        <v>26</v>
      </c>
      <c r="G1452" t="s">
        <v>38</v>
      </c>
      <c r="H1452" t="s">
        <v>1522</v>
      </c>
      <c r="I1452">
        <v>3</v>
      </c>
      <c r="J1452" t="s">
        <v>39</v>
      </c>
      <c r="K1452">
        <v>3</v>
      </c>
      <c r="L1452">
        <v>3</v>
      </c>
      <c r="M1452" t="s">
        <v>61</v>
      </c>
      <c r="N1452">
        <v>4</v>
      </c>
      <c r="O1452" t="s">
        <v>41</v>
      </c>
      <c r="P1452" s="1">
        <v>8837</v>
      </c>
      <c r="Q1452" t="s">
        <v>67</v>
      </c>
      <c r="R1452" t="s">
        <v>35</v>
      </c>
      <c r="S1452">
        <v>3</v>
      </c>
      <c r="T1452">
        <v>9</v>
      </c>
      <c r="U1452">
        <v>3</v>
      </c>
      <c r="V1452">
        <v>9</v>
      </c>
      <c r="W1452">
        <v>0</v>
      </c>
      <c r="X1452">
        <v>1</v>
      </c>
      <c r="Y1452">
        <v>7</v>
      </c>
      <c r="Z1452" t="s">
        <v>1551</v>
      </c>
      <c r="AA1452" t="s">
        <v>69</v>
      </c>
      <c r="AB1452" t="str" cm="1">
        <f t="array" ref="AB1452">_xlfn.IFS(cleaned_data[[#This Row],[YearsAtCompany]]&lt;=5, "0-5",cleaned_data[[#This Row],[YearsAtCompany]]&lt;=10,"6-10",TRUE,"10+")</f>
        <v>6-10</v>
      </c>
    </row>
    <row r="1453" spans="1:28" x14ac:dyDescent="0.3">
      <c r="A1453" s="2">
        <v>38</v>
      </c>
      <c r="B1453" t="s">
        <v>43</v>
      </c>
      <c r="C1453">
        <v>0</v>
      </c>
      <c r="D1453" t="s">
        <v>36</v>
      </c>
      <c r="E1453" t="s">
        <v>37</v>
      </c>
      <c r="F1453">
        <v>10</v>
      </c>
      <c r="G1453" t="s">
        <v>38</v>
      </c>
      <c r="H1453" t="s">
        <v>1523</v>
      </c>
      <c r="I1453">
        <v>1</v>
      </c>
      <c r="J1453" t="s">
        <v>39</v>
      </c>
      <c r="K1453">
        <v>3</v>
      </c>
      <c r="L1453">
        <v>2</v>
      </c>
      <c r="M1453" t="s">
        <v>40</v>
      </c>
      <c r="N1453">
        <v>4</v>
      </c>
      <c r="O1453" t="s">
        <v>48</v>
      </c>
      <c r="P1453" s="1">
        <v>5343</v>
      </c>
      <c r="Q1453" t="s">
        <v>67</v>
      </c>
      <c r="R1453" t="s">
        <v>43</v>
      </c>
      <c r="S1453">
        <v>3</v>
      </c>
      <c r="T1453">
        <v>10</v>
      </c>
      <c r="U1453">
        <v>3</v>
      </c>
      <c r="V1453">
        <v>10</v>
      </c>
      <c r="W1453">
        <v>7</v>
      </c>
      <c r="X1453">
        <v>1</v>
      </c>
      <c r="Y1453">
        <v>9</v>
      </c>
      <c r="Z1453" t="s">
        <v>1550</v>
      </c>
      <c r="AA1453" t="s">
        <v>69</v>
      </c>
      <c r="AB1453" t="str" cm="1">
        <f t="array" ref="AB1453">_xlfn.IFS(cleaned_data[[#This Row],[YearsAtCompany]]&lt;=5, "0-5",cleaned_data[[#This Row],[YearsAtCompany]]&lt;=10,"6-10",TRUE,"10+")</f>
        <v>6-10</v>
      </c>
    </row>
    <row r="1454" spans="1:28" x14ac:dyDescent="0.3">
      <c r="A1454" s="2">
        <v>50</v>
      </c>
      <c r="B1454" t="s">
        <v>35</v>
      </c>
      <c r="C1454">
        <v>1</v>
      </c>
      <c r="D1454" t="s">
        <v>44</v>
      </c>
      <c r="E1454" t="s">
        <v>37</v>
      </c>
      <c r="F1454">
        <v>1</v>
      </c>
      <c r="G1454" t="s">
        <v>38</v>
      </c>
      <c r="H1454" t="s">
        <v>1524</v>
      </c>
      <c r="I1454">
        <v>2</v>
      </c>
      <c r="J1454" t="s">
        <v>46</v>
      </c>
      <c r="K1454">
        <v>3</v>
      </c>
      <c r="L1454">
        <v>2</v>
      </c>
      <c r="M1454" t="s">
        <v>40</v>
      </c>
      <c r="N1454">
        <v>3</v>
      </c>
      <c r="O1454" t="s">
        <v>52</v>
      </c>
      <c r="P1454" s="1">
        <v>6728</v>
      </c>
      <c r="Q1454" t="s">
        <v>67</v>
      </c>
      <c r="R1454" t="s">
        <v>43</v>
      </c>
      <c r="S1454">
        <v>3</v>
      </c>
      <c r="T1454">
        <v>12</v>
      </c>
      <c r="U1454">
        <v>3</v>
      </c>
      <c r="V1454">
        <v>6</v>
      </c>
      <c r="W1454">
        <v>3</v>
      </c>
      <c r="X1454">
        <v>0</v>
      </c>
      <c r="Y1454">
        <v>1</v>
      </c>
      <c r="Z1454" t="s">
        <v>106</v>
      </c>
      <c r="AA1454" t="s">
        <v>69</v>
      </c>
      <c r="AB1454" t="str" cm="1">
        <f t="array" ref="AB1454">_xlfn.IFS(cleaned_data[[#This Row],[YearsAtCompany]]&lt;=5, "0-5",cleaned_data[[#This Row],[YearsAtCompany]]&lt;=10,"6-10",TRUE,"10+")</f>
        <v>6-10</v>
      </c>
    </row>
    <row r="1455" spans="1:28" x14ac:dyDescent="0.3">
      <c r="A1455" s="2">
        <v>36</v>
      </c>
      <c r="B1455" t="s">
        <v>43</v>
      </c>
      <c r="C1455">
        <v>0</v>
      </c>
      <c r="D1455" t="s">
        <v>36</v>
      </c>
      <c r="E1455" t="s">
        <v>37</v>
      </c>
      <c r="F1455">
        <v>11</v>
      </c>
      <c r="G1455" t="s">
        <v>59</v>
      </c>
      <c r="H1455" t="s">
        <v>1525</v>
      </c>
      <c r="I1455">
        <v>2</v>
      </c>
      <c r="J1455" t="s">
        <v>39</v>
      </c>
      <c r="K1455">
        <v>2</v>
      </c>
      <c r="L1455">
        <v>2</v>
      </c>
      <c r="M1455" t="s">
        <v>40</v>
      </c>
      <c r="N1455">
        <v>4</v>
      </c>
      <c r="O1455" t="s">
        <v>48</v>
      </c>
      <c r="P1455" s="1">
        <v>6652</v>
      </c>
      <c r="Q1455" t="s">
        <v>67</v>
      </c>
      <c r="R1455" t="s">
        <v>43</v>
      </c>
      <c r="S1455">
        <v>3</v>
      </c>
      <c r="T1455">
        <v>8</v>
      </c>
      <c r="U1455">
        <v>2</v>
      </c>
      <c r="V1455">
        <v>6</v>
      </c>
      <c r="W1455">
        <v>3</v>
      </c>
      <c r="X1455">
        <v>0</v>
      </c>
      <c r="Y1455">
        <v>0</v>
      </c>
      <c r="Z1455" t="s">
        <v>1550</v>
      </c>
      <c r="AA1455" t="s">
        <v>69</v>
      </c>
      <c r="AB1455" t="str" cm="1">
        <f t="array" ref="AB1455">_xlfn.IFS(cleaned_data[[#This Row],[YearsAtCompany]]&lt;=5, "0-5",cleaned_data[[#This Row],[YearsAtCompany]]&lt;=10,"6-10",TRUE,"10+")</f>
        <v>6-10</v>
      </c>
    </row>
    <row r="1456" spans="1:28" x14ac:dyDescent="0.3">
      <c r="A1456" s="2">
        <v>45</v>
      </c>
      <c r="B1456" t="s">
        <v>43</v>
      </c>
      <c r="C1456">
        <v>0</v>
      </c>
      <c r="D1456" t="s">
        <v>36</v>
      </c>
      <c r="E1456" t="s">
        <v>37</v>
      </c>
      <c r="F1456">
        <v>20</v>
      </c>
      <c r="G1456" t="s">
        <v>38</v>
      </c>
      <c r="H1456" t="s">
        <v>1526</v>
      </c>
      <c r="I1456">
        <v>4</v>
      </c>
      <c r="J1456" t="s">
        <v>39</v>
      </c>
      <c r="K1456">
        <v>3</v>
      </c>
      <c r="L1456">
        <v>2</v>
      </c>
      <c r="M1456" t="s">
        <v>40</v>
      </c>
      <c r="N1456">
        <v>3</v>
      </c>
      <c r="O1456" t="s">
        <v>41</v>
      </c>
      <c r="P1456" s="1">
        <v>4850</v>
      </c>
      <c r="Q1456" t="s">
        <v>72</v>
      </c>
      <c r="R1456" t="s">
        <v>43</v>
      </c>
      <c r="S1456">
        <v>3</v>
      </c>
      <c r="T1456">
        <v>8</v>
      </c>
      <c r="U1456">
        <v>3</v>
      </c>
      <c r="V1456">
        <v>5</v>
      </c>
      <c r="W1456">
        <v>3</v>
      </c>
      <c r="X1456">
        <v>0</v>
      </c>
      <c r="Y1456">
        <v>1</v>
      </c>
      <c r="Z1456" t="s">
        <v>1550</v>
      </c>
      <c r="AA1456" t="s">
        <v>69</v>
      </c>
      <c r="AB1456" t="str" cm="1">
        <f t="array" ref="AB1456">_xlfn.IFS(cleaned_data[[#This Row],[YearsAtCompany]]&lt;=5, "0-5",cleaned_data[[#This Row],[YearsAtCompany]]&lt;=10,"6-10",TRUE,"10+")</f>
        <v>0-5</v>
      </c>
    </row>
    <row r="1457" spans="1:28" x14ac:dyDescent="0.3">
      <c r="A1457" s="2">
        <v>40</v>
      </c>
      <c r="B1457" t="s">
        <v>43</v>
      </c>
      <c r="C1457">
        <v>0</v>
      </c>
      <c r="D1457" t="s">
        <v>36</v>
      </c>
      <c r="E1457" t="s">
        <v>45</v>
      </c>
      <c r="F1457">
        <v>2</v>
      </c>
      <c r="G1457" t="s">
        <v>38</v>
      </c>
      <c r="H1457" t="s">
        <v>1527</v>
      </c>
      <c r="I1457">
        <v>3</v>
      </c>
      <c r="J1457" t="s">
        <v>46</v>
      </c>
      <c r="K1457">
        <v>2</v>
      </c>
      <c r="L1457">
        <v>1</v>
      </c>
      <c r="M1457" t="s">
        <v>47</v>
      </c>
      <c r="N1457">
        <v>3</v>
      </c>
      <c r="O1457" t="s">
        <v>41</v>
      </c>
      <c r="P1457" s="1">
        <v>2809</v>
      </c>
      <c r="Q1457" t="s">
        <v>72</v>
      </c>
      <c r="R1457" t="s">
        <v>43</v>
      </c>
      <c r="S1457">
        <v>3</v>
      </c>
      <c r="T1457">
        <v>8</v>
      </c>
      <c r="U1457">
        <v>3</v>
      </c>
      <c r="V1457">
        <v>2</v>
      </c>
      <c r="W1457">
        <v>2</v>
      </c>
      <c r="X1457">
        <v>2</v>
      </c>
      <c r="Y1457">
        <v>2</v>
      </c>
      <c r="Z1457" t="s">
        <v>1550</v>
      </c>
      <c r="AA1457" t="s">
        <v>69</v>
      </c>
      <c r="AB1457" t="str" cm="1">
        <f t="array" ref="AB1457">_xlfn.IFS(cleaned_data[[#This Row],[YearsAtCompany]]&lt;=5, "0-5",cleaned_data[[#This Row],[YearsAtCompany]]&lt;=10,"6-10",TRUE,"10+")</f>
        <v>0-5</v>
      </c>
    </row>
    <row r="1458" spans="1:28" x14ac:dyDescent="0.3">
      <c r="A1458" s="2">
        <v>35</v>
      </c>
      <c r="B1458" t="s">
        <v>43</v>
      </c>
      <c r="C1458">
        <v>0</v>
      </c>
      <c r="D1458" t="s">
        <v>44</v>
      </c>
      <c r="E1458" t="s">
        <v>45</v>
      </c>
      <c r="F1458">
        <v>18</v>
      </c>
      <c r="G1458" t="s">
        <v>38</v>
      </c>
      <c r="H1458" t="s">
        <v>1528</v>
      </c>
      <c r="I1458">
        <v>3</v>
      </c>
      <c r="J1458" t="s">
        <v>46</v>
      </c>
      <c r="K1458">
        <v>3</v>
      </c>
      <c r="L1458">
        <v>2</v>
      </c>
      <c r="M1458" t="s">
        <v>54</v>
      </c>
      <c r="N1458">
        <v>3</v>
      </c>
      <c r="O1458" t="s">
        <v>48</v>
      </c>
      <c r="P1458" s="1">
        <v>5689</v>
      </c>
      <c r="Q1458" t="s">
        <v>67</v>
      </c>
      <c r="R1458" t="s">
        <v>35</v>
      </c>
      <c r="S1458">
        <v>3</v>
      </c>
      <c r="T1458">
        <v>10</v>
      </c>
      <c r="U1458">
        <v>4</v>
      </c>
      <c r="V1458">
        <v>10</v>
      </c>
      <c r="W1458">
        <v>2</v>
      </c>
      <c r="X1458">
        <v>0</v>
      </c>
      <c r="Y1458">
        <v>2</v>
      </c>
      <c r="Z1458" t="s">
        <v>1551</v>
      </c>
      <c r="AA1458" t="s">
        <v>69</v>
      </c>
      <c r="AB1458" t="str" cm="1">
        <f t="array" ref="AB1458">_xlfn.IFS(cleaned_data[[#This Row],[YearsAtCompany]]&lt;=5, "0-5",cleaned_data[[#This Row],[YearsAtCompany]]&lt;=10,"6-10",TRUE,"10+")</f>
        <v>6-10</v>
      </c>
    </row>
    <row r="1459" spans="1:28" x14ac:dyDescent="0.3">
      <c r="A1459" s="2">
        <v>40</v>
      </c>
      <c r="B1459" t="s">
        <v>43</v>
      </c>
      <c r="C1459">
        <v>0</v>
      </c>
      <c r="D1459" t="s">
        <v>36</v>
      </c>
      <c r="E1459" t="s">
        <v>45</v>
      </c>
      <c r="F1459">
        <v>2</v>
      </c>
      <c r="G1459" t="s">
        <v>51</v>
      </c>
      <c r="H1459" t="s">
        <v>1529</v>
      </c>
      <c r="I1459">
        <v>3</v>
      </c>
      <c r="J1459" t="s">
        <v>39</v>
      </c>
      <c r="K1459">
        <v>3</v>
      </c>
      <c r="L1459">
        <v>1</v>
      </c>
      <c r="M1459" t="s">
        <v>47</v>
      </c>
      <c r="N1459">
        <v>3</v>
      </c>
      <c r="O1459" t="s">
        <v>48</v>
      </c>
      <c r="P1459" s="1">
        <v>2001</v>
      </c>
      <c r="Q1459" t="s">
        <v>72</v>
      </c>
      <c r="R1459" t="s">
        <v>43</v>
      </c>
      <c r="S1459">
        <v>3</v>
      </c>
      <c r="T1459">
        <v>20</v>
      </c>
      <c r="U1459">
        <v>3</v>
      </c>
      <c r="V1459">
        <v>5</v>
      </c>
      <c r="W1459">
        <v>3</v>
      </c>
      <c r="X1459">
        <v>0</v>
      </c>
      <c r="Y1459">
        <v>2</v>
      </c>
      <c r="Z1459" t="s">
        <v>1550</v>
      </c>
      <c r="AA1459" t="s">
        <v>82</v>
      </c>
      <c r="AB1459" t="str" cm="1">
        <f t="array" ref="AB1459">_xlfn.IFS(cleaned_data[[#This Row],[YearsAtCompany]]&lt;=5, "0-5",cleaned_data[[#This Row],[YearsAtCompany]]&lt;=10,"6-10",TRUE,"10+")</f>
        <v>0-5</v>
      </c>
    </row>
    <row r="1460" spans="1:28" x14ac:dyDescent="0.3">
      <c r="A1460" s="2">
        <v>35</v>
      </c>
      <c r="B1460" t="s">
        <v>43</v>
      </c>
      <c r="C1460">
        <v>0</v>
      </c>
      <c r="D1460" t="s">
        <v>36</v>
      </c>
      <c r="E1460" t="s">
        <v>45</v>
      </c>
      <c r="F1460">
        <v>1</v>
      </c>
      <c r="G1460" t="s">
        <v>38</v>
      </c>
      <c r="H1460" t="s">
        <v>1530</v>
      </c>
      <c r="I1460">
        <v>3</v>
      </c>
      <c r="J1460" t="s">
        <v>39</v>
      </c>
      <c r="K1460">
        <v>1</v>
      </c>
      <c r="L1460">
        <v>1</v>
      </c>
      <c r="M1460" t="s">
        <v>47</v>
      </c>
      <c r="N1460">
        <v>4</v>
      </c>
      <c r="O1460" t="s">
        <v>48</v>
      </c>
      <c r="P1460" s="1">
        <v>2977</v>
      </c>
      <c r="Q1460" t="s">
        <v>72</v>
      </c>
      <c r="R1460" t="s">
        <v>43</v>
      </c>
      <c r="S1460">
        <v>3</v>
      </c>
      <c r="T1460">
        <v>4</v>
      </c>
      <c r="U1460">
        <v>3</v>
      </c>
      <c r="V1460">
        <v>4</v>
      </c>
      <c r="W1460">
        <v>3</v>
      </c>
      <c r="X1460">
        <v>1</v>
      </c>
      <c r="Y1460">
        <v>1</v>
      </c>
      <c r="Z1460" t="s">
        <v>1551</v>
      </c>
      <c r="AA1460" t="s">
        <v>78</v>
      </c>
      <c r="AB1460" t="str" cm="1">
        <f t="array" ref="AB1460">_xlfn.IFS(cleaned_data[[#This Row],[YearsAtCompany]]&lt;=5, "0-5",cleaned_data[[#This Row],[YearsAtCompany]]&lt;=10,"6-10",TRUE,"10+")</f>
        <v>0-5</v>
      </c>
    </row>
    <row r="1461" spans="1:28" x14ac:dyDescent="0.3">
      <c r="A1461" s="2">
        <v>29</v>
      </c>
      <c r="B1461" t="s">
        <v>43</v>
      </c>
      <c r="C1461">
        <v>0</v>
      </c>
      <c r="D1461" t="s">
        <v>36</v>
      </c>
      <c r="E1461" t="s">
        <v>45</v>
      </c>
      <c r="F1461">
        <v>13</v>
      </c>
      <c r="G1461" t="s">
        <v>49</v>
      </c>
      <c r="H1461" t="s">
        <v>1531</v>
      </c>
      <c r="I1461">
        <v>4</v>
      </c>
      <c r="J1461" t="s">
        <v>46</v>
      </c>
      <c r="K1461">
        <v>2</v>
      </c>
      <c r="L1461">
        <v>2</v>
      </c>
      <c r="M1461" t="s">
        <v>50</v>
      </c>
      <c r="N1461">
        <v>2</v>
      </c>
      <c r="O1461" t="s">
        <v>48</v>
      </c>
      <c r="P1461" s="1">
        <v>4025</v>
      </c>
      <c r="Q1461" t="s">
        <v>72</v>
      </c>
      <c r="R1461" t="s">
        <v>35</v>
      </c>
      <c r="S1461">
        <v>3</v>
      </c>
      <c r="T1461">
        <v>10</v>
      </c>
      <c r="U1461">
        <v>3</v>
      </c>
      <c r="V1461">
        <v>4</v>
      </c>
      <c r="W1461">
        <v>3</v>
      </c>
      <c r="X1461">
        <v>0</v>
      </c>
      <c r="Y1461">
        <v>3</v>
      </c>
      <c r="Z1461" t="s">
        <v>1551</v>
      </c>
      <c r="AA1461" t="s">
        <v>69</v>
      </c>
      <c r="AB1461" t="str" cm="1">
        <f t="array" ref="AB1461">_xlfn.IFS(cleaned_data[[#This Row],[YearsAtCompany]]&lt;=5, "0-5",cleaned_data[[#This Row],[YearsAtCompany]]&lt;=10,"6-10",TRUE,"10+")</f>
        <v>0-5</v>
      </c>
    </row>
    <row r="1462" spans="1:28" x14ac:dyDescent="0.3">
      <c r="A1462" s="2">
        <v>29</v>
      </c>
      <c r="B1462" t="s">
        <v>43</v>
      </c>
      <c r="C1462">
        <v>0</v>
      </c>
      <c r="D1462" t="s">
        <v>36</v>
      </c>
      <c r="E1462" t="s">
        <v>45</v>
      </c>
      <c r="F1462">
        <v>28</v>
      </c>
      <c r="G1462" t="s">
        <v>51</v>
      </c>
      <c r="H1462" t="s">
        <v>1532</v>
      </c>
      <c r="I1462">
        <v>4</v>
      </c>
      <c r="J1462" t="s">
        <v>39</v>
      </c>
      <c r="K1462">
        <v>2</v>
      </c>
      <c r="L1462">
        <v>1</v>
      </c>
      <c r="M1462" t="s">
        <v>47</v>
      </c>
      <c r="N1462">
        <v>1</v>
      </c>
      <c r="O1462" t="s">
        <v>41</v>
      </c>
      <c r="P1462" s="6">
        <v>3785</v>
      </c>
      <c r="Q1462" t="s">
        <v>72</v>
      </c>
      <c r="R1462" t="s">
        <v>43</v>
      </c>
      <c r="S1462">
        <v>3</v>
      </c>
      <c r="T1462">
        <v>5</v>
      </c>
      <c r="U1462">
        <v>1</v>
      </c>
      <c r="V1462">
        <v>5</v>
      </c>
      <c r="W1462">
        <v>4</v>
      </c>
      <c r="X1462">
        <v>0</v>
      </c>
      <c r="Y1462">
        <v>4</v>
      </c>
      <c r="Z1462" t="s">
        <v>1551</v>
      </c>
      <c r="AA1462" t="s">
        <v>78</v>
      </c>
      <c r="AB1462" t="str" cm="1">
        <f t="array" ref="AB1462">_xlfn.IFS(cleaned_data[[#This Row],[YearsAtCompany]]&lt;=5, "0-5",cleaned_data[[#This Row],[YearsAtCompany]]&lt;=10,"6-10",TRUE,"10+")</f>
        <v>0-5</v>
      </c>
    </row>
    <row r="1463" spans="1:28" x14ac:dyDescent="0.3">
      <c r="A1463" s="2">
        <v>50</v>
      </c>
      <c r="B1463" t="s">
        <v>35</v>
      </c>
      <c r="C1463">
        <v>1</v>
      </c>
      <c r="D1463" t="s">
        <v>36</v>
      </c>
      <c r="E1463" t="s">
        <v>37</v>
      </c>
      <c r="F1463">
        <v>28</v>
      </c>
      <c r="G1463" t="s">
        <v>59</v>
      </c>
      <c r="H1463" t="s">
        <v>1533</v>
      </c>
      <c r="I1463">
        <v>4</v>
      </c>
      <c r="J1463" t="s">
        <v>46</v>
      </c>
      <c r="K1463">
        <v>2</v>
      </c>
      <c r="L1463">
        <v>3</v>
      </c>
      <c r="M1463" t="s">
        <v>40</v>
      </c>
      <c r="N1463">
        <v>1</v>
      </c>
      <c r="O1463" t="s">
        <v>52</v>
      </c>
      <c r="P1463" s="6">
        <v>10854</v>
      </c>
      <c r="Q1463" t="s">
        <v>67</v>
      </c>
      <c r="R1463" t="s">
        <v>35</v>
      </c>
      <c r="S1463">
        <v>3</v>
      </c>
      <c r="T1463">
        <v>20</v>
      </c>
      <c r="U1463">
        <v>3</v>
      </c>
      <c r="V1463">
        <v>3</v>
      </c>
      <c r="W1463">
        <v>2</v>
      </c>
      <c r="X1463">
        <v>2</v>
      </c>
      <c r="Y1463">
        <v>0</v>
      </c>
      <c r="Z1463" t="s">
        <v>106</v>
      </c>
      <c r="AA1463" t="s">
        <v>82</v>
      </c>
      <c r="AB1463" t="str" cm="1">
        <f t="array" ref="AB1463">_xlfn.IFS(cleaned_data[[#This Row],[YearsAtCompany]]&lt;=5, "0-5",cleaned_data[[#This Row],[YearsAtCompany]]&lt;=10,"6-10",TRUE,"10+")</f>
        <v>0-5</v>
      </c>
    </row>
    <row r="1464" spans="1:28" x14ac:dyDescent="0.3">
      <c r="A1464" s="2">
        <v>39</v>
      </c>
      <c r="B1464" t="s">
        <v>43</v>
      </c>
      <c r="C1464">
        <v>0</v>
      </c>
      <c r="D1464" t="s">
        <v>36</v>
      </c>
      <c r="E1464" t="s">
        <v>37</v>
      </c>
      <c r="F1464">
        <v>24</v>
      </c>
      <c r="G1464" t="s">
        <v>59</v>
      </c>
      <c r="H1464" t="s">
        <v>1534</v>
      </c>
      <c r="I1464">
        <v>2</v>
      </c>
      <c r="J1464" t="s">
        <v>39</v>
      </c>
      <c r="K1464">
        <v>2</v>
      </c>
      <c r="L1464">
        <v>4</v>
      </c>
      <c r="M1464" t="s">
        <v>40</v>
      </c>
      <c r="N1464">
        <v>4</v>
      </c>
      <c r="O1464" t="s">
        <v>48</v>
      </c>
      <c r="P1464" s="1">
        <v>12031</v>
      </c>
      <c r="Q1464" t="s">
        <v>90</v>
      </c>
      <c r="R1464" t="s">
        <v>43</v>
      </c>
      <c r="S1464">
        <v>3</v>
      </c>
      <c r="T1464">
        <v>21</v>
      </c>
      <c r="U1464">
        <v>2</v>
      </c>
      <c r="V1464">
        <v>20</v>
      </c>
      <c r="W1464">
        <v>9</v>
      </c>
      <c r="X1464">
        <v>9</v>
      </c>
      <c r="Y1464">
        <v>6</v>
      </c>
      <c r="Z1464" t="s">
        <v>1550</v>
      </c>
      <c r="AA1464" t="s">
        <v>82</v>
      </c>
      <c r="AB1464" t="str" cm="1">
        <f t="array" ref="AB1464">_xlfn.IFS(cleaned_data[[#This Row],[YearsAtCompany]]&lt;=5, "0-5",cleaned_data[[#This Row],[YearsAtCompany]]&lt;=10,"6-10",TRUE,"10+")</f>
        <v>10+</v>
      </c>
    </row>
    <row r="1465" spans="1:28" x14ac:dyDescent="0.3">
      <c r="A1465" s="2">
        <v>31</v>
      </c>
      <c r="B1465" t="s">
        <v>43</v>
      </c>
      <c r="C1465">
        <v>0</v>
      </c>
      <c r="D1465" t="s">
        <v>55</v>
      </c>
      <c r="E1465" t="s">
        <v>45</v>
      </c>
      <c r="F1465">
        <v>5</v>
      </c>
      <c r="G1465" t="s">
        <v>51</v>
      </c>
      <c r="H1465" t="s">
        <v>1535</v>
      </c>
      <c r="I1465">
        <v>2</v>
      </c>
      <c r="J1465" t="s">
        <v>46</v>
      </c>
      <c r="K1465">
        <v>3</v>
      </c>
      <c r="L1465">
        <v>2</v>
      </c>
      <c r="M1465" t="s">
        <v>53</v>
      </c>
      <c r="N1465">
        <v>1</v>
      </c>
      <c r="O1465" t="s">
        <v>41</v>
      </c>
      <c r="P1465" s="6">
        <v>9936</v>
      </c>
      <c r="Q1465" t="s">
        <v>67</v>
      </c>
      <c r="R1465" t="s">
        <v>43</v>
      </c>
      <c r="S1465">
        <v>3</v>
      </c>
      <c r="T1465">
        <v>10</v>
      </c>
      <c r="U1465">
        <v>3</v>
      </c>
      <c r="V1465">
        <v>9</v>
      </c>
      <c r="W1465">
        <v>4</v>
      </c>
      <c r="X1465">
        <v>1</v>
      </c>
      <c r="Y1465">
        <v>7</v>
      </c>
      <c r="Z1465" t="s">
        <v>1551</v>
      </c>
      <c r="AA1465" t="s">
        <v>69</v>
      </c>
      <c r="AB1465" t="str" cm="1">
        <f t="array" ref="AB1465">_xlfn.IFS(cleaned_data[[#This Row],[YearsAtCompany]]&lt;=5, "0-5",cleaned_data[[#This Row],[YearsAtCompany]]&lt;=10,"6-10",TRUE,"10+")</f>
        <v>6-10</v>
      </c>
    </row>
    <row r="1466" spans="1:28" x14ac:dyDescent="0.3">
      <c r="A1466" s="2">
        <v>26</v>
      </c>
      <c r="B1466" t="s">
        <v>43</v>
      </c>
      <c r="C1466">
        <v>0</v>
      </c>
      <c r="D1466" t="s">
        <v>36</v>
      </c>
      <c r="E1466" t="s">
        <v>37</v>
      </c>
      <c r="F1466">
        <v>5</v>
      </c>
      <c r="G1466" t="s">
        <v>49</v>
      </c>
      <c r="H1466" t="s">
        <v>1536</v>
      </c>
      <c r="I1466">
        <v>4</v>
      </c>
      <c r="J1466" t="s">
        <v>39</v>
      </c>
      <c r="K1466">
        <v>2</v>
      </c>
      <c r="L1466">
        <v>1</v>
      </c>
      <c r="M1466" t="s">
        <v>57</v>
      </c>
      <c r="N1466">
        <v>3</v>
      </c>
      <c r="O1466" t="s">
        <v>41</v>
      </c>
      <c r="P1466" s="1">
        <v>2966</v>
      </c>
      <c r="Q1466" t="s">
        <v>72</v>
      </c>
      <c r="R1466" t="s">
        <v>43</v>
      </c>
      <c r="S1466">
        <v>3</v>
      </c>
      <c r="T1466">
        <v>5</v>
      </c>
      <c r="U1466">
        <v>3</v>
      </c>
      <c r="V1466">
        <v>4</v>
      </c>
      <c r="W1466">
        <v>2</v>
      </c>
      <c r="X1466">
        <v>0</v>
      </c>
      <c r="Y1466">
        <v>0</v>
      </c>
      <c r="Z1466" t="s">
        <v>1551</v>
      </c>
      <c r="AA1466" t="s">
        <v>78</v>
      </c>
      <c r="AB1466" t="str" cm="1">
        <f t="array" ref="AB1466">_xlfn.IFS(cleaned_data[[#This Row],[YearsAtCompany]]&lt;=5, "0-5",cleaned_data[[#This Row],[YearsAtCompany]]&lt;=10,"6-10",TRUE,"10+")</f>
        <v>0-5</v>
      </c>
    </row>
    <row r="1467" spans="1:28" x14ac:dyDescent="0.3">
      <c r="A1467" s="2">
        <v>36</v>
      </c>
      <c r="B1467" t="s">
        <v>43</v>
      </c>
      <c r="C1467">
        <v>0</v>
      </c>
      <c r="D1467" t="s">
        <v>44</v>
      </c>
      <c r="E1467" t="s">
        <v>45</v>
      </c>
      <c r="F1467">
        <v>23</v>
      </c>
      <c r="G1467" t="s">
        <v>51</v>
      </c>
      <c r="H1467" t="s">
        <v>1537</v>
      </c>
      <c r="I1467">
        <v>3</v>
      </c>
      <c r="J1467" t="s">
        <v>46</v>
      </c>
      <c r="K1467">
        <v>4</v>
      </c>
      <c r="L1467">
        <v>2</v>
      </c>
      <c r="M1467" t="s">
        <v>50</v>
      </c>
      <c r="N1467">
        <v>4</v>
      </c>
      <c r="O1467" t="s">
        <v>48</v>
      </c>
      <c r="P1467" s="1">
        <v>2571</v>
      </c>
      <c r="Q1467" t="s">
        <v>72</v>
      </c>
      <c r="R1467" t="s">
        <v>43</v>
      </c>
      <c r="S1467">
        <v>3</v>
      </c>
      <c r="T1467">
        <v>17</v>
      </c>
      <c r="U1467">
        <v>3</v>
      </c>
      <c r="V1467">
        <v>5</v>
      </c>
      <c r="W1467">
        <v>2</v>
      </c>
      <c r="X1467">
        <v>0</v>
      </c>
      <c r="Y1467">
        <v>3</v>
      </c>
      <c r="Z1467" t="s">
        <v>1550</v>
      </c>
      <c r="AA1467" t="s">
        <v>82</v>
      </c>
      <c r="AB1467" t="str" cm="1">
        <f t="array" ref="AB1467">_xlfn.IFS(cleaned_data[[#This Row],[YearsAtCompany]]&lt;=5, "0-5",cleaned_data[[#This Row],[YearsAtCompany]]&lt;=10,"6-10",TRUE,"10+")</f>
        <v>0-5</v>
      </c>
    </row>
    <row r="1468" spans="1:28" x14ac:dyDescent="0.3">
      <c r="A1468" s="2">
        <v>39</v>
      </c>
      <c r="B1468" t="s">
        <v>43</v>
      </c>
      <c r="C1468">
        <v>0</v>
      </c>
      <c r="D1468" t="s">
        <v>36</v>
      </c>
      <c r="E1468" t="s">
        <v>45</v>
      </c>
      <c r="F1468">
        <v>6</v>
      </c>
      <c r="G1468" t="s">
        <v>51</v>
      </c>
      <c r="H1468" t="s">
        <v>1538</v>
      </c>
      <c r="I1468">
        <v>4</v>
      </c>
      <c r="J1468" t="s">
        <v>46</v>
      </c>
      <c r="K1468">
        <v>2</v>
      </c>
      <c r="L1468">
        <v>3</v>
      </c>
      <c r="M1468" t="s">
        <v>54</v>
      </c>
      <c r="N1468">
        <v>1</v>
      </c>
      <c r="O1468" t="s">
        <v>48</v>
      </c>
      <c r="P1468" s="6">
        <v>9991</v>
      </c>
      <c r="Q1468" t="s">
        <v>67</v>
      </c>
      <c r="R1468" t="s">
        <v>43</v>
      </c>
      <c r="S1468">
        <v>3</v>
      </c>
      <c r="T1468">
        <v>9</v>
      </c>
      <c r="U1468">
        <v>3</v>
      </c>
      <c r="V1468">
        <v>7</v>
      </c>
      <c r="W1468">
        <v>7</v>
      </c>
      <c r="X1468">
        <v>1</v>
      </c>
      <c r="Y1468">
        <v>7</v>
      </c>
      <c r="Z1468" t="s">
        <v>1550</v>
      </c>
      <c r="AA1468" t="s">
        <v>69</v>
      </c>
      <c r="AB1468" t="str" cm="1">
        <f t="array" ref="AB1468">_xlfn.IFS(cleaned_data[[#This Row],[YearsAtCompany]]&lt;=5, "0-5",cleaned_data[[#This Row],[YearsAtCompany]]&lt;=10,"6-10",TRUE,"10+")</f>
        <v>6-10</v>
      </c>
    </row>
    <row r="1469" spans="1:28" x14ac:dyDescent="0.3">
      <c r="A1469" s="2">
        <v>27</v>
      </c>
      <c r="B1469" t="s">
        <v>43</v>
      </c>
      <c r="C1469">
        <v>0</v>
      </c>
      <c r="D1469" t="s">
        <v>36</v>
      </c>
      <c r="E1469" t="s">
        <v>45</v>
      </c>
      <c r="F1469">
        <v>4</v>
      </c>
      <c r="G1469" t="s">
        <v>38</v>
      </c>
      <c r="H1469" t="s">
        <v>1539</v>
      </c>
      <c r="I1469">
        <v>2</v>
      </c>
      <c r="J1469" t="s">
        <v>46</v>
      </c>
      <c r="K1469">
        <v>4</v>
      </c>
      <c r="L1469">
        <v>2</v>
      </c>
      <c r="M1469" t="s">
        <v>53</v>
      </c>
      <c r="N1469">
        <v>2</v>
      </c>
      <c r="O1469" t="s">
        <v>48</v>
      </c>
      <c r="P1469" s="1">
        <v>6142</v>
      </c>
      <c r="Q1469" t="s">
        <v>67</v>
      </c>
      <c r="R1469" t="s">
        <v>35</v>
      </c>
      <c r="S1469">
        <v>4</v>
      </c>
      <c r="T1469">
        <v>6</v>
      </c>
      <c r="U1469">
        <v>3</v>
      </c>
      <c r="V1469">
        <v>6</v>
      </c>
      <c r="W1469">
        <v>2</v>
      </c>
      <c r="X1469">
        <v>0</v>
      </c>
      <c r="Y1469">
        <v>3</v>
      </c>
      <c r="Z1469" t="s">
        <v>1551</v>
      </c>
      <c r="AA1469" t="s">
        <v>69</v>
      </c>
      <c r="AB1469" t="str" cm="1">
        <f t="array" ref="AB1469">_xlfn.IFS(cleaned_data[[#This Row],[YearsAtCompany]]&lt;=5, "0-5",cleaned_data[[#This Row],[YearsAtCompany]]&lt;=10,"6-10",TRUE,"10+")</f>
        <v>6-10</v>
      </c>
    </row>
    <row r="1470" spans="1:28" x14ac:dyDescent="0.3">
      <c r="A1470" s="2">
        <v>49</v>
      </c>
      <c r="B1470" t="s">
        <v>43</v>
      </c>
      <c r="C1470">
        <v>0</v>
      </c>
      <c r="D1470" t="s">
        <v>44</v>
      </c>
      <c r="E1470" t="s">
        <v>37</v>
      </c>
      <c r="F1470">
        <v>2</v>
      </c>
      <c r="G1470" t="s">
        <v>51</v>
      </c>
      <c r="H1470" t="s">
        <v>1540</v>
      </c>
      <c r="I1470">
        <v>4</v>
      </c>
      <c r="J1470" t="s">
        <v>46</v>
      </c>
      <c r="K1470">
        <v>2</v>
      </c>
      <c r="L1470">
        <v>2</v>
      </c>
      <c r="M1470" t="s">
        <v>40</v>
      </c>
      <c r="N1470">
        <v>2</v>
      </c>
      <c r="O1470" t="s">
        <v>48</v>
      </c>
      <c r="P1470" s="1">
        <v>5390</v>
      </c>
      <c r="Q1470" t="s">
        <v>67</v>
      </c>
      <c r="R1470" t="s">
        <v>43</v>
      </c>
      <c r="S1470">
        <v>3</v>
      </c>
      <c r="T1470">
        <v>17</v>
      </c>
      <c r="U1470">
        <v>2</v>
      </c>
      <c r="V1470">
        <v>9</v>
      </c>
      <c r="W1470">
        <v>6</v>
      </c>
      <c r="X1470">
        <v>0</v>
      </c>
      <c r="Y1470">
        <v>8</v>
      </c>
      <c r="Z1470" t="s">
        <v>106</v>
      </c>
      <c r="AA1470" t="s">
        <v>82</v>
      </c>
      <c r="AB1470" t="str" cm="1">
        <f t="array" ref="AB1470">_xlfn.IFS(cleaned_data[[#This Row],[YearsAtCompany]]&lt;=5, "0-5",cleaned_data[[#This Row],[YearsAtCompany]]&lt;=10,"6-10",TRUE,"10+")</f>
        <v>6-10</v>
      </c>
    </row>
    <row r="1471" spans="1:28" x14ac:dyDescent="0.3">
      <c r="A1471" s="2">
        <v>34</v>
      </c>
      <c r="B1471" t="s">
        <v>43</v>
      </c>
      <c r="C1471">
        <v>0</v>
      </c>
      <c r="D1471" t="s">
        <v>36</v>
      </c>
      <c r="E1471" t="s">
        <v>45</v>
      </c>
      <c r="F1471">
        <v>8</v>
      </c>
      <c r="G1471" t="s">
        <v>51</v>
      </c>
      <c r="H1471" t="s">
        <v>1541</v>
      </c>
      <c r="I1471">
        <v>2</v>
      </c>
      <c r="J1471" t="s">
        <v>46</v>
      </c>
      <c r="K1471">
        <v>4</v>
      </c>
      <c r="L1471">
        <v>2</v>
      </c>
      <c r="M1471" t="s">
        <v>50</v>
      </c>
      <c r="N1471">
        <v>3</v>
      </c>
      <c r="O1471" t="s">
        <v>48</v>
      </c>
      <c r="P1471" s="1">
        <v>4404</v>
      </c>
      <c r="Q1471" t="s">
        <v>72</v>
      </c>
      <c r="R1471" t="s">
        <v>43</v>
      </c>
      <c r="S1471">
        <v>3</v>
      </c>
      <c r="T1471">
        <v>6</v>
      </c>
      <c r="U1471">
        <v>4</v>
      </c>
      <c r="V1471">
        <v>4</v>
      </c>
      <c r="W1471">
        <v>3</v>
      </c>
      <c r="X1471">
        <v>1</v>
      </c>
      <c r="Y1471">
        <v>2</v>
      </c>
      <c r="Z1471" t="s">
        <v>1551</v>
      </c>
      <c r="AA1471" t="s">
        <v>69</v>
      </c>
      <c r="AB1471" t="str" cm="1">
        <f t="array" ref="AB1471">_xlfn.IFS(cleaned_data[[#This Row],[YearsAtCompany]]&lt;=5, "0-5",cleaned_data[[#This Row],[YearsAtCompany]]&lt;=10,"6-10",TRUE,"10+")</f>
        <v>0-5</v>
      </c>
    </row>
  </sheetData>
  <phoneticPr fontId="1"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AD50B-AC50-4442-9EC4-CAC020FBB03A}">
  <dimension ref="A2:G16"/>
  <sheetViews>
    <sheetView workbookViewId="0">
      <selection activeCell="E16" sqref="E16"/>
    </sheetView>
  </sheetViews>
  <sheetFormatPr defaultRowHeight="14.4" x14ac:dyDescent="0.3"/>
  <cols>
    <col min="1" max="1" width="21.21875" customWidth="1"/>
    <col min="2" max="4" width="8.88671875" hidden="1" customWidth="1"/>
    <col min="5" max="5" width="14.88671875" customWidth="1"/>
    <col min="6" max="6" width="10.44140625" hidden="1" customWidth="1"/>
    <col min="7" max="7" width="44.77734375" bestFit="1" customWidth="1"/>
  </cols>
  <sheetData>
    <row r="2" spans="1:7" x14ac:dyDescent="0.3">
      <c r="A2" t="s">
        <v>1566</v>
      </c>
      <c r="B2" t="s">
        <v>1568</v>
      </c>
      <c r="C2" t="s">
        <v>1569</v>
      </c>
      <c r="D2" t="s">
        <v>1570</v>
      </c>
      <c r="E2" t="s">
        <v>1567</v>
      </c>
      <c r="F2" t="s">
        <v>1571</v>
      </c>
      <c r="G2" t="s">
        <v>1565</v>
      </c>
    </row>
    <row r="4" spans="1:7" x14ac:dyDescent="0.3">
      <c r="A4" t="s">
        <v>1542</v>
      </c>
      <c r="E4">
        <f>COUNTA(cleaned_data[EmployeeNumber])</f>
        <v>1470</v>
      </c>
      <c r="G4" t="s">
        <v>1560</v>
      </c>
    </row>
    <row r="6" spans="1:7" x14ac:dyDescent="0.3">
      <c r="A6" t="s">
        <v>1543</v>
      </c>
      <c r="E6">
        <f>COUNTIF(cleaned_data[Attrition], "Yes")</f>
        <v>237</v>
      </c>
      <c r="G6" t="s">
        <v>1561</v>
      </c>
    </row>
    <row r="8" spans="1:7" x14ac:dyDescent="0.3">
      <c r="A8" t="s">
        <v>1545</v>
      </c>
      <c r="E8" s="5">
        <f>E6/E4</f>
        <v>0.16122448979591836</v>
      </c>
      <c r="G8" t="s">
        <v>1562</v>
      </c>
    </row>
    <row r="10" spans="1:7" x14ac:dyDescent="0.3">
      <c r="A10" t="s">
        <v>1544</v>
      </c>
      <c r="E10">
        <f>AVERAGE(cleaned_data[MonthlyIncome])</f>
        <v>6502.931292517007</v>
      </c>
      <c r="G10" t="s">
        <v>1563</v>
      </c>
    </row>
    <row r="12" spans="1:7" x14ac:dyDescent="0.3">
      <c r="A12" t="s">
        <v>1573</v>
      </c>
      <c r="E12" s="7">
        <f>AVERAGE(cleaned_data[YearsAtCompany])</f>
        <v>7.0081632653061225</v>
      </c>
      <c r="G12" t="s">
        <v>1574</v>
      </c>
    </row>
    <row r="14" spans="1:7" x14ac:dyDescent="0.3">
      <c r="A14" t="s">
        <v>1558</v>
      </c>
      <c r="E14">
        <f>COUNTIF('cleaned_data'!B2:B1471,"No")</f>
        <v>1233</v>
      </c>
      <c r="G14" t="s">
        <v>1564</v>
      </c>
    </row>
    <row r="16" spans="1:7" x14ac:dyDescent="0.3">
      <c r="A16" t="s">
        <v>1575</v>
      </c>
      <c r="E16" s="6">
        <f>ROUND(AVERAGE(cleaned_data[MonthlyIncome]),2)</f>
        <v>6502.93</v>
      </c>
      <c r="G16" t="s">
        <v>1576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75E6-C69A-42FB-B5BC-A08B873C6D69}">
  <dimension ref="A4:M27"/>
  <sheetViews>
    <sheetView topLeftCell="A2" workbookViewId="0">
      <selection activeCell="Y6" sqref="Y6"/>
    </sheetView>
  </sheetViews>
  <sheetFormatPr defaultRowHeight="14.4" x14ac:dyDescent="0.3"/>
  <cols>
    <col min="1" max="1" width="22.88671875" bestFit="1" customWidth="1"/>
    <col min="2" max="2" width="18.77734375" bestFit="1" customWidth="1"/>
    <col min="3" max="3" width="9" customWidth="1"/>
    <col min="4" max="4" width="12.44140625" bestFit="1" customWidth="1"/>
    <col min="5" max="5" width="18.77734375" bestFit="1" customWidth="1"/>
    <col min="6" max="6" width="5.77734375" customWidth="1"/>
    <col min="7" max="7" width="16.44140625" bestFit="1" customWidth="1"/>
    <col min="8" max="8" width="18.77734375" bestFit="1" customWidth="1"/>
    <col min="9" max="9" width="8.77734375" customWidth="1"/>
    <col min="10" max="10" width="14.88671875" bestFit="1" customWidth="1"/>
    <col min="11" max="11" width="18.77734375" bestFit="1" customWidth="1"/>
    <col min="12" max="12" width="10.77734375" bestFit="1" customWidth="1"/>
    <col min="13" max="13" width="18.77734375" bestFit="1" customWidth="1"/>
  </cols>
  <sheetData>
    <row r="4" spans="1:13" x14ac:dyDescent="0.3">
      <c r="A4" s="3" t="s">
        <v>4</v>
      </c>
      <c r="B4" t="s">
        <v>1547</v>
      </c>
      <c r="L4" s="3" t="s">
        <v>11</v>
      </c>
      <c r="M4" t="s">
        <v>1547</v>
      </c>
    </row>
    <row r="5" spans="1:13" x14ac:dyDescent="0.3">
      <c r="A5" s="4" t="s">
        <v>61</v>
      </c>
      <c r="B5">
        <v>12</v>
      </c>
      <c r="L5" s="4" t="s">
        <v>39</v>
      </c>
      <c r="M5">
        <v>87</v>
      </c>
    </row>
    <row r="6" spans="1:13" x14ac:dyDescent="0.3">
      <c r="A6" s="4" t="s">
        <v>45</v>
      </c>
      <c r="B6">
        <v>133</v>
      </c>
      <c r="L6" s="4" t="s">
        <v>46</v>
      </c>
      <c r="M6">
        <v>150</v>
      </c>
    </row>
    <row r="7" spans="1:13" x14ac:dyDescent="0.3">
      <c r="A7" s="4" t="s">
        <v>37</v>
      </c>
      <c r="B7">
        <v>92</v>
      </c>
      <c r="L7" s="4" t="s">
        <v>1546</v>
      </c>
      <c r="M7">
        <v>237</v>
      </c>
    </row>
    <row r="8" spans="1:13" x14ac:dyDescent="0.3">
      <c r="A8" s="4" t="s">
        <v>1546</v>
      </c>
      <c r="B8">
        <v>237</v>
      </c>
    </row>
    <row r="13" spans="1:13" x14ac:dyDescent="0.3">
      <c r="A13" s="3" t="s">
        <v>1549</v>
      </c>
      <c r="B13" t="s">
        <v>1547</v>
      </c>
      <c r="D13" s="3" t="s">
        <v>64</v>
      </c>
      <c r="E13" t="s">
        <v>1547</v>
      </c>
      <c r="G13" s="3" t="s">
        <v>1553</v>
      </c>
      <c r="H13" t="s">
        <v>1547</v>
      </c>
      <c r="J13" s="3" t="s">
        <v>1552</v>
      </c>
      <c r="K13" t="s">
        <v>1547</v>
      </c>
    </row>
    <row r="14" spans="1:13" x14ac:dyDescent="0.3">
      <c r="A14" s="4" t="s">
        <v>54</v>
      </c>
      <c r="B14">
        <v>9</v>
      </c>
      <c r="D14" s="4" t="s">
        <v>68</v>
      </c>
      <c r="E14">
        <v>44</v>
      </c>
      <c r="G14" s="4" t="s">
        <v>78</v>
      </c>
      <c r="H14">
        <v>91</v>
      </c>
      <c r="J14" s="4" t="s">
        <v>90</v>
      </c>
      <c r="K14">
        <v>11</v>
      </c>
    </row>
    <row r="15" spans="1:13" x14ac:dyDescent="0.3">
      <c r="A15" s="4" t="s">
        <v>61</v>
      </c>
      <c r="B15">
        <v>12</v>
      </c>
      <c r="D15" s="4" t="s">
        <v>1551</v>
      </c>
      <c r="E15">
        <v>116</v>
      </c>
      <c r="G15" s="4" t="s">
        <v>69</v>
      </c>
      <c r="H15">
        <v>115</v>
      </c>
      <c r="J15" s="4" t="s">
        <v>72</v>
      </c>
      <c r="K15">
        <v>163</v>
      </c>
    </row>
    <row r="16" spans="1:13" x14ac:dyDescent="0.3">
      <c r="A16" s="4" t="s">
        <v>50</v>
      </c>
      <c r="B16">
        <v>62</v>
      </c>
      <c r="D16" s="4" t="s">
        <v>1550</v>
      </c>
      <c r="E16">
        <v>43</v>
      </c>
      <c r="G16" s="4" t="s">
        <v>82</v>
      </c>
      <c r="H16">
        <v>31</v>
      </c>
      <c r="J16" s="4" t="s">
        <v>67</v>
      </c>
      <c r="K16">
        <v>63</v>
      </c>
    </row>
    <row r="17" spans="1:11" x14ac:dyDescent="0.3">
      <c r="A17" s="4" t="s">
        <v>56</v>
      </c>
      <c r="B17">
        <v>5</v>
      </c>
      <c r="D17" s="4" t="s">
        <v>106</v>
      </c>
      <c r="E17">
        <v>34</v>
      </c>
      <c r="G17" s="4" t="s">
        <v>1546</v>
      </c>
      <c r="H17">
        <v>237</v>
      </c>
      <c r="J17" s="4" t="s">
        <v>1546</v>
      </c>
      <c r="K17">
        <v>237</v>
      </c>
    </row>
    <row r="18" spans="1:11" x14ac:dyDescent="0.3">
      <c r="A18" s="4" t="s">
        <v>53</v>
      </c>
      <c r="B18">
        <v>10</v>
      </c>
      <c r="D18" s="4" t="s">
        <v>1546</v>
      </c>
      <c r="E18">
        <v>237</v>
      </c>
    </row>
    <row r="19" spans="1:11" x14ac:dyDescent="0.3">
      <c r="A19" s="4" t="s">
        <v>58</v>
      </c>
      <c r="B19">
        <v>2</v>
      </c>
    </row>
    <row r="20" spans="1:11" x14ac:dyDescent="0.3">
      <c r="A20" s="4" t="s">
        <v>47</v>
      </c>
      <c r="B20">
        <v>47</v>
      </c>
    </row>
    <row r="21" spans="1:11" x14ac:dyDescent="0.3">
      <c r="A21" s="4" t="s">
        <v>40</v>
      </c>
      <c r="B21">
        <v>57</v>
      </c>
    </row>
    <row r="22" spans="1:11" x14ac:dyDescent="0.3">
      <c r="A22" s="4" t="s">
        <v>57</v>
      </c>
      <c r="B22">
        <v>33</v>
      </c>
      <c r="D22" s="3" t="s">
        <v>1554</v>
      </c>
      <c r="E22" t="s">
        <v>1547</v>
      </c>
      <c r="G22" s="3" t="s">
        <v>1572</v>
      </c>
      <c r="H22" t="s">
        <v>1547</v>
      </c>
      <c r="J22" s="3" t="s">
        <v>1548</v>
      </c>
      <c r="K22" t="s">
        <v>1547</v>
      </c>
    </row>
    <row r="23" spans="1:11" x14ac:dyDescent="0.3">
      <c r="A23" s="4" t="s">
        <v>1546</v>
      </c>
      <c r="B23">
        <v>237</v>
      </c>
      <c r="D23" s="4" t="s">
        <v>78</v>
      </c>
      <c r="E23">
        <v>162</v>
      </c>
      <c r="G23" s="4">
        <v>1</v>
      </c>
      <c r="H23">
        <v>66</v>
      </c>
      <c r="J23" s="4" t="s">
        <v>43</v>
      </c>
      <c r="K23">
        <v>110</v>
      </c>
    </row>
    <row r="24" spans="1:11" x14ac:dyDescent="0.3">
      <c r="D24" s="4" t="s">
        <v>1556</v>
      </c>
      <c r="E24">
        <v>20</v>
      </c>
      <c r="G24" s="4">
        <v>2</v>
      </c>
      <c r="H24">
        <v>46</v>
      </c>
      <c r="J24" s="4" t="s">
        <v>35</v>
      </c>
      <c r="K24">
        <v>127</v>
      </c>
    </row>
    <row r="25" spans="1:11" x14ac:dyDescent="0.3">
      <c r="D25" s="4" t="s">
        <v>1557</v>
      </c>
      <c r="E25">
        <v>55</v>
      </c>
      <c r="G25" s="4">
        <v>3</v>
      </c>
      <c r="H25">
        <v>73</v>
      </c>
      <c r="J25" s="4" t="s">
        <v>1546</v>
      </c>
      <c r="K25">
        <v>237</v>
      </c>
    </row>
    <row r="26" spans="1:11" x14ac:dyDescent="0.3">
      <c r="D26" s="4" t="s">
        <v>1546</v>
      </c>
      <c r="E26">
        <v>237</v>
      </c>
      <c r="G26" s="4">
        <v>4</v>
      </c>
      <c r="H26">
        <v>52</v>
      </c>
    </row>
    <row r="27" spans="1:11" x14ac:dyDescent="0.3">
      <c r="G27" s="4" t="s">
        <v>1546</v>
      </c>
      <c r="H27">
        <v>237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9BB2-7AF8-4C01-94D9-7A40A2BDDA98}">
  <dimension ref="C1:X32"/>
  <sheetViews>
    <sheetView showGridLines="0" tabSelected="1" topLeftCell="A4" workbookViewId="0">
      <selection activeCell="A33" sqref="A33:XFD1048576"/>
    </sheetView>
  </sheetViews>
  <sheetFormatPr defaultColWidth="8.88671875" defaultRowHeight="14.4" zeroHeight="1" x14ac:dyDescent="0.3"/>
  <cols>
    <col min="1" max="2" width="8.88671875" customWidth="1"/>
    <col min="3" max="3" width="8.88671875" hidden="1" customWidth="1"/>
    <col min="4" max="23" width="8.88671875" customWidth="1"/>
  </cols>
  <sheetData>
    <row r="1" spans="24:24" x14ac:dyDescent="0.3"/>
    <row r="2" spans="24:24" x14ac:dyDescent="0.3"/>
    <row r="3" spans="24:24" x14ac:dyDescent="0.3"/>
    <row r="4" spans="24:24" x14ac:dyDescent="0.3"/>
    <row r="5" spans="24:24" x14ac:dyDescent="0.3"/>
    <row r="6" spans="24:24" x14ac:dyDescent="0.3"/>
    <row r="7" spans="24:24" x14ac:dyDescent="0.3"/>
    <row r="8" spans="24:24" x14ac:dyDescent="0.3"/>
    <row r="9" spans="24:24" x14ac:dyDescent="0.3"/>
    <row r="10" spans="24:24" x14ac:dyDescent="0.3"/>
    <row r="11" spans="24:24" x14ac:dyDescent="0.3"/>
    <row r="12" spans="24:24" x14ac:dyDescent="0.3"/>
    <row r="13" spans="24:24" x14ac:dyDescent="0.3"/>
    <row r="14" spans="24:24" x14ac:dyDescent="0.3"/>
    <row r="15" spans="24:24" x14ac:dyDescent="0.3"/>
    <row r="16" spans="24:24" x14ac:dyDescent="0.3">
      <c r="X16">
        <f>calculation!E1</f>
        <v>0</v>
      </c>
    </row>
    <row r="17" spans="4:19" x14ac:dyDescent="0.3"/>
    <row r="18" spans="4:19" x14ac:dyDescent="0.3"/>
    <row r="19" spans="4:19" x14ac:dyDescent="0.3"/>
    <row r="20" spans="4:19" x14ac:dyDescent="0.3"/>
    <row r="21" spans="4:19" x14ac:dyDescent="0.3"/>
    <row r="22" spans="4:19" x14ac:dyDescent="0.3"/>
    <row r="23" spans="4:19" x14ac:dyDescent="0.3"/>
    <row r="24" spans="4:19" x14ac:dyDescent="0.3"/>
    <row r="25" spans="4:19" x14ac:dyDescent="0.3"/>
    <row r="26" spans="4:19" x14ac:dyDescent="0.3"/>
    <row r="27" spans="4:19" x14ac:dyDescent="0.3"/>
    <row r="28" spans="4:19" x14ac:dyDescent="0.3"/>
    <row r="29" spans="4:19" x14ac:dyDescent="0.3"/>
    <row r="30" spans="4:19" x14ac:dyDescent="0.3"/>
    <row r="31" spans="4:19" x14ac:dyDescent="0.3"/>
    <row r="32" spans="4:19" x14ac:dyDescent="0.3">
      <c r="D32" s="8" t="s">
        <v>1559</v>
      </c>
      <c r="E32" s="9"/>
      <c r="F32" s="9"/>
      <c r="G32" s="9"/>
      <c r="H32" s="9"/>
      <c r="I32" s="9"/>
      <c r="J32" s="9"/>
      <c r="K32" s="9"/>
      <c r="L32" s="9"/>
      <c r="M32" s="9"/>
      <c r="N32" s="9"/>
      <c r="O32" s="9"/>
      <c r="P32" s="9"/>
      <c r="Q32" s="9"/>
      <c r="R32" s="9"/>
      <c r="S32" s="9"/>
    </row>
  </sheetData>
  <mergeCells count="1">
    <mergeCell ref="D32:S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BD35F2-9E2E-484A-8C63-B157F87D1E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calculation</vt:lpstr>
      <vt:lpstr>pivot_summary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Taniksha Saini</dc:creator>
  <cp:lastModifiedBy>Taniksha Saini</cp:lastModifiedBy>
  <cp:lastPrinted>2026-06-10T05:29:16Z</cp:lastPrinted>
  <dcterms:created xsi:type="dcterms:W3CDTF">2026-02-12T07:45:51Z</dcterms:created>
  <dcterms:modified xsi:type="dcterms:W3CDTF">2026-06-11T04:34:18Z</dcterms:modified>
</cp:coreProperties>
</file>